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mulado" sheetId="1" r:id="rId4"/>
    <sheet state="visible" name="Mensual" sheetId="2" r:id="rId5"/>
    <sheet state="visible" name="xProyecto" sheetId="3" r:id="rId6"/>
    <sheet state="visible" name="Mes vs Mes" sheetId="4" r:id="rId7"/>
    <sheet state="visible" name="Gastos Admon" sheetId="5" r:id="rId8"/>
    <sheet state="visible" name="EneR" sheetId="6" r:id="rId9"/>
    <sheet state="visible" name="FebR" sheetId="7" r:id="rId10"/>
    <sheet state="visible" name="MarR" sheetId="8" r:id="rId11"/>
    <sheet state="visible" name="AbrR" sheetId="9" r:id="rId12"/>
    <sheet state="visible" name="MayR" sheetId="10" r:id="rId13"/>
    <sheet state="visible" name="JunR" sheetId="11" r:id="rId14"/>
    <sheet state="visible" name="JulR" sheetId="12" r:id="rId15"/>
    <sheet state="visible" name="AgoR" sheetId="13" r:id="rId16"/>
    <sheet state="visible" name="SepR" sheetId="14" r:id="rId17"/>
    <sheet state="visible" name="OctR" sheetId="15" r:id="rId18"/>
    <sheet state="visible" name="NovR" sheetId="16" r:id="rId19"/>
    <sheet state="visible" name="DicR" sheetId="17" r:id="rId20"/>
    <sheet state="hidden" name="OtrosR" sheetId="18" r:id="rId21"/>
    <sheet state="hidden" name="Config" sheetId="19" r:id="rId22"/>
    <sheet state="hidden" name="Menus" sheetId="20" r:id="rId23"/>
  </sheets>
  <definedNames/>
  <calcPr/>
</workbook>
</file>

<file path=xl/sharedStrings.xml><?xml version="1.0" encoding="utf-8"?>
<sst xmlns="http://schemas.openxmlformats.org/spreadsheetml/2006/main" count="5360" uniqueCount="223">
  <si>
    <t>Sigmaseg S.A. de C.V.</t>
  </si>
  <si>
    <t>Anual 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</si>
  <si>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</si>
  <si>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</si>
  <si>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</si>
  <si>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</si>
  <si>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</si>
  <si>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</si>
  <si>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</si>
  <si>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</si>
  <si>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</si>
  <si>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</si>
  <si>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</si>
  <si>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</si>
  <si>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Utilidad Bruta</t>
  </si>
  <si>
    <t>Total de Ingresos</t>
  </si>
  <si>
    <t>A01 Seguridad</t>
  </si>
  <si>
    <t>A02 Monitoreo</t>
  </si>
  <si>
    <t>Total de Egresos</t>
  </si>
  <si>
    <t>Otros Ingresos</t>
  </si>
  <si>
    <t>Otros Egresos</t>
  </si>
  <si>
    <t>(01) C. Polanco</t>
  </si>
  <si>
    <t>(07) Julio</t>
  </si>
  <si>
    <t>Total R</t>
  </si>
  <si>
    <t>(01) Enero</t>
  </si>
  <si>
    <t>(02) Febrero</t>
  </si>
  <si>
    <t>Dif</t>
  </si>
  <si>
    <t>Total Egresos</t>
  </si>
  <si>
    <t>Concepto/Proyecto</t>
  </si>
  <si>
    <t>Total anual</t>
  </si>
  <si>
    <t>%</t>
  </si>
  <si>
    <t>Nomina</t>
  </si>
  <si>
    <t>Cuotas IMSS</t>
  </si>
  <si>
    <t>Cuotas AFORE</t>
  </si>
  <si>
    <t>Cuotas INFONAVIT</t>
  </si>
  <si>
    <t>2.5% sobre nomina</t>
  </si>
  <si>
    <t>Comisiones Bancarias</t>
  </si>
  <si>
    <t>Licencias y permisos</t>
  </si>
  <si>
    <t>Uniformes</t>
  </si>
  <si>
    <t>-</t>
  </si>
  <si>
    <t>Anuncios periódico</t>
  </si>
  <si>
    <t>Telefonía</t>
  </si>
  <si>
    <t>Papelería</t>
  </si>
  <si>
    <t>Honorarios</t>
  </si>
  <si>
    <t>Arrendamiento de inmuebles</t>
  </si>
  <si>
    <t>Mobiliario y equipo de oficina</t>
  </si>
  <si>
    <t>Fianzas y seguros</t>
  </si>
  <si>
    <t>Mantenimiento Plaza/Oficina</t>
  </si>
  <si>
    <t>Depreciación</t>
  </si>
  <si>
    <t>Comidas empleados</t>
  </si>
  <si>
    <t>Asesoría y gestoría</t>
  </si>
  <si>
    <t>Equipo de operación</t>
  </si>
  <si>
    <t>Equipo de capacitacion</t>
  </si>
  <si>
    <t>Equipo Rondinero</t>
  </si>
  <si>
    <t>Equipo de seguridad</t>
  </si>
  <si>
    <t>Reparación equipo de operación</t>
  </si>
  <si>
    <t>Mantenimiento equipo de operación</t>
  </si>
  <si>
    <t>Publicidad</t>
  </si>
  <si>
    <t>Suministros de oficina</t>
  </si>
  <si>
    <t>Artículos de limpieza</t>
  </si>
  <si>
    <t>Varios</t>
  </si>
  <si>
    <t>No deducibles</t>
  </si>
  <si>
    <t>Total de gastos</t>
  </si>
  <si>
    <t>Desglose de ingresos y costos por proyecto</t>
  </si>
  <si>
    <t>(02) Wepark</t>
  </si>
  <si>
    <t>(34) Radiatas</t>
  </si>
  <si>
    <t>(40) Aliah</t>
  </si>
  <si>
    <t>(03) Lagrange</t>
  </si>
  <si>
    <t>(42) Palmas</t>
  </si>
  <si>
    <t>(56) Sonda Bodega AP</t>
  </si>
  <si>
    <t>(04) T. Prisma</t>
  </si>
  <si>
    <t>(35) Plaza Polanco</t>
  </si>
  <si>
    <t>(49) DeUna</t>
  </si>
  <si>
    <t>(47) IB-Group</t>
  </si>
  <si>
    <t>(43) Negra Modelo</t>
  </si>
  <si>
    <t>(51) Revlon</t>
  </si>
  <si>
    <t>(07) Andes 120</t>
  </si>
  <si>
    <t>(08) Xochimilco</t>
  </si>
  <si>
    <t>(09) M. Pelvoux</t>
  </si>
  <si>
    <t>(10) Quadrata</t>
  </si>
  <si>
    <t>(11) Panorama</t>
  </si>
  <si>
    <t>(12) Andes 105</t>
  </si>
  <si>
    <t>(48) Sonda-Nuevo León</t>
  </si>
  <si>
    <t>(53) Aliah-Chapultepec</t>
  </si>
  <si>
    <t>(14) Bodega Sicario Chalco</t>
  </si>
  <si>
    <t>(18) Campos Eliseos</t>
  </si>
  <si>
    <t>(16) Onix</t>
  </si>
  <si>
    <t>(17) Alce Blanco</t>
  </si>
  <si>
    <t>(36) Embajada de Australia</t>
  </si>
  <si>
    <t>(21) Sur Oxidado</t>
  </si>
  <si>
    <t>(22) Summit</t>
  </si>
  <si>
    <t>(24) Las armas</t>
  </si>
  <si>
    <t>(25) Urbano Town</t>
  </si>
  <si>
    <t>(26) For Promocional</t>
  </si>
  <si>
    <t>(28) Embajada de canadá</t>
  </si>
  <si>
    <t>(50) Ampliequipos</t>
  </si>
  <si>
    <t>(46) Green Tower</t>
  </si>
  <si>
    <t xml:space="preserve">(29) VFS Arquimedes </t>
  </si>
  <si>
    <t>(13) E. Especiales</t>
  </si>
  <si>
    <t>(00) Administración</t>
  </si>
  <si>
    <t>Totales</t>
  </si>
  <si>
    <t>Ingresos</t>
  </si>
  <si>
    <t>Seguridad</t>
  </si>
  <si>
    <t>Monitorio</t>
  </si>
  <si>
    <t>Total de ingresos</t>
  </si>
  <si>
    <t>Costos</t>
  </si>
  <si>
    <t>Asesoria y gestoria</t>
  </si>
  <si>
    <t>Mantenimiento equipo de operacion</t>
  </si>
  <si>
    <t>Artículos de Limpieza</t>
  </si>
  <si>
    <t>Total de costos</t>
  </si>
  <si>
    <t>Equipo de Seguridad</t>
  </si>
  <si>
    <t>mensual drive</t>
  </si>
  <si>
    <t>diferencia</t>
  </si>
  <si>
    <t>Monitoreo</t>
  </si>
  <si>
    <t>(20) Ampliequipos</t>
  </si>
  <si>
    <t>(37) Green Tower</t>
  </si>
  <si>
    <t>(23) Urban Saavedra</t>
  </si>
  <si>
    <t>(15) Damas</t>
  </si>
  <si>
    <t>(19) MU770</t>
  </si>
  <si>
    <t>(50) Fitness Para Todos</t>
  </si>
  <si>
    <t>Elemento</t>
  </si>
  <si>
    <t>Archivo</t>
  </si>
  <si>
    <t>ID</t>
  </si>
  <si>
    <t>Rango</t>
  </si>
  <si>
    <t>Mes</t>
  </si>
  <si>
    <t>Acumulado, Egresos</t>
  </si>
  <si>
    <t>Presupuesto Sigma</t>
  </si>
  <si>
    <t>10O_SXdz0dJt2tdyDkVj7WBPL_30nKHj5oXXQ8LjzZA8</t>
  </si>
  <si>
    <t>Acumulado!A1:AN</t>
  </si>
  <si>
    <t>EneR!$B$2:$AS$100</t>
  </si>
  <si>
    <t>EneR!$A$2:$A$100</t>
  </si>
  <si>
    <t>EneR!$B$6:$AS$6</t>
  </si>
  <si>
    <t>EneR</t>
  </si>
  <si>
    <t>Cuenta, Egresos</t>
  </si>
  <si>
    <t>Acumulado!A1:A100</t>
  </si>
  <si>
    <t>FebR!$B$2:$AS$100</t>
  </si>
  <si>
    <t>FebR!$A$2:$A$100</t>
  </si>
  <si>
    <t>FebR!$B$6:$AS$6</t>
  </si>
  <si>
    <t>FebR</t>
  </si>
  <si>
    <t>(03) Marzo</t>
  </si>
  <si>
    <t>MarR!$B$2:$AS$100</t>
  </si>
  <si>
    <t>MarR!$A$2:$A$100</t>
  </si>
  <si>
    <t>MarR!$B$6:$AS$6</t>
  </si>
  <si>
    <t>MarR</t>
  </si>
  <si>
    <t>Otros (Real)</t>
  </si>
  <si>
    <t>Conciliación Sigmaseg 2023</t>
  </si>
  <si>
    <t>1JlmlmjG58iCBbzQM_Q35dVw2C5wBs3Ak1db68Zltsug</t>
  </si>
  <si>
    <t>Otros!A1:Q</t>
  </si>
  <si>
    <t>(04) Abril</t>
  </si>
  <si>
    <t>AbrR!$B$2:$AS$100</t>
  </si>
  <si>
    <t>AbrR!$A$2:$A$100</t>
  </si>
  <si>
    <t>AbrR!$B$6:$AS$6</t>
  </si>
  <si>
    <t>AbrR</t>
  </si>
  <si>
    <t>(05) Mayo</t>
  </si>
  <si>
    <t>MayR!$B$2:$AS$100</t>
  </si>
  <si>
    <t>MayR!$A$2:$A$100</t>
  </si>
  <si>
    <t>MayR!$B$6:$AS$6</t>
  </si>
  <si>
    <t>MayR</t>
  </si>
  <si>
    <t>(06) Junio</t>
  </si>
  <si>
    <t>JunR!$B$2:$AS$100</t>
  </si>
  <si>
    <t>JunR!$A$2:$A$100</t>
  </si>
  <si>
    <t>JunR!$B$6:$AS$6</t>
  </si>
  <si>
    <t>JunR</t>
  </si>
  <si>
    <t>JulR!$B$2:$AS$100</t>
  </si>
  <si>
    <t>JulR!$A$2:$A$100</t>
  </si>
  <si>
    <t>JulR!$B$6:$AS$6</t>
  </si>
  <si>
    <t>JulR</t>
  </si>
  <si>
    <t>(08) Agosto</t>
  </si>
  <si>
    <t>AgoR!$B$2:$AS$100</t>
  </si>
  <si>
    <t>AgoR!$A$2:$A$100</t>
  </si>
  <si>
    <t>AgoR!$B$6:$AS$6</t>
  </si>
  <si>
    <t>AgoR</t>
  </si>
  <si>
    <t>(09) Septiembre</t>
  </si>
  <si>
    <t>SepR!$B$2:$AS$100</t>
  </si>
  <si>
    <t>SepR!$A$2:$A$100</t>
  </si>
  <si>
    <t>SepR!$B$6:$AS$6</t>
  </si>
  <si>
    <t>SepR</t>
  </si>
  <si>
    <t>(10) Octubre</t>
  </si>
  <si>
    <t>OctR!$B$2:$AS$100</t>
  </si>
  <si>
    <t>OctR!$A$2:$A$100</t>
  </si>
  <si>
    <t>OctR!$B$6:$AS$6</t>
  </si>
  <si>
    <t>OctR</t>
  </si>
  <si>
    <t>(11) Noviembre</t>
  </si>
  <si>
    <t>NovR!$B$2:$AS$100</t>
  </si>
  <si>
    <t>NovR!$A$2:$A$100</t>
  </si>
  <si>
    <t>NovR!$B$6:$AS$6</t>
  </si>
  <si>
    <t>NovR</t>
  </si>
  <si>
    <t>(12) Diciembre</t>
  </si>
  <si>
    <t>DicR!$B$2:$AS$100</t>
  </si>
  <si>
    <t>DicR!$A$2:$A$100</t>
  </si>
  <si>
    <t>DicR!$B$6:$AS$6</t>
  </si>
  <si>
    <t>DicR</t>
  </si>
  <si>
    <t>Acumulado</t>
  </si>
  <si>
    <t>(01) Acumulado!$D$2:$AS$100</t>
  </si>
  <si>
    <t>Acumulado!$D$6:$AS$6</t>
  </si>
  <si>
    <t>!$B$2:$AS$100</t>
  </si>
  <si>
    <t>!$A$2:$A$100</t>
  </si>
  <si>
    <t>!$B$6:$AS$6</t>
  </si>
  <si>
    <t>OtrosR!$E$3:$E</t>
  </si>
  <si>
    <t>Gastos Admon!B7:B</t>
  </si>
  <si>
    <t>OtrosR!$F$3:$F</t>
  </si>
  <si>
    <t>Gastos Admon!C7:C</t>
  </si>
  <si>
    <t>OtrosR!$G$3:$G</t>
  </si>
  <si>
    <t>Gastos Admon!D7:D</t>
  </si>
  <si>
    <t>OtrosR!$H$3:$H</t>
  </si>
  <si>
    <t>Gastos Admon!E7:E</t>
  </si>
  <si>
    <t>OtrosR!$I$3:$I</t>
  </si>
  <si>
    <t>Gastos Admon!F7:F</t>
  </si>
  <si>
    <t>OtrosR!$J$3:$J</t>
  </si>
  <si>
    <t>Gastos Admon!G7:G</t>
  </si>
  <si>
    <t>OtrosR!$K$3:$K</t>
  </si>
  <si>
    <t>Gastos Admon!H7:H</t>
  </si>
  <si>
    <t>julio</t>
  </si>
  <si>
    <t>OtrosR!$L$3:$L</t>
  </si>
  <si>
    <t>Gastos Admon!I7:I</t>
  </si>
  <si>
    <t>OtrosR!$M$3:$M</t>
  </si>
  <si>
    <t>Gastos Admon!J7:J</t>
  </si>
  <si>
    <t>OtrosR!$N$3:$N</t>
  </si>
  <si>
    <t>Gastos Admon!K7:K</t>
  </si>
  <si>
    <t>OtrosR!$O$3:$O</t>
  </si>
  <si>
    <t>Gastos Admon!L7:L</t>
  </si>
  <si>
    <t>OtrosR!$P$3:$P</t>
  </si>
  <si>
    <t>Gastos Admon!M7:M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</si>
</sst>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-d"/>
  </numFmts>
  <fonts count="1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.0"/>
      <color rgb="FFFFFFFF"/>
      <name val="Arial"/>
    </font>
    <font>
      <color rgb="FFFFFFFF"/>
      <name val="Arial"/>
    </font>
    <font>
      <sz val="10.0"/>
      <color theme="1"/>
      <name val="Arial"/>
    </font>
    <font>
      <sz val="13.0"/>
      <color rgb="FFFFFFFF"/>
      <name val="Arial"/>
    </font>
    <font/>
    <font>
      <b/>
      <sz val="11.0"/>
      <color rgb="FFFFFFFF"/>
      <name val="Arial"/>
    </font>
    <font>
      <b/>
      <sz val="13.0"/>
      <color rgb="FFFFFFFF"/>
      <name val="Arial"/>
    </font>
    <font>
      <b/>
      <color rgb="FFFFFFFF"/>
      <name val="Arial"/>
    </font>
    <font>
      <sz val="9.0"/>
      <color theme="1"/>
      <name val="Times New Roman"/>
    </font>
    <font>
      <b/>
      <sz val="9.0"/>
      <color theme="1"/>
      <name val="Times New Roman"/>
    </font>
    <font>
      <b/>
      <color theme="1"/>
      <name val="Arial"/>
    </font>
    <font>
      <b/>
      <i/>
      <sz val="9.0"/>
      <color theme="1"/>
      <name val="Times New Roman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5">
    <border/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double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164" xfId="0" applyFont="1" applyNumberFormat="1"/>
    <xf borderId="0" fillId="2" fontId="4" numFmtId="164" xfId="0" applyFont="1" applyNumberFormat="1"/>
    <xf borderId="0" fillId="3" fontId="4" numFmtId="164" xfId="0" applyFont="1" applyNumberFormat="1"/>
    <xf borderId="0" fillId="0" fontId="5" numFmtId="164" xfId="0" applyAlignment="1" applyFont="1" applyNumberFormat="1">
      <alignment vertical="bottom"/>
    </xf>
    <xf borderId="0" fillId="0" fontId="5" numFmtId="164" xfId="0" applyFont="1" applyNumberFormat="1"/>
    <xf borderId="0" fillId="2" fontId="5" numFmtId="164" xfId="0" applyFont="1" applyNumberFormat="1"/>
    <xf borderId="0" fillId="3" fontId="5" numFmtId="164" xfId="0" applyFont="1" applyNumberFormat="1"/>
    <xf borderId="0" fillId="0" fontId="3" numFmtId="164" xfId="0" applyFont="1" applyNumberFormat="1"/>
    <xf borderId="0" fillId="2" fontId="3" numFmtId="164" xfId="0" applyFont="1" applyNumberFormat="1"/>
    <xf borderId="0" fillId="3" fontId="3" numFmtId="164" xfId="0" applyFont="1" applyNumberFormat="1"/>
    <xf borderId="0" fillId="0" fontId="4" numFmtId="0" xfId="0" applyFont="1"/>
    <xf borderId="0" fillId="0" fontId="5" numFmtId="0" xfId="0" applyFont="1"/>
    <xf borderId="0" fillId="0" fontId="3" numFmtId="49" xfId="0" applyFont="1" applyNumberFormat="1"/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0" fillId="5" fontId="2" numFmtId="0" xfId="0" applyAlignment="1" applyFill="1" applyFont="1">
      <alignment horizontal="center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 vertical="bottom"/>
    </xf>
    <xf borderId="1" fillId="0" fontId="7" numFmtId="0" xfId="0" applyBorder="1" applyFont="1"/>
    <xf borderId="0" fillId="0" fontId="5" numFmtId="0" xfId="0" applyAlignment="1" applyFont="1">
      <alignment horizontal="center"/>
    </xf>
    <xf borderId="1" fillId="0" fontId="4" numFmtId="164" xfId="0" applyBorder="1" applyFont="1" applyNumberFormat="1"/>
    <xf borderId="0" fillId="5" fontId="4" numFmtId="164" xfId="0" applyAlignment="1" applyFont="1" applyNumberFormat="1">
      <alignment horizontal="center"/>
    </xf>
    <xf borderId="0" fillId="2" fontId="4" numFmtId="164" xfId="0" applyAlignment="1" applyFont="1" applyNumberFormat="1">
      <alignment horizontal="center"/>
    </xf>
    <xf borderId="0" fillId="3" fontId="4" numFmtId="164" xfId="0" applyAlignment="1" applyFont="1" applyNumberFormat="1">
      <alignment horizontal="center"/>
    </xf>
    <xf borderId="0" fillId="3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0" fontId="7" numFmtId="0" xfId="0" applyAlignment="1" applyFont="1">
      <alignment vertical="bottom"/>
    </xf>
    <xf borderId="1" fillId="0" fontId="5" numFmtId="0" xfId="0" applyAlignment="1" applyBorder="1" applyFont="1">
      <alignment horizontal="right"/>
    </xf>
    <xf borderId="1" fillId="0" fontId="5" numFmtId="164" xfId="0" applyAlignment="1" applyBorder="1" applyFont="1" applyNumberFormat="1">
      <alignment horizontal="right"/>
    </xf>
    <xf borderId="0" fillId="5" fontId="5" numFmtId="164" xfId="0" applyAlignment="1" applyFont="1" applyNumberFormat="1">
      <alignment horizontal="right"/>
    </xf>
    <xf borderId="0" fillId="2" fontId="5" numFmtId="164" xfId="0" applyAlignment="1" applyFont="1" applyNumberFormat="1">
      <alignment horizontal="right"/>
    </xf>
    <xf borderId="0" fillId="3" fontId="5" numFmtId="164" xfId="0" applyAlignment="1" applyFont="1" applyNumberFormat="1">
      <alignment horizontal="right"/>
    </xf>
    <xf borderId="0" fillId="0" fontId="8" numFmtId="164" xfId="0" applyAlignment="1" applyFont="1" applyNumberFormat="1">
      <alignment horizontal="left"/>
    </xf>
    <xf borderId="1" fillId="0" fontId="3" numFmtId="164" xfId="0" applyAlignment="1" applyBorder="1" applyFont="1" applyNumberFormat="1">
      <alignment horizontal="right"/>
    </xf>
    <xf borderId="1" fillId="0" fontId="8" numFmtId="164" xfId="0" applyAlignment="1" applyBorder="1" applyFont="1" applyNumberFormat="1">
      <alignment horizontal="right"/>
    </xf>
    <xf borderId="0" fillId="5" fontId="8" numFmtId="164" xfId="0" applyAlignment="1" applyFont="1" applyNumberFormat="1">
      <alignment horizontal="right"/>
    </xf>
    <xf borderId="0" fillId="2" fontId="8" numFmtId="164" xfId="0" applyAlignment="1" applyFont="1" applyNumberFormat="1">
      <alignment horizontal="right"/>
    </xf>
    <xf borderId="0" fillId="3" fontId="8" numFmtId="164" xfId="0" applyAlignment="1" applyFont="1" applyNumberFormat="1">
      <alignment horizontal="right"/>
    </xf>
    <xf borderId="1" fillId="0" fontId="3" numFmtId="0" xfId="0" applyBorder="1" applyFont="1"/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1" fillId="0" fontId="5" numFmtId="164" xfId="0" applyBorder="1" applyFont="1" applyNumberFormat="1"/>
    <xf borderId="1" fillId="4" fontId="5" numFmtId="164" xfId="0" applyBorder="1" applyFont="1" applyNumberFormat="1"/>
    <xf borderId="0" fillId="5" fontId="5" numFmtId="164" xfId="0" applyFont="1" applyNumberFormat="1"/>
    <xf borderId="1" fillId="4" fontId="3" numFmtId="164" xfId="0" applyBorder="1" applyFont="1" applyNumberFormat="1"/>
    <xf borderId="0" fillId="5" fontId="3" numFmtId="164" xfId="0" applyFont="1" applyNumberFormat="1"/>
    <xf borderId="1" fillId="0" fontId="3" numFmtId="164" xfId="0" applyBorder="1" applyFont="1" applyNumberFormat="1"/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2" fillId="4" fontId="2" numFmtId="0" xfId="0" applyAlignment="1" applyBorder="1" applyFont="1">
      <alignment horizontal="center"/>
    </xf>
    <xf borderId="1" fillId="0" fontId="10" numFmtId="0" xfId="0" applyBorder="1" applyFont="1"/>
    <xf borderId="2" fillId="2" fontId="2" numFmtId="0" xfId="0" applyAlignment="1" applyBorder="1" applyFont="1">
      <alignment horizontal="center"/>
    </xf>
    <xf borderId="2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/>
    </xf>
    <xf borderId="2" fillId="5" fontId="4" numFmtId="0" xfId="0" applyAlignment="1" applyBorder="1" applyFont="1">
      <alignment horizontal="center"/>
    </xf>
    <xf borderId="0" fillId="5" fontId="4" numFmtId="0" xfId="0" applyAlignment="1" applyFont="1">
      <alignment horizontal="center"/>
    </xf>
    <xf borderId="1" fillId="5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center"/>
    </xf>
    <xf borderId="2" fillId="0" fontId="3" numFmtId="0" xfId="0" applyBorder="1" applyFont="1"/>
    <xf borderId="0" fillId="0" fontId="4" numFmtId="0" xfId="0" applyAlignment="1" applyFont="1">
      <alignment horizontal="left"/>
    </xf>
    <xf borderId="2" fillId="4" fontId="5" numFmtId="164" xfId="0" applyBorder="1" applyFont="1" applyNumberFormat="1"/>
    <xf borderId="0" fillId="4" fontId="5" numFmtId="164" xfId="0" applyAlignment="1" applyFont="1" applyNumberFormat="1">
      <alignment horizontal="right"/>
    </xf>
    <xf borderId="0" fillId="4" fontId="5" numFmtId="164" xfId="0" applyFont="1" applyNumberFormat="1"/>
    <xf borderId="2" fillId="5" fontId="5" numFmtId="164" xfId="0" applyBorder="1" applyFont="1" applyNumberFormat="1"/>
    <xf borderId="1" fillId="5" fontId="5" numFmtId="164" xfId="0" applyBorder="1" applyFont="1" applyNumberFormat="1"/>
    <xf borderId="2" fillId="3" fontId="5" numFmtId="164" xfId="0" applyBorder="1" applyFont="1" applyNumberFormat="1"/>
    <xf borderId="1" fillId="3" fontId="5" numFmtId="164" xfId="0" applyBorder="1" applyFont="1" applyNumberFormat="1"/>
    <xf borderId="2" fillId="2" fontId="5" numFmtId="164" xfId="0" applyBorder="1" applyFont="1" applyNumberFormat="1"/>
    <xf borderId="1" fillId="2" fontId="5" numFmtId="164" xfId="0" applyBorder="1" applyFont="1" applyNumberFormat="1"/>
    <xf borderId="0" fillId="0" fontId="13" numFmtId="0" xfId="0" applyFont="1"/>
    <xf borderId="2" fillId="4" fontId="3" numFmtId="164" xfId="0" applyBorder="1" applyFont="1" applyNumberFormat="1"/>
    <xf borderId="0" fillId="4" fontId="3" numFmtId="164" xfId="0" applyAlignment="1" applyFont="1" applyNumberFormat="1">
      <alignment horizontal="right"/>
    </xf>
    <xf borderId="0" fillId="4" fontId="3" numFmtId="164" xfId="0" applyFont="1" applyNumberFormat="1"/>
    <xf borderId="2" fillId="5" fontId="3" numFmtId="164" xfId="0" applyBorder="1" applyFont="1" applyNumberFormat="1"/>
    <xf borderId="0" fillId="5" fontId="3" numFmtId="164" xfId="0" applyAlignment="1" applyFont="1" applyNumberFormat="1">
      <alignment horizontal="right"/>
    </xf>
    <xf borderId="1" fillId="5" fontId="3" numFmtId="164" xfId="0" applyBorder="1" applyFont="1" applyNumberFormat="1"/>
    <xf borderId="2" fillId="3" fontId="3" numFmtId="164" xfId="0" applyBorder="1" applyFont="1" applyNumberFormat="1"/>
    <xf borderId="0" fillId="3" fontId="3" numFmtId="164" xfId="0" applyAlignment="1" applyFont="1" applyNumberFormat="1">
      <alignment horizontal="right"/>
    </xf>
    <xf borderId="1" fillId="3" fontId="3" numFmtId="164" xfId="0" applyBorder="1" applyFont="1" applyNumberFormat="1"/>
    <xf borderId="2" fillId="2" fontId="3" numFmtId="164" xfId="0" applyBorder="1" applyFont="1" applyNumberFormat="1"/>
    <xf borderId="0" fillId="2" fontId="3" numFmtId="164" xfId="0" applyAlignment="1" applyFont="1" applyNumberFormat="1">
      <alignment horizontal="right"/>
    </xf>
    <xf borderId="1" fillId="2" fontId="3" numFmtId="164" xfId="0" applyBorder="1" applyFont="1" applyNumberFormat="1"/>
    <xf borderId="2" fillId="4" fontId="4" numFmtId="164" xfId="0" applyBorder="1" applyFont="1" applyNumberFormat="1"/>
    <xf borderId="0" fillId="4" fontId="4" numFmtId="164" xfId="0" applyFont="1" applyNumberFormat="1"/>
    <xf borderId="2" fillId="5" fontId="4" numFmtId="164" xfId="0" applyBorder="1" applyFont="1" applyNumberFormat="1"/>
    <xf borderId="0" fillId="5" fontId="4" numFmtId="164" xfId="0" applyFont="1" applyNumberFormat="1"/>
    <xf borderId="1" fillId="5" fontId="4" numFmtId="164" xfId="0" applyBorder="1" applyFont="1" applyNumberFormat="1"/>
    <xf borderId="2" fillId="3" fontId="4" numFmtId="164" xfId="0" applyBorder="1" applyFont="1" applyNumberFormat="1"/>
    <xf borderId="1" fillId="3" fontId="4" numFmtId="164" xfId="0" applyBorder="1" applyFont="1" applyNumberFormat="1"/>
    <xf borderId="2" fillId="2" fontId="4" numFmtId="164" xfId="0" applyBorder="1" applyFont="1" applyNumberFormat="1"/>
    <xf borderId="1" fillId="2" fontId="4" numFmtId="164" xfId="0" applyBorder="1" applyFont="1" applyNumberFormat="1"/>
    <xf borderId="2" fillId="0" fontId="5" numFmtId="164" xfId="0" applyBorder="1" applyFont="1" applyNumberFormat="1"/>
    <xf borderId="2" fillId="0" fontId="3" numFmtId="164" xfId="0" applyBorder="1" applyFont="1" applyNumberFormat="1"/>
    <xf borderId="0" fillId="6" fontId="3" numFmtId="0" xfId="0" applyFill="1" applyFont="1"/>
    <xf borderId="0" fillId="6" fontId="3" numFmtId="164" xfId="0" applyFont="1" applyNumberFormat="1"/>
    <xf borderId="0" fillId="6" fontId="3" numFmtId="10" xfId="0" applyFont="1" applyNumberFormat="1"/>
    <xf quotePrefix="1" borderId="0" fillId="6" fontId="3" numFmtId="0" xfId="0" applyFont="1"/>
    <xf borderId="0" fillId="2" fontId="4" numFmtId="4" xfId="0" applyAlignment="1" applyFont="1" applyNumberFormat="1">
      <alignment horizontal="center"/>
    </xf>
    <xf borderId="0" fillId="3" fontId="4" numFmtId="10" xfId="0" applyAlignment="1" applyFont="1" applyNumberFormat="1">
      <alignment horizontal="center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4" fontId="15" numFmtId="0" xfId="0" applyAlignment="1" applyFont="1">
      <alignment horizontal="center" shrinkToFit="0" vertical="bottom" wrapText="0"/>
    </xf>
    <xf borderId="0" fillId="4" fontId="15" numFmtId="165" xfId="0" applyAlignment="1" applyFont="1" applyNumberFormat="1">
      <alignment horizontal="center" shrinkToFit="0" vertical="bottom" wrapText="0"/>
    </xf>
    <xf borderId="0" fillId="0" fontId="16" numFmtId="0" xfId="0" applyFont="1"/>
    <xf borderId="0" fillId="4" fontId="1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4" fontId="14" numFmtId="0" xfId="0" applyAlignment="1" applyFont="1">
      <alignment shrinkToFit="0" vertical="bottom" wrapText="0"/>
    </xf>
    <xf borderId="0" fillId="4" fontId="17" numFmtId="0" xfId="0" applyAlignment="1" applyFont="1">
      <alignment shrinkToFit="0" vertical="bottom" wrapText="0"/>
    </xf>
    <xf borderId="0" fillId="4" fontId="14" numFmtId="4" xfId="0" applyAlignment="1" applyFont="1" applyNumberFormat="1">
      <alignment shrinkToFit="0" vertical="bottom" wrapText="0"/>
    </xf>
    <xf borderId="0" fillId="4" fontId="15" numFmtId="4" xfId="0" applyAlignment="1" applyFont="1" applyNumberFormat="1">
      <alignment shrinkToFit="0" vertical="bottom" wrapText="0"/>
    </xf>
    <xf borderId="0" fillId="4" fontId="15" numFmtId="9" xfId="0" applyAlignment="1" applyFont="1" applyNumberFormat="1">
      <alignment horizontal="right" shrinkToFit="0" vertical="bottom" wrapText="0"/>
    </xf>
    <xf borderId="0" fillId="0" fontId="14" numFmtId="3" xfId="0" applyAlignment="1" applyFont="1" applyNumberFormat="1">
      <alignment shrinkToFit="0" vertical="bottom" wrapText="0"/>
    </xf>
    <xf borderId="0" fillId="0" fontId="3" numFmtId="3" xfId="0" applyFont="1" applyNumberFormat="1"/>
    <xf borderId="0" fillId="4" fontId="15" numFmtId="0" xfId="0" applyAlignment="1" applyFont="1">
      <alignment shrinkToFit="0" vertical="bottom" wrapText="0"/>
    </xf>
    <xf borderId="3" fillId="4" fontId="15" numFmtId="0" xfId="0" applyAlignment="1" applyBorder="1" applyFont="1">
      <alignment shrinkToFit="0" vertical="bottom" wrapText="0"/>
    </xf>
    <xf borderId="3" fillId="4" fontId="15" numFmtId="4" xfId="0" applyAlignment="1" applyBorder="1" applyFont="1" applyNumberFormat="1">
      <alignment shrinkToFit="0" vertical="bottom" wrapText="0"/>
    </xf>
    <xf borderId="3" fillId="4" fontId="15" numFmtId="3" xfId="0" applyAlignment="1" applyBorder="1" applyFont="1" applyNumberFormat="1">
      <alignment shrinkToFit="0" vertical="bottom" wrapText="0"/>
    </xf>
    <xf borderId="3" fillId="4" fontId="15" numFmtId="9" xfId="0" applyAlignment="1" applyBorder="1" applyFont="1" applyNumberFormat="1">
      <alignment horizontal="right" shrinkToFit="0" vertical="bottom" wrapText="0"/>
    </xf>
    <xf borderId="4" fillId="4" fontId="17" numFmtId="0" xfId="0" applyAlignment="1" applyBorder="1" applyFont="1">
      <alignment horizontal="center" shrinkToFit="0" vertical="bottom" wrapText="0"/>
    </xf>
    <xf borderId="4" fillId="0" fontId="10" numFmtId="0" xfId="0" applyBorder="1" applyFont="1"/>
    <xf borderId="0" fillId="4" fontId="14" numFmtId="3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shrinkToFit="0" vertical="bottom" wrapText="0"/>
    </xf>
    <xf borderId="0" fillId="0" fontId="3" numFmtId="4" xfId="0" applyFont="1" applyNumberFormat="1"/>
    <xf quotePrefix="1" borderId="0" fillId="4" fontId="14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shrinkToFit="0" vertical="bottom" wrapText="0"/>
    </xf>
    <xf borderId="0" fillId="4" fontId="17" numFmtId="0" xfId="0" applyAlignment="1" applyFont="1">
      <alignment horizontal="center" shrinkToFit="0" vertical="bottom" wrapText="0"/>
    </xf>
    <xf borderId="0" fillId="0" fontId="15" numFmtId="164" xfId="0" applyAlignment="1" applyFont="1" applyNumberFormat="1">
      <alignment horizontal="right" shrinkToFit="0" vertical="bottom" wrapText="0"/>
    </xf>
    <xf borderId="0" fillId="7" fontId="15" numFmtId="4" xfId="0" applyAlignment="1" applyFill="1" applyFont="1" applyNumberFormat="1">
      <alignment shrinkToFit="0" vertical="bottom" wrapText="0"/>
    </xf>
    <xf borderId="0" fillId="7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5" numFmtId="4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horizontal="right" shrinkToFit="0" vertical="bottom" wrapText="0"/>
    </xf>
    <xf quotePrefix="1" borderId="0" fillId="0" fontId="14" numFmtId="0" xfId="0" applyAlignment="1" applyFont="1">
      <alignment shrinkToFit="0" vertical="bottom" wrapText="0"/>
    </xf>
    <xf borderId="3" fillId="0" fontId="15" numFmtId="4" xfId="0" applyAlignment="1" applyBorder="1" applyFont="1" applyNumberForma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3" xfId="0" applyAlignment="1" applyFont="1" applyNumberFormat="1">
      <alignment shrinkToFit="0" vertical="bottom" wrapText="0"/>
    </xf>
    <xf borderId="0" fillId="0" fontId="14" numFmtId="9" xfId="0" applyAlignment="1" applyFont="1" applyNumberFormat="1">
      <alignment horizontal="right" shrinkToFit="0" vertical="bottom" wrapText="0"/>
    </xf>
    <xf borderId="3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horizontal="center" vertical="bottom"/>
    </xf>
    <xf borderId="0" fillId="0" fontId="14" numFmtId="3" xfId="0" applyAlignment="1" applyFont="1" applyNumberFormat="1">
      <alignment horizontal="right" shrinkToFit="0" vertical="bottom" wrapText="0"/>
    </xf>
    <xf borderId="0" fillId="0" fontId="15" numFmtId="3" xfId="0" applyAlignment="1" applyFont="1" applyNumberFormat="1">
      <alignment horizontal="right"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3" numFmtId="165" xfId="0" applyFont="1" applyNumberFormat="1"/>
    <xf borderId="0" fillId="0" fontId="8" numFmtId="0" xfId="0" applyFont="1"/>
    <xf borderId="0" fillId="0" fontId="8" numFmtId="164" xfId="0" applyFont="1" applyNumberFormat="1"/>
    <xf borderId="0" fillId="0" fontId="8" numFmtId="4" xfId="0" applyFont="1" applyNumberFormat="1"/>
    <xf borderId="0" fillId="0" fontId="8" numFmtId="49" xfId="0" applyFont="1" applyNumberFormat="1"/>
    <xf borderId="0" fillId="0" fontId="8" numFmtId="3" xfId="0" applyFont="1" applyNumberFormat="1"/>
    <xf borderId="0" fillId="0" fontId="1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" fontId="18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5"/>
    <col customWidth="1" min="2" max="2" width="13.75"/>
    <col customWidth="1" min="3" max="11" width="12.75"/>
    <col customWidth="1" min="12" max="12" width="9.25"/>
    <col customWidth="1" min="13" max="13" width="12.25"/>
    <col customWidth="1" min="14" max="14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</row>
    <row r="2" ht="9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15.75" customHeight="1">
      <c r="A3" s="7" t="s">
        <v>14</v>
      </c>
      <c r="B3" s="8">
        <f t="shared" ref="B3:N3" si="1">B5-B10+B49-B54</f>
        <v>0</v>
      </c>
      <c r="C3" s="9">
        <f t="shared" si="1"/>
        <v>3185663.09</v>
      </c>
      <c r="D3" s="10">
        <f t="shared" si="1"/>
        <v>3145495.89</v>
      </c>
      <c r="E3" s="9">
        <f t="shared" si="1"/>
        <v>3195106.82</v>
      </c>
      <c r="F3" s="10">
        <f t="shared" si="1"/>
        <v>3039339.99</v>
      </c>
      <c r="G3" s="9">
        <f t="shared" si="1"/>
        <v>3048710.13</v>
      </c>
      <c r="H3" s="10">
        <f t="shared" si="1"/>
        <v>3046771.31</v>
      </c>
      <c r="I3" s="9">
        <f t="shared" si="1"/>
        <v>3012037.14</v>
      </c>
      <c r="J3" s="10">
        <f t="shared" si="1"/>
        <v>0</v>
      </c>
      <c r="K3" s="9">
        <f t="shared" si="1"/>
        <v>0</v>
      </c>
      <c r="L3" s="10">
        <f t="shared" si="1"/>
        <v>0</v>
      </c>
      <c r="M3" s="9">
        <f t="shared" si="1"/>
        <v>0</v>
      </c>
      <c r="N3" s="10">
        <f t="shared" si="1"/>
        <v>0</v>
      </c>
    </row>
    <row r="4" ht="9.0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15.75" customHeight="1">
      <c r="A5" s="11" t="s">
        <v>15</v>
      </c>
      <c r="B5" s="12">
        <f t="shared" ref="B5:N5" si="2">SUM(B6:B8)</f>
        <v>0</v>
      </c>
      <c r="C5" s="13">
        <f t="shared" si="2"/>
        <v>3185663.09</v>
      </c>
      <c r="D5" s="14">
        <f t="shared" si="2"/>
        <v>3145495.89</v>
      </c>
      <c r="E5" s="13">
        <f t="shared" si="2"/>
        <v>3195106.82</v>
      </c>
      <c r="F5" s="14">
        <f t="shared" si="2"/>
        <v>3039339.99</v>
      </c>
      <c r="G5" s="13">
        <f t="shared" si="2"/>
        <v>3048710.13</v>
      </c>
      <c r="H5" s="14">
        <f t="shared" si="2"/>
        <v>3046771.31</v>
      </c>
      <c r="I5" s="13">
        <f t="shared" si="2"/>
        <v>3012037.14</v>
      </c>
      <c r="J5" s="14">
        <f t="shared" si="2"/>
        <v>0</v>
      </c>
      <c r="K5" s="13">
        <f t="shared" si="2"/>
        <v>0</v>
      </c>
      <c r="L5" s="14">
        <f t="shared" si="2"/>
        <v>0</v>
      </c>
      <c r="M5" s="13">
        <f t="shared" si="2"/>
        <v>0</v>
      </c>
      <c r="N5" s="14">
        <f t="shared" si="2"/>
        <v>0</v>
      </c>
    </row>
    <row r="6" ht="15.75" customHeight="1">
      <c r="A6" s="6" t="s">
        <v>16</v>
      </c>
      <c r="B6" s="15">
        <f t="shared" ref="B6:B8" si="4">SUM(IF(MONTH(TODAY())&gt;1,C6,0), IF(MONTH(TODAY())&gt;2,D6,0), IF(MONTH(TODAY())&gt;3,E6,0), IF(MONTH(TODAY())&gt;4,F6,0), IF(MONTH(TODAY())&gt;5,G6,0), IF(MONTH(TODAY())&gt;6,H6,0), IF(MONTH(TODAY())&gt;7,I6,0), IF(MONTH(TODAY())&gt;8,J6,0), IF(MONTH(TODAY())&gt;9,K6,0), IF(MONTH(TODAY())&gt;10,L6,0), IF(MONTH(TODAY())&gt;11,M6,0), IF(MONTH(TODAY())&gt;12,N6,0))
</f>
        <v>0</v>
      </c>
      <c r="C6" s="16">
        <f t="shared" ref="C6:N6" si="3">IFERROR(
  LET(
    hoja,       LEFT(C$1,3)&amp;"R",
    fila,       MATCH( RIGHT($A6, LEN($A6)-4),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>3185663.09</v>
      </c>
      <c r="D6" s="17">
        <f t="shared" si="3"/>
        <v>3145495.89</v>
      </c>
      <c r="E6" s="16">
        <f t="shared" si="3"/>
        <v>3173506.82</v>
      </c>
      <c r="F6" s="17">
        <f t="shared" si="3"/>
        <v>3017739.99</v>
      </c>
      <c r="G6" s="16">
        <f t="shared" si="3"/>
        <v>3027110.13</v>
      </c>
      <c r="H6" s="17">
        <f t="shared" si="3"/>
        <v>3025171.31</v>
      </c>
      <c r="I6" s="16">
        <f t="shared" si="3"/>
        <v>2990437.14</v>
      </c>
      <c r="J6" s="17" t="str">
        <f t="shared" si="3"/>
        <v/>
      </c>
      <c r="K6" s="16" t="str">
        <f t="shared" si="3"/>
        <v/>
      </c>
      <c r="L6" s="17" t="str">
        <f t="shared" si="3"/>
        <v/>
      </c>
      <c r="M6" s="16" t="str">
        <f t="shared" si="3"/>
        <v/>
      </c>
      <c r="N6" s="17" t="str">
        <f t="shared" si="3"/>
        <v/>
      </c>
    </row>
    <row r="7" ht="15.75" customHeight="1">
      <c r="A7" s="6" t="s">
        <v>17</v>
      </c>
      <c r="B7" s="15">
        <f t="shared" si="4"/>
        <v>0</v>
      </c>
      <c r="C7" s="16" t="str">
        <f t="shared" ref="C7:N7" si="5">IFERROR(
  LET(
    hoja,       LEFT(C$1,3)&amp;"R",
    fila,       MATCH( RIGHT($A7, LEN($A7)-4),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7" s="17" t="str">
        <f t="shared" si="5"/>
        <v/>
      </c>
      <c r="E7" s="16">
        <f t="shared" si="5"/>
        <v>21600</v>
      </c>
      <c r="F7" s="17">
        <f t="shared" si="5"/>
        <v>21600</v>
      </c>
      <c r="G7" s="16">
        <f t="shared" si="5"/>
        <v>21600</v>
      </c>
      <c r="H7" s="17">
        <f t="shared" si="5"/>
        <v>21600</v>
      </c>
      <c r="I7" s="16">
        <f t="shared" si="5"/>
        <v>21600</v>
      </c>
      <c r="J7" s="17" t="str">
        <f t="shared" si="5"/>
        <v/>
      </c>
      <c r="K7" s="16" t="str">
        <f t="shared" si="5"/>
        <v/>
      </c>
      <c r="L7" s="17" t="str">
        <f t="shared" si="5"/>
        <v/>
      </c>
      <c r="M7" s="16" t="str">
        <f t="shared" si="5"/>
        <v/>
      </c>
      <c r="N7" s="17" t="str">
        <f t="shared" si="5"/>
        <v/>
      </c>
    </row>
    <row r="8" ht="15.75" hidden="1" customHeight="1">
      <c r="B8" s="15">
        <f t="shared" si="4"/>
        <v>0</v>
      </c>
      <c r="C8" s="16" t="str">
        <f t="shared" ref="C8:N8" si="6">IFERROR(
  LET(
    hoja,       LEFT(C$1,3)&amp;"R",
    fila,       MATCH( RIGHT($A8, LEN($A8)-4),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8" s="17" t="str">
        <f t="shared" si="6"/>
        <v/>
      </c>
      <c r="E8" s="16" t="str">
        <f t="shared" si="6"/>
        <v/>
      </c>
      <c r="F8" s="17" t="str">
        <f t="shared" si="6"/>
        <v/>
      </c>
      <c r="G8" s="16" t="str">
        <f t="shared" si="6"/>
        <v/>
      </c>
      <c r="H8" s="17" t="str">
        <f t="shared" si="6"/>
        <v/>
      </c>
      <c r="I8" s="16" t="str">
        <f t="shared" si="6"/>
        <v/>
      </c>
      <c r="J8" s="17" t="str">
        <f t="shared" si="6"/>
        <v/>
      </c>
      <c r="K8" s="16" t="str">
        <f t="shared" si="6"/>
        <v/>
      </c>
      <c r="L8" s="17" t="str">
        <f t="shared" si="6"/>
        <v/>
      </c>
      <c r="M8" s="16" t="str">
        <f t="shared" si="6"/>
        <v/>
      </c>
      <c r="N8" s="17" t="str">
        <f t="shared" si="6"/>
        <v/>
      </c>
    </row>
    <row r="9" ht="9.0" customHeight="1">
      <c r="A9" s="1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5.75" customHeight="1">
      <c r="A10" s="19" t="s">
        <v>18</v>
      </c>
      <c r="B10" s="12">
        <f t="shared" ref="B10:N10" si="7">SUM(B11:B47)</f>
        <v>0</v>
      </c>
      <c r="C10" s="13">
        <f t="shared" si="7"/>
        <v>0</v>
      </c>
      <c r="D10" s="14">
        <f t="shared" si="7"/>
        <v>0</v>
      </c>
      <c r="E10" s="13">
        <f t="shared" si="7"/>
        <v>0</v>
      </c>
      <c r="F10" s="14">
        <f t="shared" si="7"/>
        <v>0</v>
      </c>
      <c r="G10" s="13">
        <f t="shared" si="7"/>
        <v>0</v>
      </c>
      <c r="H10" s="14">
        <f t="shared" si="7"/>
        <v>0</v>
      </c>
      <c r="I10" s="13">
        <f t="shared" si="7"/>
        <v>0</v>
      </c>
      <c r="J10" s="14">
        <f t="shared" si="7"/>
        <v>0</v>
      </c>
      <c r="K10" s="13">
        <f t="shared" si="7"/>
        <v>0</v>
      </c>
      <c r="L10" s="14">
        <f t="shared" si="7"/>
        <v>0</v>
      </c>
      <c r="M10" s="13">
        <f t="shared" si="7"/>
        <v>0</v>
      </c>
      <c r="N10" s="14">
        <f t="shared" si="7"/>
        <v>0</v>
      </c>
    </row>
    <row r="11" ht="15.75" customHeight="1">
      <c r="A11" s="6" t="str">
        <f>Menus!B4</f>
        <v/>
      </c>
      <c r="B11" s="15">
        <f t="shared" ref="B11:B47" si="9">SUM(IF(MONTH(TODAY())&gt;1,C11,0), IF(MONTH(TODAY())&gt;2,D11,0), IF(MONTH(TODAY())&gt;3,E11,0), IF(MONTH(TODAY())&gt;4,F11,0), IF(MONTH(TODAY())&gt;5,G11,0), IF(MONTH(TODAY())&gt;6,H11,0), IF(MONTH(TODAY())&gt;7,I11,0), IF(MONTH(TODAY())&gt;8,J11,0), IF(MONTH(TODAY())&gt;9,K11,0), IF(MONTH(TODAY())&gt;10,L11,0), IF(MONTH(TODAY())&gt;11,M11,0), IF(MONTH(TODAY())&gt;12,N11,0))
</f>
        <v>0</v>
      </c>
      <c r="C11" s="16" t="str">
        <f t="shared" ref="C11:N11" si="8">IFERROR(
  LET(
    hoja,       LEFT(C$1,3)&amp;"R",
    fila,       MATCH( RIGHT($A11, LEN($A11)-4),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1" s="17" t="str">
        <f t="shared" si="8"/>
        <v/>
      </c>
      <c r="E11" s="16" t="str">
        <f t="shared" si="8"/>
        <v/>
      </c>
      <c r="F11" s="17" t="str">
        <f t="shared" si="8"/>
        <v/>
      </c>
      <c r="G11" s="16" t="str">
        <f t="shared" si="8"/>
        <v/>
      </c>
      <c r="H11" s="17" t="str">
        <f t="shared" si="8"/>
        <v/>
      </c>
      <c r="I11" s="16" t="str">
        <f t="shared" si="8"/>
        <v/>
      </c>
      <c r="J11" s="17" t="str">
        <f t="shared" si="8"/>
        <v/>
      </c>
      <c r="K11" s="16" t="str">
        <f t="shared" si="8"/>
        <v/>
      </c>
      <c r="L11" s="17" t="str">
        <f t="shared" si="8"/>
        <v/>
      </c>
      <c r="M11" s="16" t="str">
        <f t="shared" si="8"/>
        <v/>
      </c>
      <c r="N11" s="17" t="str">
        <f t="shared" si="8"/>
        <v/>
      </c>
    </row>
    <row r="12" ht="15.75" customHeight="1">
      <c r="A12" s="6" t="str">
        <f>Menus!B5</f>
        <v/>
      </c>
      <c r="B12" s="15">
        <f t="shared" si="9"/>
        <v>0</v>
      </c>
      <c r="C12" s="16" t="str">
        <f t="shared" ref="C12:N12" si="10">IFERROR(
  LET(
    hoja,       LEFT(C$1,3)&amp;"R",
    fila,       MATCH( RIGHT($A12, LEN($A12)-4),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2" s="17" t="str">
        <f t="shared" si="10"/>
        <v/>
      </c>
      <c r="E12" s="16" t="str">
        <f t="shared" si="10"/>
        <v/>
      </c>
      <c r="F12" s="17" t="str">
        <f t="shared" si="10"/>
        <v/>
      </c>
      <c r="G12" s="16" t="str">
        <f t="shared" si="10"/>
        <v/>
      </c>
      <c r="H12" s="17" t="str">
        <f t="shared" si="10"/>
        <v/>
      </c>
      <c r="I12" s="16" t="str">
        <f t="shared" si="10"/>
        <v/>
      </c>
      <c r="J12" s="17" t="str">
        <f t="shared" si="10"/>
        <v/>
      </c>
      <c r="K12" s="16" t="str">
        <f t="shared" si="10"/>
        <v/>
      </c>
      <c r="L12" s="17" t="str">
        <f t="shared" si="10"/>
        <v/>
      </c>
      <c r="M12" s="16" t="str">
        <f t="shared" si="10"/>
        <v/>
      </c>
      <c r="N12" s="17" t="str">
        <f t="shared" si="10"/>
        <v/>
      </c>
    </row>
    <row r="13" ht="15.75" customHeight="1">
      <c r="A13" s="6" t="str">
        <f>Menus!B6</f>
        <v/>
      </c>
      <c r="B13" s="15">
        <f t="shared" si="9"/>
        <v>0</v>
      </c>
      <c r="C13" s="16" t="str">
        <f t="shared" ref="C13:N13" si="11">IFERROR(
  LET(
    hoja,       LEFT(C$1,3)&amp;"R",
    fila,       MATCH( RIGHT($A13, LEN($A13)-4),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3" s="17" t="str">
        <f t="shared" si="11"/>
        <v/>
      </c>
      <c r="E13" s="16" t="str">
        <f t="shared" si="11"/>
        <v/>
      </c>
      <c r="F13" s="17" t="str">
        <f t="shared" si="11"/>
        <v/>
      </c>
      <c r="G13" s="16" t="str">
        <f t="shared" si="11"/>
        <v/>
      </c>
      <c r="H13" s="17" t="str">
        <f t="shared" si="11"/>
        <v/>
      </c>
      <c r="I13" s="16" t="str">
        <f t="shared" si="11"/>
        <v/>
      </c>
      <c r="J13" s="17" t="str">
        <f t="shared" si="11"/>
        <v/>
      </c>
      <c r="K13" s="16" t="str">
        <f t="shared" si="11"/>
        <v/>
      </c>
      <c r="L13" s="17" t="str">
        <f t="shared" si="11"/>
        <v/>
      </c>
      <c r="M13" s="16" t="str">
        <f t="shared" si="11"/>
        <v/>
      </c>
      <c r="N13" s="17" t="str">
        <f t="shared" si="11"/>
        <v/>
      </c>
    </row>
    <row r="14" ht="15.75" customHeight="1">
      <c r="A14" s="6" t="str">
        <f>Menus!B7</f>
        <v/>
      </c>
      <c r="B14" s="15">
        <f t="shared" si="9"/>
        <v>0</v>
      </c>
      <c r="C14" s="16" t="str">
        <f t="shared" ref="C14:N14" si="12">IFERROR(
  LET(
    hoja,       LEFT(C$1,3)&amp;"R",
    fila,       MATCH( RIGHT($A14, LEN($A14)-4),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4" s="17" t="str">
        <f t="shared" si="12"/>
        <v/>
      </c>
      <c r="E14" s="16" t="str">
        <f t="shared" si="12"/>
        <v/>
      </c>
      <c r="F14" s="17" t="str">
        <f t="shared" si="12"/>
        <v/>
      </c>
      <c r="G14" s="16" t="str">
        <f t="shared" si="12"/>
        <v/>
      </c>
      <c r="H14" s="17" t="str">
        <f t="shared" si="12"/>
        <v/>
      </c>
      <c r="I14" s="16" t="str">
        <f t="shared" si="12"/>
        <v/>
      </c>
      <c r="J14" s="17" t="str">
        <f t="shared" si="12"/>
        <v/>
      </c>
      <c r="K14" s="16" t="str">
        <f t="shared" si="12"/>
        <v/>
      </c>
      <c r="L14" s="17" t="str">
        <f t="shared" si="12"/>
        <v/>
      </c>
      <c r="M14" s="16" t="str">
        <f t="shared" si="12"/>
        <v/>
      </c>
      <c r="N14" s="17" t="str">
        <f t="shared" si="12"/>
        <v/>
      </c>
    </row>
    <row r="15" ht="15.75" customHeight="1">
      <c r="A15" s="20" t="str">
        <f>Menus!B8</f>
        <v/>
      </c>
      <c r="B15" s="15">
        <f t="shared" si="9"/>
        <v>0</v>
      </c>
      <c r="C15" s="16" t="str">
        <f t="shared" ref="C15:N15" si="13">IFERROR(
  LET(
    hoja,       LEFT(C$1,3)&amp;"R",
    fila,       MATCH( RIGHT($A15, LEN($A15)-4),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5" s="17" t="str">
        <f t="shared" si="13"/>
        <v/>
      </c>
      <c r="E15" s="16" t="str">
        <f t="shared" si="13"/>
        <v/>
      </c>
      <c r="F15" s="17" t="str">
        <f t="shared" si="13"/>
        <v/>
      </c>
      <c r="G15" s="16" t="str">
        <f t="shared" si="13"/>
        <v/>
      </c>
      <c r="H15" s="17" t="str">
        <f t="shared" si="13"/>
        <v/>
      </c>
      <c r="I15" s="16" t="str">
        <f t="shared" si="13"/>
        <v/>
      </c>
      <c r="J15" s="17" t="str">
        <f t="shared" si="13"/>
        <v/>
      </c>
      <c r="K15" s="16" t="str">
        <f t="shared" si="13"/>
        <v/>
      </c>
      <c r="L15" s="17" t="str">
        <f t="shared" si="13"/>
        <v/>
      </c>
      <c r="M15" s="16" t="str">
        <f t="shared" si="13"/>
        <v/>
      </c>
      <c r="N15" s="17" t="str">
        <f t="shared" si="13"/>
        <v/>
      </c>
    </row>
    <row r="16" ht="15.75" customHeight="1">
      <c r="A16" s="6" t="str">
        <f>Menus!B9</f>
        <v/>
      </c>
      <c r="B16" s="15">
        <f t="shared" si="9"/>
        <v>0</v>
      </c>
      <c r="C16" s="16" t="str">
        <f t="shared" ref="C16:N16" si="14">IFERROR(
  LET(
    hoja,       LEFT(C$1,3)&amp;"R",
    fila,       MATCH( RIGHT($A16, LEN($A16)-4),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6" s="17" t="str">
        <f t="shared" si="14"/>
        <v/>
      </c>
      <c r="E16" s="16" t="str">
        <f t="shared" si="14"/>
        <v/>
      </c>
      <c r="F16" s="17" t="str">
        <f t="shared" si="14"/>
        <v/>
      </c>
      <c r="G16" s="16" t="str">
        <f t="shared" si="14"/>
        <v/>
      </c>
      <c r="H16" s="17" t="str">
        <f t="shared" si="14"/>
        <v/>
      </c>
      <c r="I16" s="16" t="str">
        <f t="shared" si="14"/>
        <v/>
      </c>
      <c r="J16" s="17" t="str">
        <f t="shared" si="14"/>
        <v/>
      </c>
      <c r="K16" s="16" t="str">
        <f t="shared" si="14"/>
        <v/>
      </c>
      <c r="L16" s="17" t="str">
        <f t="shared" si="14"/>
        <v/>
      </c>
      <c r="M16" s="16" t="str">
        <f t="shared" si="14"/>
        <v/>
      </c>
      <c r="N16" s="17" t="str">
        <f t="shared" si="14"/>
        <v/>
      </c>
    </row>
    <row r="17" ht="15.75" customHeight="1">
      <c r="A17" s="6" t="str">
        <f>Menus!B10</f>
        <v/>
      </c>
      <c r="B17" s="15">
        <f t="shared" si="9"/>
        <v>0</v>
      </c>
      <c r="C17" s="16" t="str">
        <f t="shared" ref="C17:N17" si="15">IFERROR(
  LET(
    hoja,       LEFT(C$1,3)&amp;"R",
    fila,       MATCH( RIGHT($A17, LEN($A17)-4),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7" s="17" t="str">
        <f t="shared" si="15"/>
        <v/>
      </c>
      <c r="E17" s="16" t="str">
        <f t="shared" si="15"/>
        <v/>
      </c>
      <c r="F17" s="17" t="str">
        <f t="shared" si="15"/>
        <v/>
      </c>
      <c r="G17" s="16" t="str">
        <f t="shared" si="15"/>
        <v/>
      </c>
      <c r="H17" s="17" t="str">
        <f t="shared" si="15"/>
        <v/>
      </c>
      <c r="I17" s="16" t="str">
        <f t="shared" si="15"/>
        <v/>
      </c>
      <c r="J17" s="17" t="str">
        <f t="shared" si="15"/>
        <v/>
      </c>
      <c r="K17" s="16" t="str">
        <f t="shared" si="15"/>
        <v/>
      </c>
      <c r="L17" s="17" t="str">
        <f t="shared" si="15"/>
        <v/>
      </c>
      <c r="M17" s="16" t="str">
        <f t="shared" si="15"/>
        <v/>
      </c>
      <c r="N17" s="17" t="str">
        <f t="shared" si="15"/>
        <v/>
      </c>
    </row>
    <row r="18" ht="15.75" customHeight="1">
      <c r="A18" s="6" t="str">
        <f>Menus!B11</f>
        <v/>
      </c>
      <c r="B18" s="15">
        <f t="shared" si="9"/>
        <v>0</v>
      </c>
      <c r="C18" s="16" t="str">
        <f t="shared" ref="C18:N18" si="16">IFERROR(
  LET(
    hoja,       LEFT(C$1,3)&amp;"R",
    fila,       MATCH( RIGHT($A18, LEN($A18)-4),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8" s="17" t="str">
        <f t="shared" si="16"/>
        <v/>
      </c>
      <c r="E18" s="16" t="str">
        <f t="shared" si="16"/>
        <v/>
      </c>
      <c r="F18" s="17" t="str">
        <f t="shared" si="16"/>
        <v/>
      </c>
      <c r="G18" s="16" t="str">
        <f t="shared" si="16"/>
        <v/>
      </c>
      <c r="H18" s="17" t="str">
        <f t="shared" si="16"/>
        <v/>
      </c>
      <c r="I18" s="16" t="str">
        <f t="shared" si="16"/>
        <v/>
      </c>
      <c r="J18" s="17" t="str">
        <f t="shared" si="16"/>
        <v/>
      </c>
      <c r="K18" s="16" t="str">
        <f t="shared" si="16"/>
        <v/>
      </c>
      <c r="L18" s="17" t="str">
        <f t="shared" si="16"/>
        <v/>
      </c>
      <c r="M18" s="16" t="str">
        <f t="shared" si="16"/>
        <v/>
      </c>
      <c r="N18" s="17" t="str">
        <f t="shared" si="16"/>
        <v/>
      </c>
    </row>
    <row r="19" ht="15.75" customHeight="1">
      <c r="A19" s="6" t="str">
        <f>Menus!B12</f>
        <v/>
      </c>
      <c r="B19" s="15">
        <f t="shared" si="9"/>
        <v>0</v>
      </c>
      <c r="C19" s="16" t="str">
        <f t="shared" ref="C19:N19" si="17">IFERROR(
  LET(
    hoja,       LEFT(C$1,3)&amp;"R",
    fila,       MATCH( RIGHT($A19, LEN($A19)-4),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19" s="17" t="str">
        <f t="shared" si="17"/>
        <v/>
      </c>
      <c r="E19" s="16" t="str">
        <f t="shared" si="17"/>
        <v/>
      </c>
      <c r="F19" s="17" t="str">
        <f t="shared" si="17"/>
        <v/>
      </c>
      <c r="G19" s="16" t="str">
        <f t="shared" si="17"/>
        <v/>
      </c>
      <c r="H19" s="17" t="str">
        <f t="shared" si="17"/>
        <v/>
      </c>
      <c r="I19" s="16" t="str">
        <f t="shared" si="17"/>
        <v/>
      </c>
      <c r="J19" s="17" t="str">
        <f t="shared" si="17"/>
        <v/>
      </c>
      <c r="K19" s="16" t="str">
        <f t="shared" si="17"/>
        <v/>
      </c>
      <c r="L19" s="17" t="str">
        <f t="shared" si="17"/>
        <v/>
      </c>
      <c r="M19" s="16" t="str">
        <f t="shared" si="17"/>
        <v/>
      </c>
      <c r="N19" s="17" t="str">
        <f t="shared" si="17"/>
        <v/>
      </c>
    </row>
    <row r="20" ht="15.75" customHeight="1">
      <c r="A20" s="6" t="str">
        <f>Menus!B13</f>
        <v/>
      </c>
      <c r="B20" s="15">
        <f t="shared" si="9"/>
        <v>0</v>
      </c>
      <c r="C20" s="16" t="str">
        <f t="shared" ref="C20:N20" si="18">IFERROR(
  LET(
    hoja,       LEFT(C$1,3)&amp;"R",
    fila,       MATCH( RIGHT($A20, LEN($A20)-4),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0" s="17" t="str">
        <f t="shared" si="18"/>
        <v/>
      </c>
      <c r="E20" s="16" t="str">
        <f t="shared" si="18"/>
        <v/>
      </c>
      <c r="F20" s="17" t="str">
        <f t="shared" si="18"/>
        <v/>
      </c>
      <c r="G20" s="16" t="str">
        <f t="shared" si="18"/>
        <v/>
      </c>
      <c r="H20" s="17" t="str">
        <f t="shared" si="18"/>
        <v/>
      </c>
      <c r="I20" s="16" t="str">
        <f t="shared" si="18"/>
        <v/>
      </c>
      <c r="J20" s="17" t="str">
        <f t="shared" si="18"/>
        <v/>
      </c>
      <c r="K20" s="16" t="str">
        <f t="shared" si="18"/>
        <v/>
      </c>
      <c r="L20" s="17" t="str">
        <f t="shared" si="18"/>
        <v/>
      </c>
      <c r="M20" s="16" t="str">
        <f t="shared" si="18"/>
        <v/>
      </c>
      <c r="N20" s="17" t="str">
        <f t="shared" si="18"/>
        <v/>
      </c>
    </row>
    <row r="21" ht="15.75" customHeight="1">
      <c r="A21" s="6" t="str">
        <f>Menus!B14</f>
        <v/>
      </c>
      <c r="B21" s="15">
        <f t="shared" si="9"/>
        <v>0</v>
      </c>
      <c r="C21" s="16" t="str">
        <f t="shared" ref="C21:N21" si="19">IFERROR(
  LET(
    hoja,       LEFT(C$1,3)&amp;"R",
    fila,       MATCH( RIGHT($A21, LEN($A21)-4),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1" s="17" t="str">
        <f t="shared" si="19"/>
        <v/>
      </c>
      <c r="E21" s="16" t="str">
        <f t="shared" si="19"/>
        <v/>
      </c>
      <c r="F21" s="17" t="str">
        <f t="shared" si="19"/>
        <v/>
      </c>
      <c r="G21" s="16" t="str">
        <f t="shared" si="19"/>
        <v/>
      </c>
      <c r="H21" s="17" t="str">
        <f t="shared" si="19"/>
        <v/>
      </c>
      <c r="I21" s="16" t="str">
        <f t="shared" si="19"/>
        <v/>
      </c>
      <c r="J21" s="17" t="str">
        <f t="shared" si="19"/>
        <v/>
      </c>
      <c r="K21" s="16" t="str">
        <f t="shared" si="19"/>
        <v/>
      </c>
      <c r="L21" s="17" t="str">
        <f t="shared" si="19"/>
        <v/>
      </c>
      <c r="M21" s="16" t="str">
        <f t="shared" si="19"/>
        <v/>
      </c>
      <c r="N21" s="17" t="str">
        <f t="shared" si="19"/>
        <v/>
      </c>
    </row>
    <row r="22" ht="15.75" customHeight="1">
      <c r="A22" s="6" t="str">
        <f>Menus!B15</f>
        <v/>
      </c>
      <c r="B22" s="15">
        <f t="shared" si="9"/>
        <v>0</v>
      </c>
      <c r="C22" s="16" t="str">
        <f t="shared" ref="C22:N22" si="20">IFERROR(
  LET(
    hoja,       LEFT(C$1,3)&amp;"R",
    fila,       MATCH( RIGHT($A22, LEN($A22)-4),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2" s="17" t="str">
        <f t="shared" si="20"/>
        <v/>
      </c>
      <c r="E22" s="16" t="str">
        <f t="shared" si="20"/>
        <v/>
      </c>
      <c r="F22" s="17" t="str">
        <f t="shared" si="20"/>
        <v/>
      </c>
      <c r="G22" s="16" t="str">
        <f t="shared" si="20"/>
        <v/>
      </c>
      <c r="H22" s="17" t="str">
        <f t="shared" si="20"/>
        <v/>
      </c>
      <c r="I22" s="16" t="str">
        <f t="shared" si="20"/>
        <v/>
      </c>
      <c r="J22" s="17" t="str">
        <f t="shared" si="20"/>
        <v/>
      </c>
      <c r="K22" s="16" t="str">
        <f t="shared" si="20"/>
        <v/>
      </c>
      <c r="L22" s="17" t="str">
        <f t="shared" si="20"/>
        <v/>
      </c>
      <c r="M22" s="16" t="str">
        <f t="shared" si="20"/>
        <v/>
      </c>
      <c r="N22" s="17" t="str">
        <f t="shared" si="20"/>
        <v/>
      </c>
    </row>
    <row r="23" ht="15.75" customHeight="1">
      <c r="A23" s="6" t="str">
        <f>Menus!B16</f>
        <v/>
      </c>
      <c r="B23" s="15">
        <f t="shared" si="9"/>
        <v>0</v>
      </c>
      <c r="C23" s="16" t="str">
        <f t="shared" ref="C23:N23" si="21">IFERROR(
  LET(
    hoja,       LEFT(C$1,3)&amp;"R",
    fila,       MATCH( RIGHT($A23, LEN($A23)-4),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3" s="17" t="str">
        <f t="shared" si="21"/>
        <v/>
      </c>
      <c r="E23" s="16" t="str">
        <f t="shared" si="21"/>
        <v/>
      </c>
      <c r="F23" s="17" t="str">
        <f t="shared" si="21"/>
        <v/>
      </c>
      <c r="G23" s="16" t="str">
        <f t="shared" si="21"/>
        <v/>
      </c>
      <c r="H23" s="17" t="str">
        <f t="shared" si="21"/>
        <v/>
      </c>
      <c r="I23" s="16" t="str">
        <f t="shared" si="21"/>
        <v/>
      </c>
      <c r="J23" s="17" t="str">
        <f t="shared" si="21"/>
        <v/>
      </c>
      <c r="K23" s="16" t="str">
        <f t="shared" si="21"/>
        <v/>
      </c>
      <c r="L23" s="17" t="str">
        <f t="shared" si="21"/>
        <v/>
      </c>
      <c r="M23" s="16" t="str">
        <f t="shared" si="21"/>
        <v/>
      </c>
      <c r="N23" s="17" t="str">
        <f t="shared" si="21"/>
        <v/>
      </c>
    </row>
    <row r="24" ht="15.75" customHeight="1">
      <c r="A24" s="6" t="str">
        <f>Menus!B17</f>
        <v/>
      </c>
      <c r="B24" s="15">
        <f t="shared" si="9"/>
        <v>0</v>
      </c>
      <c r="C24" s="16" t="str">
        <f t="shared" ref="C24:N24" si="22">IFERROR(
  LET(
    hoja,       LEFT(C$1,3)&amp;"R",
    fila,       MATCH( RIGHT($A24, LEN($A24)-4),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4" s="17" t="str">
        <f t="shared" si="22"/>
        <v/>
      </c>
      <c r="E24" s="16" t="str">
        <f t="shared" si="22"/>
        <v/>
      </c>
      <c r="F24" s="17" t="str">
        <f t="shared" si="22"/>
        <v/>
      </c>
      <c r="G24" s="16" t="str">
        <f t="shared" si="22"/>
        <v/>
      </c>
      <c r="H24" s="17" t="str">
        <f t="shared" si="22"/>
        <v/>
      </c>
      <c r="I24" s="16" t="str">
        <f t="shared" si="22"/>
        <v/>
      </c>
      <c r="J24" s="17" t="str">
        <f t="shared" si="22"/>
        <v/>
      </c>
      <c r="K24" s="16" t="str">
        <f t="shared" si="22"/>
        <v/>
      </c>
      <c r="L24" s="17" t="str">
        <f t="shared" si="22"/>
        <v/>
      </c>
      <c r="M24" s="16" t="str">
        <f t="shared" si="22"/>
        <v/>
      </c>
      <c r="N24" s="17" t="str">
        <f t="shared" si="22"/>
        <v/>
      </c>
    </row>
    <row r="25" ht="15.75" customHeight="1">
      <c r="A25" s="6" t="str">
        <f>Menus!B18</f>
        <v/>
      </c>
      <c r="B25" s="15">
        <f t="shared" si="9"/>
        <v>0</v>
      </c>
      <c r="C25" s="16" t="str">
        <f t="shared" ref="C25:N25" si="23">IFERROR(
  LET(
    hoja,       LEFT(C$1,3)&amp;"R",
    fila,       MATCH( RIGHT($A25, LEN($A25)-4),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5" s="17" t="str">
        <f t="shared" si="23"/>
        <v/>
      </c>
      <c r="E25" s="16" t="str">
        <f t="shared" si="23"/>
        <v/>
      </c>
      <c r="F25" s="17" t="str">
        <f t="shared" si="23"/>
        <v/>
      </c>
      <c r="G25" s="16" t="str">
        <f t="shared" si="23"/>
        <v/>
      </c>
      <c r="H25" s="17" t="str">
        <f t="shared" si="23"/>
        <v/>
      </c>
      <c r="I25" s="16" t="str">
        <f t="shared" si="23"/>
        <v/>
      </c>
      <c r="J25" s="17" t="str">
        <f t="shared" si="23"/>
        <v/>
      </c>
      <c r="K25" s="16" t="str">
        <f t="shared" si="23"/>
        <v/>
      </c>
      <c r="L25" s="17" t="str">
        <f t="shared" si="23"/>
        <v/>
      </c>
      <c r="M25" s="16" t="str">
        <f t="shared" si="23"/>
        <v/>
      </c>
      <c r="N25" s="17" t="str">
        <f t="shared" si="23"/>
        <v/>
      </c>
    </row>
    <row r="26" ht="15.75" customHeight="1">
      <c r="A26" s="6" t="str">
        <f>Menus!B19</f>
        <v/>
      </c>
      <c r="B26" s="15">
        <f t="shared" si="9"/>
        <v>0</v>
      </c>
      <c r="C26" s="16" t="str">
        <f t="shared" ref="C26:N26" si="24">IFERROR(
  LET(
    hoja,       LEFT(C$1,3)&amp;"R",
    fila,       MATCH( RIGHT($A26, LEN($A26)-4),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6" s="17" t="str">
        <f t="shared" si="24"/>
        <v/>
      </c>
      <c r="E26" s="16" t="str">
        <f t="shared" si="24"/>
        <v/>
      </c>
      <c r="F26" s="17" t="str">
        <f t="shared" si="24"/>
        <v/>
      </c>
      <c r="G26" s="16" t="str">
        <f t="shared" si="24"/>
        <v/>
      </c>
      <c r="H26" s="17" t="str">
        <f t="shared" si="24"/>
        <v/>
      </c>
      <c r="I26" s="16" t="str">
        <f t="shared" si="24"/>
        <v/>
      </c>
      <c r="J26" s="17" t="str">
        <f t="shared" si="24"/>
        <v/>
      </c>
      <c r="K26" s="16" t="str">
        <f t="shared" si="24"/>
        <v/>
      </c>
      <c r="L26" s="17" t="str">
        <f t="shared" si="24"/>
        <v/>
      </c>
      <c r="M26" s="16" t="str">
        <f t="shared" si="24"/>
        <v/>
      </c>
      <c r="N26" s="17" t="str">
        <f t="shared" si="24"/>
        <v/>
      </c>
    </row>
    <row r="27" ht="15.75" customHeight="1">
      <c r="A27" s="6" t="str">
        <f>Menus!B20</f>
        <v/>
      </c>
      <c r="B27" s="15">
        <f t="shared" si="9"/>
        <v>0</v>
      </c>
      <c r="C27" s="16" t="str">
        <f t="shared" ref="C27:N27" si="25">IFERROR(
  LET(
    hoja,       LEFT(C$1,3)&amp;"R",
    fila,       MATCH( RIGHT($A27, LEN($A27)-4),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7" s="17" t="str">
        <f t="shared" si="25"/>
        <v/>
      </c>
      <c r="E27" s="16" t="str">
        <f t="shared" si="25"/>
        <v/>
      </c>
      <c r="F27" s="17" t="str">
        <f t="shared" si="25"/>
        <v/>
      </c>
      <c r="G27" s="16" t="str">
        <f t="shared" si="25"/>
        <v/>
      </c>
      <c r="H27" s="17" t="str">
        <f t="shared" si="25"/>
        <v/>
      </c>
      <c r="I27" s="16" t="str">
        <f t="shared" si="25"/>
        <v/>
      </c>
      <c r="J27" s="17" t="str">
        <f t="shared" si="25"/>
        <v/>
      </c>
      <c r="K27" s="16" t="str">
        <f t="shared" si="25"/>
        <v/>
      </c>
      <c r="L27" s="17" t="str">
        <f t="shared" si="25"/>
        <v/>
      </c>
      <c r="M27" s="16" t="str">
        <f t="shared" si="25"/>
        <v/>
      </c>
      <c r="N27" s="17" t="str">
        <f t="shared" si="25"/>
        <v/>
      </c>
    </row>
    <row r="28" ht="15.75" customHeight="1">
      <c r="A28" s="6" t="str">
        <f>Menus!B21</f>
        <v/>
      </c>
      <c r="B28" s="15">
        <f t="shared" si="9"/>
        <v>0</v>
      </c>
      <c r="C28" s="16" t="str">
        <f t="shared" ref="C28:N28" si="26">IFERROR(
  LET(
    hoja,       LEFT(C$1,3)&amp;"R",
    fila,       MATCH( RIGHT($A28, LEN($A28)-4),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8" s="17" t="str">
        <f t="shared" si="26"/>
        <v/>
      </c>
      <c r="E28" s="16" t="str">
        <f t="shared" si="26"/>
        <v/>
      </c>
      <c r="F28" s="17" t="str">
        <f t="shared" si="26"/>
        <v/>
      </c>
      <c r="G28" s="16" t="str">
        <f t="shared" si="26"/>
        <v/>
      </c>
      <c r="H28" s="17" t="str">
        <f t="shared" si="26"/>
        <v/>
      </c>
      <c r="I28" s="16" t="str">
        <f t="shared" si="26"/>
        <v/>
      </c>
      <c r="J28" s="17" t="str">
        <f t="shared" si="26"/>
        <v/>
      </c>
      <c r="K28" s="16" t="str">
        <f t="shared" si="26"/>
        <v/>
      </c>
      <c r="L28" s="17" t="str">
        <f t="shared" si="26"/>
        <v/>
      </c>
      <c r="M28" s="16" t="str">
        <f t="shared" si="26"/>
        <v/>
      </c>
      <c r="N28" s="17" t="str">
        <f t="shared" si="26"/>
        <v/>
      </c>
    </row>
    <row r="29" ht="15.75" customHeight="1">
      <c r="A29" s="6" t="str">
        <f>Menus!B22</f>
        <v/>
      </c>
      <c r="B29" s="15">
        <f t="shared" si="9"/>
        <v>0</v>
      </c>
      <c r="C29" s="16" t="str">
        <f t="shared" ref="C29:N29" si="27">IFERROR(
  LET(
    hoja,       LEFT(C$1,3)&amp;"R",
    fila,       MATCH( RIGHT($A29, LEN($A29)-4),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29" s="17" t="str">
        <f t="shared" si="27"/>
        <v/>
      </c>
      <c r="E29" s="16" t="str">
        <f t="shared" si="27"/>
        <v/>
      </c>
      <c r="F29" s="17" t="str">
        <f t="shared" si="27"/>
        <v/>
      </c>
      <c r="G29" s="16" t="str">
        <f t="shared" si="27"/>
        <v/>
      </c>
      <c r="H29" s="17" t="str">
        <f t="shared" si="27"/>
        <v/>
      </c>
      <c r="I29" s="16" t="str">
        <f t="shared" si="27"/>
        <v/>
      </c>
      <c r="J29" s="17" t="str">
        <f t="shared" si="27"/>
        <v/>
      </c>
      <c r="K29" s="16" t="str">
        <f t="shared" si="27"/>
        <v/>
      </c>
      <c r="L29" s="17" t="str">
        <f t="shared" si="27"/>
        <v/>
      </c>
      <c r="M29" s="16" t="str">
        <f t="shared" si="27"/>
        <v/>
      </c>
      <c r="N29" s="17" t="str">
        <f t="shared" si="27"/>
        <v/>
      </c>
    </row>
    <row r="30" ht="15.75" customHeight="1">
      <c r="A30" s="6" t="str">
        <f>Menus!B23</f>
        <v/>
      </c>
      <c r="B30" s="15">
        <f t="shared" si="9"/>
        <v>0</v>
      </c>
      <c r="C30" s="16" t="str">
        <f t="shared" ref="C30:N30" si="28">IFERROR(
  LET(
    hoja,       LEFT(C$1,3)&amp;"R",
    fila,       MATCH( RIGHT($A30, LEN($A30)-4),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0" s="17" t="str">
        <f t="shared" si="28"/>
        <v/>
      </c>
      <c r="E30" s="16" t="str">
        <f t="shared" si="28"/>
        <v/>
      </c>
      <c r="F30" s="17" t="str">
        <f t="shared" si="28"/>
        <v/>
      </c>
      <c r="G30" s="16" t="str">
        <f t="shared" si="28"/>
        <v/>
      </c>
      <c r="H30" s="17" t="str">
        <f t="shared" si="28"/>
        <v/>
      </c>
      <c r="I30" s="16" t="str">
        <f t="shared" si="28"/>
        <v/>
      </c>
      <c r="J30" s="17" t="str">
        <f t="shared" si="28"/>
        <v/>
      </c>
      <c r="K30" s="16" t="str">
        <f t="shared" si="28"/>
        <v/>
      </c>
      <c r="L30" s="17" t="str">
        <f t="shared" si="28"/>
        <v/>
      </c>
      <c r="M30" s="16" t="str">
        <f t="shared" si="28"/>
        <v/>
      </c>
      <c r="N30" s="17" t="str">
        <f t="shared" si="28"/>
        <v/>
      </c>
    </row>
    <row r="31" ht="15.75" customHeight="1">
      <c r="A31" s="6" t="str">
        <f>Menus!B24</f>
        <v/>
      </c>
      <c r="B31" s="15">
        <f t="shared" si="9"/>
        <v>0</v>
      </c>
      <c r="C31" s="16" t="str">
        <f t="shared" ref="C31:N31" si="29">IFERROR(
  LET(
    hoja,       LEFT(C$1,3)&amp;"R",
    fila,       MATCH( RIGHT($A31, LEN($A31)-4),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1" s="17" t="str">
        <f t="shared" si="29"/>
        <v/>
      </c>
      <c r="E31" s="16" t="str">
        <f t="shared" si="29"/>
        <v/>
      </c>
      <c r="F31" s="17" t="str">
        <f t="shared" si="29"/>
        <v/>
      </c>
      <c r="G31" s="16" t="str">
        <f t="shared" si="29"/>
        <v/>
      </c>
      <c r="H31" s="17" t="str">
        <f t="shared" si="29"/>
        <v/>
      </c>
      <c r="I31" s="16" t="str">
        <f t="shared" si="29"/>
        <v/>
      </c>
      <c r="J31" s="17" t="str">
        <f t="shared" si="29"/>
        <v/>
      </c>
      <c r="K31" s="16" t="str">
        <f t="shared" si="29"/>
        <v/>
      </c>
      <c r="L31" s="17" t="str">
        <f t="shared" si="29"/>
        <v/>
      </c>
      <c r="M31" s="16" t="str">
        <f t="shared" si="29"/>
        <v/>
      </c>
      <c r="N31" s="17" t="str">
        <f t="shared" si="29"/>
        <v/>
      </c>
    </row>
    <row r="32" ht="15.75" customHeight="1">
      <c r="A32" s="6" t="str">
        <f>Menus!B25</f>
        <v/>
      </c>
      <c r="B32" s="15">
        <f t="shared" si="9"/>
        <v>0</v>
      </c>
      <c r="C32" s="16" t="str">
        <f t="shared" ref="C32:N32" si="30">IFERROR(
  LET(
    hoja,       LEFT(C$1,3)&amp;"R",
    fila,       MATCH( RIGHT($A32, LEN($A32)-4),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2" s="17" t="str">
        <f t="shared" si="30"/>
        <v/>
      </c>
      <c r="E32" s="16" t="str">
        <f t="shared" si="30"/>
        <v/>
      </c>
      <c r="F32" s="17" t="str">
        <f t="shared" si="30"/>
        <v/>
      </c>
      <c r="G32" s="16" t="str">
        <f t="shared" si="30"/>
        <v/>
      </c>
      <c r="H32" s="17" t="str">
        <f t="shared" si="30"/>
        <v/>
      </c>
      <c r="I32" s="16" t="str">
        <f t="shared" si="30"/>
        <v/>
      </c>
      <c r="J32" s="17" t="str">
        <f t="shared" si="30"/>
        <v/>
      </c>
      <c r="K32" s="16" t="str">
        <f t="shared" si="30"/>
        <v/>
      </c>
      <c r="L32" s="17" t="str">
        <f t="shared" si="30"/>
        <v/>
      </c>
      <c r="M32" s="16" t="str">
        <f t="shared" si="30"/>
        <v/>
      </c>
      <c r="N32" s="17" t="str">
        <f t="shared" si="30"/>
        <v/>
      </c>
    </row>
    <row r="33" ht="15.75" customHeight="1">
      <c r="A33" s="6" t="str">
        <f>Menus!B26</f>
        <v/>
      </c>
      <c r="B33" s="15">
        <f t="shared" si="9"/>
        <v>0</v>
      </c>
      <c r="C33" s="16" t="str">
        <f t="shared" ref="C33:N33" si="31">IFERROR(
  LET(
    hoja,       LEFT(C$1,3)&amp;"R",
    fila,       MATCH( RIGHT($A33, LEN($A33)-4),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3" s="17" t="str">
        <f t="shared" si="31"/>
        <v/>
      </c>
      <c r="E33" s="16" t="str">
        <f t="shared" si="31"/>
        <v/>
      </c>
      <c r="F33" s="17" t="str">
        <f t="shared" si="31"/>
        <v/>
      </c>
      <c r="G33" s="16" t="str">
        <f t="shared" si="31"/>
        <v/>
      </c>
      <c r="H33" s="17" t="str">
        <f t="shared" si="31"/>
        <v/>
      </c>
      <c r="I33" s="16" t="str">
        <f t="shared" si="31"/>
        <v/>
      </c>
      <c r="J33" s="17" t="str">
        <f t="shared" si="31"/>
        <v/>
      </c>
      <c r="K33" s="16" t="str">
        <f t="shared" si="31"/>
        <v/>
      </c>
      <c r="L33" s="17" t="str">
        <f t="shared" si="31"/>
        <v/>
      </c>
      <c r="M33" s="16" t="str">
        <f t="shared" si="31"/>
        <v/>
      </c>
      <c r="N33" s="17" t="str">
        <f t="shared" si="31"/>
        <v/>
      </c>
    </row>
    <row r="34" ht="15.75" customHeight="1">
      <c r="A34" s="6" t="str">
        <f>Menus!B27</f>
        <v/>
      </c>
      <c r="B34" s="15">
        <f t="shared" si="9"/>
        <v>0</v>
      </c>
      <c r="C34" s="16" t="str">
        <f t="shared" ref="C34:N34" si="32">IFERROR(
  LET(
    hoja,       LEFT(C$1,3)&amp;"R",
    fila,       MATCH( RIGHT($A34, LEN($A34)-4),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4" s="17" t="str">
        <f t="shared" si="32"/>
        <v/>
      </c>
      <c r="E34" s="16" t="str">
        <f t="shared" si="32"/>
        <v/>
      </c>
      <c r="F34" s="17" t="str">
        <f t="shared" si="32"/>
        <v/>
      </c>
      <c r="G34" s="16" t="str">
        <f t="shared" si="32"/>
        <v/>
      </c>
      <c r="H34" s="17" t="str">
        <f t="shared" si="32"/>
        <v/>
      </c>
      <c r="I34" s="16" t="str">
        <f t="shared" si="32"/>
        <v/>
      </c>
      <c r="J34" s="17" t="str">
        <f t="shared" si="32"/>
        <v/>
      </c>
      <c r="K34" s="16" t="str">
        <f t="shared" si="32"/>
        <v/>
      </c>
      <c r="L34" s="17" t="str">
        <f t="shared" si="32"/>
        <v/>
      </c>
      <c r="M34" s="16" t="str">
        <f t="shared" si="32"/>
        <v/>
      </c>
      <c r="N34" s="17" t="str">
        <f t="shared" si="32"/>
        <v/>
      </c>
    </row>
    <row r="35" ht="15.75" customHeight="1">
      <c r="A35" s="6" t="str">
        <f>Menus!B28</f>
        <v/>
      </c>
      <c r="B35" s="15">
        <f t="shared" si="9"/>
        <v>0</v>
      </c>
      <c r="C35" s="16" t="str">
        <f t="shared" ref="C35:N35" si="33">IFERROR(
  LET(
    hoja,       LEFT(C$1,3)&amp;"R",
    fila,       MATCH( RIGHT($A35, LEN($A35)-4),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5" s="17" t="str">
        <f t="shared" si="33"/>
        <v/>
      </c>
      <c r="E35" s="16" t="str">
        <f t="shared" si="33"/>
        <v/>
      </c>
      <c r="F35" s="17" t="str">
        <f t="shared" si="33"/>
        <v/>
      </c>
      <c r="G35" s="16" t="str">
        <f t="shared" si="33"/>
        <v/>
      </c>
      <c r="H35" s="17" t="str">
        <f t="shared" si="33"/>
        <v/>
      </c>
      <c r="I35" s="16" t="str">
        <f t="shared" si="33"/>
        <v/>
      </c>
      <c r="J35" s="17" t="str">
        <f t="shared" si="33"/>
        <v/>
      </c>
      <c r="K35" s="16" t="str">
        <f t="shared" si="33"/>
        <v/>
      </c>
      <c r="L35" s="17" t="str">
        <f t="shared" si="33"/>
        <v/>
      </c>
      <c r="M35" s="16" t="str">
        <f t="shared" si="33"/>
        <v/>
      </c>
      <c r="N35" s="17" t="str">
        <f t="shared" si="33"/>
        <v/>
      </c>
    </row>
    <row r="36" ht="15.75" customHeight="1">
      <c r="A36" s="6" t="str">
        <f>Menus!B29</f>
        <v/>
      </c>
      <c r="B36" s="15">
        <f t="shared" si="9"/>
        <v>0</v>
      </c>
      <c r="C36" s="16" t="str">
        <f t="shared" ref="C36:N36" si="34">IFERROR(
  LET(
    hoja,       LEFT(C$1,3)&amp;"R",
    fila,       MATCH( RIGHT($A36, LEN($A36)-4),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6" s="17" t="str">
        <f t="shared" si="34"/>
        <v/>
      </c>
      <c r="E36" s="16" t="str">
        <f t="shared" si="34"/>
        <v/>
      </c>
      <c r="F36" s="17" t="str">
        <f t="shared" si="34"/>
        <v/>
      </c>
      <c r="G36" s="16" t="str">
        <f t="shared" si="34"/>
        <v/>
      </c>
      <c r="H36" s="17" t="str">
        <f t="shared" si="34"/>
        <v/>
      </c>
      <c r="I36" s="16" t="str">
        <f t="shared" si="34"/>
        <v/>
      </c>
      <c r="J36" s="17" t="str">
        <f t="shared" si="34"/>
        <v/>
      </c>
      <c r="K36" s="16" t="str">
        <f t="shared" si="34"/>
        <v/>
      </c>
      <c r="L36" s="17" t="str">
        <f t="shared" si="34"/>
        <v/>
      </c>
      <c r="M36" s="16" t="str">
        <f t="shared" si="34"/>
        <v/>
      </c>
      <c r="N36" s="17" t="str">
        <f t="shared" si="34"/>
        <v/>
      </c>
    </row>
    <row r="37" ht="15.75" customHeight="1">
      <c r="A37" s="6" t="str">
        <f>Menus!B30</f>
        <v/>
      </c>
      <c r="B37" s="15">
        <f t="shared" si="9"/>
        <v>0</v>
      </c>
      <c r="C37" s="16" t="str">
        <f t="shared" ref="C37:N37" si="35">IFERROR(
  LET(
    hoja,       LEFT(C$1,3)&amp;"R",
    fila,       MATCH( RIGHT($A37, LEN($A37)-4),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7" s="17" t="str">
        <f t="shared" si="35"/>
        <v/>
      </c>
      <c r="E37" s="16" t="str">
        <f t="shared" si="35"/>
        <v/>
      </c>
      <c r="F37" s="17" t="str">
        <f t="shared" si="35"/>
        <v/>
      </c>
      <c r="G37" s="16" t="str">
        <f t="shared" si="35"/>
        <v/>
      </c>
      <c r="H37" s="17" t="str">
        <f t="shared" si="35"/>
        <v/>
      </c>
      <c r="I37" s="16" t="str">
        <f t="shared" si="35"/>
        <v/>
      </c>
      <c r="J37" s="17" t="str">
        <f t="shared" si="35"/>
        <v/>
      </c>
      <c r="K37" s="16" t="str">
        <f t="shared" si="35"/>
        <v/>
      </c>
      <c r="L37" s="17" t="str">
        <f t="shared" si="35"/>
        <v/>
      </c>
      <c r="M37" s="16" t="str">
        <f t="shared" si="35"/>
        <v/>
      </c>
      <c r="N37" s="17" t="str">
        <f t="shared" si="35"/>
        <v/>
      </c>
    </row>
    <row r="38" ht="15.75" customHeight="1">
      <c r="A38" s="6" t="str">
        <f>Menus!B31</f>
        <v/>
      </c>
      <c r="B38" s="15">
        <f t="shared" si="9"/>
        <v>0</v>
      </c>
      <c r="C38" s="16" t="str">
        <f t="shared" ref="C38:N38" si="36">IFERROR(
  LET(
    hoja,       LEFT(C$1,3)&amp;"R",
    fila,       MATCH( RIGHT($A38, LEN($A38)-4),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8" s="17" t="str">
        <f t="shared" si="36"/>
        <v/>
      </c>
      <c r="E38" s="16" t="str">
        <f t="shared" si="36"/>
        <v/>
      </c>
      <c r="F38" s="17" t="str">
        <f t="shared" si="36"/>
        <v/>
      </c>
      <c r="G38" s="16" t="str">
        <f t="shared" si="36"/>
        <v/>
      </c>
      <c r="H38" s="17" t="str">
        <f t="shared" si="36"/>
        <v/>
      </c>
      <c r="I38" s="16" t="str">
        <f t="shared" si="36"/>
        <v/>
      </c>
      <c r="J38" s="17" t="str">
        <f t="shared" si="36"/>
        <v/>
      </c>
      <c r="K38" s="16" t="str">
        <f t="shared" si="36"/>
        <v/>
      </c>
      <c r="L38" s="17" t="str">
        <f t="shared" si="36"/>
        <v/>
      </c>
      <c r="M38" s="16" t="str">
        <f t="shared" si="36"/>
        <v/>
      </c>
      <c r="N38" s="17" t="str">
        <f t="shared" si="36"/>
        <v/>
      </c>
    </row>
    <row r="39" ht="15.75" customHeight="1">
      <c r="A39" s="6" t="str">
        <f>Menus!B32</f>
        <v/>
      </c>
      <c r="B39" s="15">
        <f t="shared" si="9"/>
        <v>0</v>
      </c>
      <c r="C39" s="16" t="str">
        <f t="shared" ref="C39:N39" si="37">IFERROR(
  LET(
    hoja,       LEFT(C$1,3)&amp;"R",
    fila,       MATCH( RIGHT($A39, LEN($A39)-4),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39" s="17" t="str">
        <f t="shared" si="37"/>
        <v/>
      </c>
      <c r="E39" s="16" t="str">
        <f t="shared" si="37"/>
        <v/>
      </c>
      <c r="F39" s="17" t="str">
        <f t="shared" si="37"/>
        <v/>
      </c>
      <c r="G39" s="16" t="str">
        <f t="shared" si="37"/>
        <v/>
      </c>
      <c r="H39" s="17" t="str">
        <f t="shared" si="37"/>
        <v/>
      </c>
      <c r="I39" s="16" t="str">
        <f t="shared" si="37"/>
        <v/>
      </c>
      <c r="J39" s="17" t="str">
        <f t="shared" si="37"/>
        <v/>
      </c>
      <c r="K39" s="16" t="str">
        <f t="shared" si="37"/>
        <v/>
      </c>
      <c r="L39" s="17" t="str">
        <f t="shared" si="37"/>
        <v/>
      </c>
      <c r="M39" s="16" t="str">
        <f t="shared" si="37"/>
        <v/>
      </c>
      <c r="N39" s="17" t="str">
        <f t="shared" si="37"/>
        <v/>
      </c>
    </row>
    <row r="40" ht="15.75" customHeight="1">
      <c r="A40" s="6" t="str">
        <f>Menus!B33</f>
        <v/>
      </c>
      <c r="B40" s="15">
        <f t="shared" si="9"/>
        <v>0</v>
      </c>
      <c r="C40" s="16" t="str">
        <f t="shared" ref="C40:N40" si="38">IFERROR(
  LET(
    hoja,       LEFT(C$1,3)&amp;"R",
    fila,       MATCH( RIGHT($A40, LEN($A40)-4),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0" s="17" t="str">
        <f t="shared" si="38"/>
        <v/>
      </c>
      <c r="E40" s="16" t="str">
        <f t="shared" si="38"/>
        <v/>
      </c>
      <c r="F40" s="17" t="str">
        <f t="shared" si="38"/>
        <v/>
      </c>
      <c r="G40" s="16" t="str">
        <f t="shared" si="38"/>
        <v/>
      </c>
      <c r="H40" s="17" t="str">
        <f t="shared" si="38"/>
        <v/>
      </c>
      <c r="I40" s="16" t="str">
        <f t="shared" si="38"/>
        <v/>
      </c>
      <c r="J40" s="17" t="str">
        <f t="shared" si="38"/>
        <v/>
      </c>
      <c r="K40" s="16" t="str">
        <f t="shared" si="38"/>
        <v/>
      </c>
      <c r="L40" s="17" t="str">
        <f t="shared" si="38"/>
        <v/>
      </c>
      <c r="M40" s="16" t="str">
        <f t="shared" si="38"/>
        <v/>
      </c>
      <c r="N40" s="17" t="str">
        <f t="shared" si="38"/>
        <v/>
      </c>
    </row>
    <row r="41" ht="15.75" customHeight="1">
      <c r="A41" s="6" t="str">
        <f>Menus!B34</f>
        <v/>
      </c>
      <c r="B41" s="15">
        <f t="shared" si="9"/>
        <v>0</v>
      </c>
      <c r="C41" s="16" t="str">
        <f t="shared" ref="C41:N41" si="39">IFERROR(
  LET(
    hoja,       LEFT(C$1,3)&amp;"R",
    fila,       MATCH( RIGHT($A41, LEN($A41)-4),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1" s="17" t="str">
        <f t="shared" si="39"/>
        <v/>
      </c>
      <c r="E41" s="16" t="str">
        <f t="shared" si="39"/>
        <v/>
      </c>
      <c r="F41" s="17" t="str">
        <f t="shared" si="39"/>
        <v/>
      </c>
      <c r="G41" s="16" t="str">
        <f t="shared" si="39"/>
        <v/>
      </c>
      <c r="H41" s="17" t="str">
        <f t="shared" si="39"/>
        <v/>
      </c>
      <c r="I41" s="16" t="str">
        <f t="shared" si="39"/>
        <v/>
      </c>
      <c r="J41" s="17" t="str">
        <f t="shared" si="39"/>
        <v/>
      </c>
      <c r="K41" s="16" t="str">
        <f t="shared" si="39"/>
        <v/>
      </c>
      <c r="L41" s="17" t="str">
        <f t="shared" si="39"/>
        <v/>
      </c>
      <c r="M41" s="16" t="str">
        <f t="shared" si="39"/>
        <v/>
      </c>
      <c r="N41" s="17" t="str">
        <f t="shared" si="39"/>
        <v/>
      </c>
    </row>
    <row r="42" ht="15.75" hidden="1" customHeight="1">
      <c r="A42" s="6" t="str">
        <f>Menus!B35</f>
        <v/>
      </c>
      <c r="B42" s="15">
        <f t="shared" si="9"/>
        <v>0</v>
      </c>
      <c r="C42" s="16" t="str">
        <f t="shared" ref="C42:N42" si="40">IFERROR(
  LET(
    hoja,       LEFT(C$1,3)&amp;"R",
    fila,       MATCH( RIGHT($A42, LEN($A42)-4),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2" s="17" t="str">
        <f t="shared" si="40"/>
        <v/>
      </c>
      <c r="E42" s="16" t="str">
        <f t="shared" si="40"/>
        <v/>
      </c>
      <c r="F42" s="17" t="str">
        <f t="shared" si="40"/>
        <v/>
      </c>
      <c r="G42" s="16" t="str">
        <f t="shared" si="40"/>
        <v/>
      </c>
      <c r="H42" s="17" t="str">
        <f t="shared" si="40"/>
        <v/>
      </c>
      <c r="I42" s="16" t="str">
        <f t="shared" si="40"/>
        <v/>
      </c>
      <c r="J42" s="17" t="str">
        <f t="shared" si="40"/>
        <v/>
      </c>
      <c r="K42" s="16" t="str">
        <f t="shared" si="40"/>
        <v/>
      </c>
      <c r="L42" s="17" t="str">
        <f t="shared" si="40"/>
        <v/>
      </c>
      <c r="M42" s="16" t="str">
        <f t="shared" si="40"/>
        <v/>
      </c>
      <c r="N42" s="17" t="str">
        <f t="shared" si="40"/>
        <v/>
      </c>
    </row>
    <row r="43" ht="15.75" hidden="1" customHeight="1">
      <c r="A43" s="6" t="str">
        <f>Menus!B36</f>
        <v/>
      </c>
      <c r="B43" s="15">
        <f t="shared" si="9"/>
        <v>0</v>
      </c>
      <c r="C43" s="16" t="str">
        <f t="shared" ref="C43:N43" si="41">IFERROR(
  LET(
    hoja,       LEFT(C$1,3)&amp;"R",
    fila,       MATCH( RIGHT($A43, LEN($A43)-4),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3" s="17" t="str">
        <f t="shared" si="41"/>
        <v/>
      </c>
      <c r="E43" s="16" t="str">
        <f t="shared" si="41"/>
        <v/>
      </c>
      <c r="F43" s="17" t="str">
        <f t="shared" si="41"/>
        <v/>
      </c>
      <c r="G43" s="16" t="str">
        <f t="shared" si="41"/>
        <v/>
      </c>
      <c r="H43" s="17" t="str">
        <f t="shared" si="41"/>
        <v/>
      </c>
      <c r="I43" s="16" t="str">
        <f t="shared" si="41"/>
        <v/>
      </c>
      <c r="J43" s="17" t="str">
        <f t="shared" si="41"/>
        <v/>
      </c>
      <c r="K43" s="16" t="str">
        <f t="shared" si="41"/>
        <v/>
      </c>
      <c r="L43" s="17" t="str">
        <f t="shared" si="41"/>
        <v/>
      </c>
      <c r="M43" s="16" t="str">
        <f t="shared" si="41"/>
        <v/>
      </c>
      <c r="N43" s="17" t="str">
        <f t="shared" si="41"/>
        <v/>
      </c>
    </row>
    <row r="44" ht="15.75" hidden="1" customHeight="1">
      <c r="A44" s="6" t="str">
        <f>Menus!B37</f>
        <v/>
      </c>
      <c r="B44" s="15">
        <f t="shared" si="9"/>
        <v>0</v>
      </c>
      <c r="C44" s="16" t="str">
        <f t="shared" ref="C44:N44" si="42">IFERROR(
  LET(
    hoja,       LEFT(C$1,3)&amp;"R",
    fila,       MATCH( RIGHT($A44, LEN($A44)-4),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4" s="17" t="str">
        <f t="shared" si="42"/>
        <v/>
      </c>
      <c r="E44" s="16" t="str">
        <f t="shared" si="42"/>
        <v/>
      </c>
      <c r="F44" s="17" t="str">
        <f t="shared" si="42"/>
        <v/>
      </c>
      <c r="G44" s="16" t="str">
        <f t="shared" si="42"/>
        <v/>
      </c>
      <c r="H44" s="17" t="str">
        <f t="shared" si="42"/>
        <v/>
      </c>
      <c r="I44" s="16" t="str">
        <f t="shared" si="42"/>
        <v/>
      </c>
      <c r="J44" s="17" t="str">
        <f t="shared" si="42"/>
        <v/>
      </c>
      <c r="K44" s="16" t="str">
        <f t="shared" si="42"/>
        <v/>
      </c>
      <c r="L44" s="17" t="str">
        <f t="shared" si="42"/>
        <v/>
      </c>
      <c r="M44" s="16" t="str">
        <f t="shared" si="42"/>
        <v/>
      </c>
      <c r="N44" s="17" t="str">
        <f t="shared" si="42"/>
        <v/>
      </c>
    </row>
    <row r="45" ht="15.75" hidden="1" customHeight="1">
      <c r="A45" s="6" t="str">
        <f>Menus!B38</f>
        <v/>
      </c>
      <c r="B45" s="15">
        <f t="shared" si="9"/>
        <v>0</v>
      </c>
      <c r="C45" s="16" t="str">
        <f t="shared" ref="C45:N45" si="43">IFERROR(
  LET(
    hoja,       LEFT(C$1,3)&amp;"R",
    fila,       MATCH( RIGHT($A45, LEN($A45)-4),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5" s="17" t="str">
        <f t="shared" si="43"/>
        <v/>
      </c>
      <c r="E45" s="16" t="str">
        <f t="shared" si="43"/>
        <v/>
      </c>
      <c r="F45" s="17" t="str">
        <f t="shared" si="43"/>
        <v/>
      </c>
      <c r="G45" s="16" t="str">
        <f t="shared" si="43"/>
        <v/>
      </c>
      <c r="H45" s="17" t="str">
        <f t="shared" si="43"/>
        <v/>
      </c>
      <c r="I45" s="16" t="str">
        <f t="shared" si="43"/>
        <v/>
      </c>
      <c r="J45" s="17" t="str">
        <f t="shared" si="43"/>
        <v/>
      </c>
      <c r="K45" s="16" t="str">
        <f t="shared" si="43"/>
        <v/>
      </c>
      <c r="L45" s="17" t="str">
        <f t="shared" si="43"/>
        <v/>
      </c>
      <c r="M45" s="16" t="str">
        <f t="shared" si="43"/>
        <v/>
      </c>
      <c r="N45" s="17" t="str">
        <f t="shared" si="43"/>
        <v/>
      </c>
    </row>
    <row r="46" ht="15.75" hidden="1" customHeight="1">
      <c r="A46" s="6" t="str">
        <f>Menus!B39</f>
        <v/>
      </c>
      <c r="B46" s="15">
        <f t="shared" si="9"/>
        <v>0</v>
      </c>
      <c r="C46" s="16" t="str">
        <f t="shared" ref="C46:N46" si="44">IFERROR(
  LET(
    hoja,       LEFT(C$1,3)&amp;"R",
    fila,       MATCH( RIGHT($A46, LEN($A46)-4),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6" s="17" t="str">
        <f t="shared" si="44"/>
        <v/>
      </c>
      <c r="E46" s="16" t="str">
        <f t="shared" si="44"/>
        <v/>
      </c>
      <c r="F46" s="17" t="str">
        <f t="shared" si="44"/>
        <v/>
      </c>
      <c r="G46" s="16" t="str">
        <f t="shared" si="44"/>
        <v/>
      </c>
      <c r="H46" s="17" t="str">
        <f t="shared" si="44"/>
        <v/>
      </c>
      <c r="I46" s="16" t="str">
        <f t="shared" si="44"/>
        <v/>
      </c>
      <c r="J46" s="17" t="str">
        <f t="shared" si="44"/>
        <v/>
      </c>
      <c r="K46" s="16" t="str">
        <f t="shared" si="44"/>
        <v/>
      </c>
      <c r="L46" s="17" t="str">
        <f t="shared" si="44"/>
        <v/>
      </c>
      <c r="M46" s="16" t="str">
        <f t="shared" si="44"/>
        <v/>
      </c>
      <c r="N46" s="17" t="str">
        <f t="shared" si="44"/>
        <v/>
      </c>
    </row>
    <row r="47" ht="15.75" hidden="1" customHeight="1">
      <c r="A47" s="6" t="str">
        <f>Menus!B40</f>
        <v/>
      </c>
      <c r="B47" s="15">
        <f t="shared" si="9"/>
        <v>0</v>
      </c>
      <c r="C47" s="16" t="str">
        <f t="shared" ref="C47:N47" si="45">IFERROR(
  LET(
    hoja,       LEFT(C$1,3)&amp;"R",
    fila,       MATCH( RIGHT($A47, LEN($A47)-4),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D47" s="17" t="str">
        <f t="shared" si="45"/>
        <v/>
      </c>
      <c r="E47" s="16" t="str">
        <f t="shared" si="45"/>
        <v/>
      </c>
      <c r="F47" s="17" t="str">
        <f t="shared" si="45"/>
        <v/>
      </c>
      <c r="G47" s="16" t="str">
        <f t="shared" si="45"/>
        <v/>
      </c>
      <c r="H47" s="17" t="str">
        <f t="shared" si="45"/>
        <v/>
      </c>
      <c r="I47" s="16" t="str">
        <f t="shared" si="45"/>
        <v/>
      </c>
      <c r="J47" s="17" t="str">
        <f t="shared" si="45"/>
        <v/>
      </c>
      <c r="K47" s="16" t="str">
        <f t="shared" si="45"/>
        <v/>
      </c>
      <c r="L47" s="17" t="str">
        <f t="shared" si="45"/>
        <v/>
      </c>
      <c r="M47" s="16" t="str">
        <f t="shared" si="45"/>
        <v/>
      </c>
      <c r="N47" s="17" t="str">
        <f t="shared" si="45"/>
        <v/>
      </c>
    </row>
    <row r="48" ht="9.0" customHeight="1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5.75" customHeight="1">
      <c r="A49" s="19" t="s">
        <v>19</v>
      </c>
      <c r="B49" s="12">
        <f t="shared" ref="B49:N49" si="46">SUM(B50:B52)</f>
        <v>0</v>
      </c>
      <c r="C49" s="13">
        <f t="shared" si="46"/>
        <v>0</v>
      </c>
      <c r="D49" s="14">
        <f t="shared" si="46"/>
        <v>0</v>
      </c>
      <c r="E49" s="13">
        <f t="shared" si="46"/>
        <v>0</v>
      </c>
      <c r="F49" s="14">
        <f t="shared" si="46"/>
        <v>0</v>
      </c>
      <c r="G49" s="13">
        <f t="shared" si="46"/>
        <v>0</v>
      </c>
      <c r="H49" s="14">
        <f t="shared" si="46"/>
        <v>0</v>
      </c>
      <c r="I49" s="13">
        <f t="shared" si="46"/>
        <v>0</v>
      </c>
      <c r="J49" s="14">
        <f t="shared" si="46"/>
        <v>0</v>
      </c>
      <c r="K49" s="13">
        <f t="shared" si="46"/>
        <v>0</v>
      </c>
      <c r="L49" s="14">
        <f t="shared" si="46"/>
        <v>0</v>
      </c>
      <c r="M49" s="13">
        <f t="shared" si="46"/>
        <v>0</v>
      </c>
      <c r="N49" s="14">
        <f t="shared" si="46"/>
        <v>0</v>
      </c>
    </row>
    <row r="50" ht="15.75" customHeight="1">
      <c r="A50" s="6" t="str">
        <f>Menus!Q2</f>
        <v/>
      </c>
      <c r="B50" s="15">
        <f t="shared" ref="B50:B52" si="47">SUM(IF(MONTH(TODAY())&gt;1,C50,0), IF(MONTH(TODAY())&gt;2,D50,0), IF(MONTH(TODAY())&gt;3,E50,0), IF(MONTH(TODAY())&gt;4,F50,0), IF(MONTH(TODAY())&gt;5,G50,0), IF(MONTH(TODAY())&gt;6,H50,0), IF(MONTH(TODAY())&gt;7,I50,0), IF(MONTH(TODAY())&gt;8,J50,0), IF(MONTH(TODAY())&gt;9,K50,0), IF(MONTH(TODAY())&gt;10,L50,0), IF(MONTH(TODAY())&gt;11,M50,0), IF(MONTH(TODAY())&gt;12,N50,0))
</f>
        <v>0</v>
      </c>
      <c r="C50" s="16" t="str">
        <f t="array" ref="C50">IFERROR(SUMIF(OtrosR!$C$3:$C$100, $A50, INDEX(OtrosR!$E$3:$P$100, , MATCH(C$1, OtrosR!$E$2:$P$2, 0))), "")</f>
        <v/>
      </c>
      <c r="D50" s="17" t="str">
        <f t="array" ref="D50">IFERROR(SUMIF(OtrosR!$C$3:$C$100, $A50, INDEX(OtrosR!$E$3:$P$100, , MATCH(D$1, OtrosR!$E$2:$P$2, 0))), "")</f>
        <v/>
      </c>
      <c r="E50" s="16" t="str">
        <f t="array" ref="E50">IFERROR(SUMIF(OtrosR!$C$3:$C$100, $A50, INDEX(OtrosR!$E$3:$P$100, , MATCH(E$1, OtrosR!$E$2:$P$2, 0))), "")</f>
        <v/>
      </c>
      <c r="F50" s="17" t="str">
        <f t="array" ref="F50">IFERROR(SUMIF(OtrosR!$C$3:$C$100, $A50, INDEX(OtrosR!$E$3:$P$100, , MATCH(F$1, OtrosR!$E$2:$P$2, 0))), "")</f>
        <v/>
      </c>
      <c r="G50" s="16" t="str">
        <f t="array" ref="G50">IFERROR(SUMIF(OtrosR!$C$3:$C$100, $A50, INDEX(OtrosR!$E$3:$P$100, , MATCH(G$1, OtrosR!$E$2:$P$2, 0))), "")</f>
        <v/>
      </c>
      <c r="H50" s="17" t="str">
        <f t="array" ref="H50">IFERROR(SUMIF(OtrosR!$C$3:$C$100, $A50, INDEX(OtrosR!$E$3:$P$100, , MATCH(H$1, OtrosR!$E$2:$P$2, 0))), "")</f>
        <v/>
      </c>
      <c r="I50" s="16" t="str">
        <f t="array" ref="I50">IFERROR(SUMIF(OtrosR!$C$3:$C$100, $A50, INDEX(OtrosR!$E$3:$P$100, , MATCH(I$1, OtrosR!$E$2:$P$2, 0))), "")</f>
        <v/>
      </c>
      <c r="J50" s="17" t="str">
        <f t="array" ref="J50">IFERROR(SUMIF(OtrosR!$C$3:$C$100, $A50, INDEX(OtrosR!$E$3:$P$100, , MATCH(J$1, OtrosR!$E$2:$P$2, 0))), "")</f>
        <v/>
      </c>
      <c r="K50" s="16" t="str">
        <f t="array" ref="K50">IFERROR(SUMIF(OtrosR!$C$3:$C$100, $A50, INDEX(OtrosR!$E$3:$P$100, , MATCH(K$1, OtrosR!$E$2:$P$2, 0))), "")</f>
        <v/>
      </c>
      <c r="L50" s="17" t="str">
        <f t="array" ref="L50">IFERROR(SUMIF(OtrosR!$C$3:$C$100, $A50, INDEX(OtrosR!$E$3:$P$100, , MATCH(L$1, OtrosR!$E$2:$P$2, 0))), "")</f>
        <v/>
      </c>
      <c r="M50" s="16" t="str">
        <f t="array" ref="M50">IFERROR(SUMIF(OtrosR!$C$3:$C$100, $A50, INDEX(OtrosR!$E$3:$P$100, , MATCH(M$1, OtrosR!$E$2:$P$2, 0))), "")</f>
        <v/>
      </c>
      <c r="N50" s="17" t="str">
        <f t="array" ref="N50">IFERROR(SUMIF(OtrosR!$C$3:$C$100, $A50, INDEX(OtrosR!$E$3:$P$100, , MATCH(N$1, OtrosR!$E$2:$P$2, 0))), "")</f>
        <v/>
      </c>
    </row>
    <row r="51" ht="15.75" hidden="1" customHeight="1">
      <c r="B51" s="15">
        <f t="shared" si="47"/>
        <v>0</v>
      </c>
      <c r="C51" s="16" t="str">
        <f t="array" ref="C51">IFERROR(SUMIF(OtrosR!$C$3:$C$100, $A51, INDEX(OtrosR!$E$3:$P$100, , MATCH(C$1, OtrosR!$E$2:$P$2, 0))), "")</f>
        <v/>
      </c>
      <c r="D51" s="17" t="str">
        <f t="array" ref="D51">IFERROR(SUMIF(OtrosR!$C$3:$C$100, $A51, INDEX(OtrosR!$E$3:$P$100, , MATCH(D$1, OtrosR!$E$2:$P$2, 0))), "")</f>
        <v/>
      </c>
      <c r="E51" s="16" t="str">
        <f t="array" ref="E51">IFERROR(SUMIF(OtrosR!$C$3:$C$100, $A51, INDEX(OtrosR!$E$3:$P$100, , MATCH(E$1, OtrosR!$E$2:$P$2, 0))), "")</f>
        <v/>
      </c>
      <c r="F51" s="17" t="str">
        <f t="array" ref="F51">IFERROR(SUMIF(OtrosR!$C$3:$C$100, $A51, INDEX(OtrosR!$E$3:$P$100, , MATCH(F$1, OtrosR!$E$2:$P$2, 0))), "")</f>
        <v/>
      </c>
      <c r="G51" s="16" t="str">
        <f t="array" ref="G51">IFERROR(SUMIF(OtrosR!$C$3:$C$100, $A51, INDEX(OtrosR!$E$3:$P$100, , MATCH(G$1, OtrosR!$E$2:$P$2, 0))), "")</f>
        <v/>
      </c>
      <c r="H51" s="17" t="str">
        <f t="array" ref="H51">IFERROR(SUMIF(OtrosR!$C$3:$C$100, $A51, INDEX(OtrosR!$E$3:$P$100, , MATCH(H$1, OtrosR!$E$2:$P$2, 0))), "")</f>
        <v/>
      </c>
      <c r="I51" s="16" t="str">
        <f t="array" ref="I51">IFERROR(SUMIF(OtrosR!$C$3:$C$100, $A51, INDEX(OtrosR!$E$3:$P$100, , MATCH(I$1, OtrosR!$E$2:$P$2, 0))), "")</f>
        <v/>
      </c>
      <c r="J51" s="17" t="str">
        <f t="array" ref="J51">IFERROR(SUMIF(OtrosR!$C$3:$C$100, $A51, INDEX(OtrosR!$E$3:$P$100, , MATCH(J$1, OtrosR!$E$2:$P$2, 0))), "")</f>
        <v/>
      </c>
      <c r="K51" s="16" t="str">
        <f t="array" ref="K51">IFERROR(SUMIF(OtrosR!$C$3:$C$100, $A51, INDEX(OtrosR!$E$3:$P$100, , MATCH(K$1, OtrosR!$E$2:$P$2, 0))), "")</f>
        <v/>
      </c>
      <c r="L51" s="17" t="str">
        <f t="array" ref="L51">IFERROR(SUMIF(OtrosR!$C$3:$C$100, $A51, INDEX(OtrosR!$E$3:$P$100, , MATCH(L$1, OtrosR!$E$2:$P$2, 0))), "")</f>
        <v/>
      </c>
      <c r="M51" s="16" t="str">
        <f t="array" ref="M51">IFERROR(SUMIF(OtrosR!$C$3:$C$100, $A51, INDEX(OtrosR!$E$3:$P$100, , MATCH(M$1, OtrosR!$E$2:$P$2, 0))), "")</f>
        <v/>
      </c>
      <c r="N51" s="17" t="str">
        <f t="array" ref="N51">IFERROR(SUMIF(OtrosR!$C$3:$C$100, $A51, INDEX(OtrosR!$E$3:$P$100, , MATCH(N$1, OtrosR!$E$2:$P$2, 0))), "")</f>
        <v/>
      </c>
    </row>
    <row r="52" ht="15.75" hidden="1" customHeight="1">
      <c r="B52" s="15">
        <f t="shared" si="47"/>
        <v>0</v>
      </c>
      <c r="C52" s="16" t="str">
        <f t="array" ref="C52">IFERROR(SUMIF(OtrosR!$C$3:$C$100, $A52, INDEX(OtrosR!$E$3:$P$100, , MATCH(C$1, OtrosR!$E$2:$P$2, 0))), "")</f>
        <v/>
      </c>
      <c r="D52" s="17" t="str">
        <f t="array" ref="D52">IFERROR(SUMIF(OtrosR!$C$3:$C$100, $A52, INDEX(OtrosR!$E$3:$P$100, , MATCH(D$1, OtrosR!$E$2:$P$2, 0))), "")</f>
        <v/>
      </c>
      <c r="E52" s="16" t="str">
        <f t="array" ref="E52">IFERROR(SUMIF(OtrosR!$C$3:$C$100, $A52, INDEX(OtrosR!$E$3:$P$100, , MATCH(E$1, OtrosR!$E$2:$P$2, 0))), "")</f>
        <v/>
      </c>
      <c r="F52" s="17" t="str">
        <f t="array" ref="F52">IFERROR(SUMIF(OtrosR!$C$3:$C$100, $A52, INDEX(OtrosR!$E$3:$P$100, , MATCH(F$1, OtrosR!$E$2:$P$2, 0))), "")</f>
        <v/>
      </c>
      <c r="G52" s="16" t="str">
        <f t="array" ref="G52">IFERROR(SUMIF(OtrosR!$C$3:$C$100, $A52, INDEX(OtrosR!$E$3:$P$100, , MATCH(G$1, OtrosR!$E$2:$P$2, 0))), "")</f>
        <v/>
      </c>
      <c r="H52" s="17" t="str">
        <f t="array" ref="H52">IFERROR(SUMIF(OtrosR!$C$3:$C$100, $A52, INDEX(OtrosR!$E$3:$P$100, , MATCH(H$1, OtrosR!$E$2:$P$2, 0))), "")</f>
        <v/>
      </c>
      <c r="I52" s="16" t="str">
        <f t="array" ref="I52">IFERROR(SUMIF(OtrosR!$C$3:$C$100, $A52, INDEX(OtrosR!$E$3:$P$100, , MATCH(I$1, OtrosR!$E$2:$P$2, 0))), "")</f>
        <v/>
      </c>
      <c r="J52" s="17" t="str">
        <f t="array" ref="J52">IFERROR(SUMIF(OtrosR!$C$3:$C$100, $A52, INDEX(OtrosR!$E$3:$P$100, , MATCH(J$1, OtrosR!$E$2:$P$2, 0))), "")</f>
        <v/>
      </c>
      <c r="K52" s="16" t="str">
        <f t="array" ref="K52">IFERROR(SUMIF(OtrosR!$C$3:$C$100, $A52, INDEX(OtrosR!$E$3:$P$100, , MATCH(K$1, OtrosR!$E$2:$P$2, 0))), "")</f>
        <v/>
      </c>
      <c r="L52" s="17" t="str">
        <f t="array" ref="L52">IFERROR(SUMIF(OtrosR!$C$3:$C$100, $A52, INDEX(OtrosR!$E$3:$P$100, , MATCH(L$1, OtrosR!$E$2:$P$2, 0))), "")</f>
        <v/>
      </c>
      <c r="M52" s="16" t="str">
        <f t="array" ref="M52">IFERROR(SUMIF(OtrosR!$C$3:$C$100, $A52, INDEX(OtrosR!$E$3:$P$100, , MATCH(M$1, OtrosR!$E$2:$P$2, 0))), "")</f>
        <v/>
      </c>
      <c r="N52" s="17" t="str">
        <f t="array" ref="N52">IFERROR(SUMIF(OtrosR!$C$3:$C$100, $A52, INDEX(OtrosR!$E$3:$P$100, , MATCH(N$1, OtrosR!$E$2:$P$2, 0))), "")</f>
        <v/>
      </c>
    </row>
    <row r="53" ht="9.0" customHeight="1">
      <c r="A53" s="1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19" t="s">
        <v>20</v>
      </c>
      <c r="B54" s="12">
        <f t="shared" ref="B54:N54" si="48">SUM(B55:B63)</f>
        <v>0</v>
      </c>
      <c r="C54" s="13">
        <f t="shared" si="48"/>
        <v>0</v>
      </c>
      <c r="D54" s="14">
        <f t="shared" si="48"/>
        <v>0</v>
      </c>
      <c r="E54" s="13">
        <f t="shared" si="48"/>
        <v>0</v>
      </c>
      <c r="F54" s="14">
        <f t="shared" si="48"/>
        <v>0</v>
      </c>
      <c r="G54" s="13">
        <f t="shared" si="48"/>
        <v>0</v>
      </c>
      <c r="H54" s="14">
        <f t="shared" si="48"/>
        <v>0</v>
      </c>
      <c r="I54" s="13">
        <f t="shared" si="48"/>
        <v>0</v>
      </c>
      <c r="J54" s="14">
        <f t="shared" si="48"/>
        <v>0</v>
      </c>
      <c r="K54" s="13">
        <f t="shared" si="48"/>
        <v>0</v>
      </c>
      <c r="L54" s="14">
        <f t="shared" si="48"/>
        <v>0</v>
      </c>
      <c r="M54" s="13">
        <f t="shared" si="48"/>
        <v>0</v>
      </c>
      <c r="N54" s="14">
        <f t="shared" si="48"/>
        <v>0</v>
      </c>
    </row>
    <row r="55" ht="15.75" customHeight="1">
      <c r="A55" s="6" t="str">
        <f>Menus!Q3</f>
        <v/>
      </c>
      <c r="B55" s="15">
        <f t="shared" ref="B55:B63" si="49">SUM(IF(MONTH(TODAY())&gt;1,C55,0), IF(MONTH(TODAY())&gt;2,D55,0), IF(MONTH(TODAY())&gt;3,E55,0), IF(MONTH(TODAY())&gt;4,F55,0), IF(MONTH(TODAY())&gt;5,G55,0), IF(MONTH(TODAY())&gt;6,H55,0), IF(MONTH(TODAY())&gt;7,I55,0), IF(MONTH(TODAY())&gt;8,J55,0), IF(MONTH(TODAY())&gt;9,K55,0), IF(MONTH(TODAY())&gt;10,L55,0), IF(MONTH(TODAY())&gt;11,M55,0), IF(MONTH(TODAY())&gt;12,N55,0))
</f>
        <v>0</v>
      </c>
      <c r="C55" s="16" t="str">
        <f t="array" ref="C55">IFERROR(SUMIF(OtrosR!$C$3:$C$100, $A55, INDEX(OtrosR!$E$3:$P$100, , MATCH(C$1, OtrosR!$E$2:$P$2, 0))), "")</f>
        <v/>
      </c>
      <c r="D55" s="17" t="str">
        <f t="array" ref="D55">IFERROR(SUMIF(OtrosR!$C$3:$C$100, $A55, INDEX(OtrosR!$E$3:$P$100, , MATCH(D$1, OtrosR!$E$2:$P$2, 0))), "")</f>
        <v/>
      </c>
      <c r="E55" s="16" t="str">
        <f t="array" ref="E55">IFERROR(SUMIF(OtrosR!$C$3:$C$100, $A55, INDEX(OtrosR!$E$3:$P$100, , MATCH(E$1, OtrosR!$E$2:$P$2, 0))), "")</f>
        <v/>
      </c>
      <c r="F55" s="17" t="str">
        <f t="array" ref="F55">IFERROR(SUMIF(OtrosR!$C$3:$C$100, $A55, INDEX(OtrosR!$E$3:$P$100, , MATCH(F$1, OtrosR!$E$2:$P$2, 0))), "")</f>
        <v/>
      </c>
      <c r="G55" s="16" t="str">
        <f t="array" ref="G55">IFERROR(SUMIF(OtrosR!$C$3:$C$100, $A55, INDEX(OtrosR!$E$3:$P$100, , MATCH(G$1, OtrosR!$E$2:$P$2, 0))), "")</f>
        <v/>
      </c>
      <c r="H55" s="17" t="str">
        <f t="array" ref="H55">IFERROR(SUMIF(OtrosR!$C$3:$C$100, $A55, INDEX(OtrosR!$E$3:$P$100, , MATCH(H$1, OtrosR!$E$2:$P$2, 0))), "")</f>
        <v/>
      </c>
      <c r="I55" s="16" t="str">
        <f t="array" ref="I55">IFERROR(SUMIF(OtrosR!$C$3:$C$100, $A55, INDEX(OtrosR!$E$3:$P$100, , MATCH(I$1, OtrosR!$E$2:$P$2, 0))), "")</f>
        <v/>
      </c>
      <c r="J55" s="17" t="str">
        <f t="array" ref="J55">IFERROR(SUMIF(OtrosR!$C$3:$C$100, $A55, INDEX(OtrosR!$E$3:$P$100, , MATCH(J$1, OtrosR!$E$2:$P$2, 0))), "")</f>
        <v/>
      </c>
      <c r="K55" s="16" t="str">
        <f t="array" ref="K55">IFERROR(SUMIF(OtrosR!$C$3:$C$100, $A55, INDEX(OtrosR!$E$3:$P$100, , MATCH(K$1, OtrosR!$E$2:$P$2, 0))), "")</f>
        <v/>
      </c>
      <c r="L55" s="17" t="str">
        <f t="array" ref="L55">IFERROR(SUMIF(OtrosR!$C$3:$C$100, $A55, INDEX(OtrosR!$E$3:$P$100, , MATCH(L$1, OtrosR!$E$2:$P$2, 0))), "")</f>
        <v/>
      </c>
      <c r="M55" s="16" t="str">
        <f t="array" ref="M55">IFERROR(SUMIF(OtrosR!$C$3:$C$100, $A55, INDEX(OtrosR!$E$3:$P$100, , MATCH(M$1, OtrosR!$E$2:$P$2, 0))), "")</f>
        <v/>
      </c>
      <c r="N55" s="17" t="str">
        <f t="array" ref="N55">IFERROR(SUMIF(OtrosR!$C$3:$C$100, $A55, INDEX(OtrosR!$E$3:$P$100, , MATCH(N$1, OtrosR!$E$2:$P$2, 0))), "")</f>
        <v/>
      </c>
    </row>
    <row r="56" ht="15.75" customHeight="1">
      <c r="A56" s="6" t="str">
        <f>Menus!Q4</f>
        <v/>
      </c>
      <c r="B56" s="15">
        <f t="shared" si="49"/>
        <v>0</v>
      </c>
      <c r="C56" s="16" t="str">
        <f t="array" ref="C56">IFERROR(SUMIF(OtrosR!$C$3:$C$100, $A56, INDEX(OtrosR!$E$3:$P$100, , MATCH(C$1, OtrosR!$E$2:$P$2, 0))), "")</f>
        <v/>
      </c>
      <c r="D56" s="17" t="str">
        <f t="array" ref="D56">IFERROR(SUMIF(OtrosR!$C$3:$C$100, $A56, INDEX(OtrosR!$E$3:$P$100, , MATCH(D$1, OtrosR!$E$2:$P$2, 0))), "")</f>
        <v/>
      </c>
      <c r="E56" s="16" t="str">
        <f t="array" ref="E56">IFERROR(SUMIF(OtrosR!$C$3:$C$100, $A56, INDEX(OtrosR!$E$3:$P$100, , MATCH(E$1, OtrosR!$E$2:$P$2, 0))), "")</f>
        <v/>
      </c>
      <c r="F56" s="17" t="str">
        <f t="array" ref="F56">IFERROR(SUMIF(OtrosR!$C$3:$C$100, $A56, INDEX(OtrosR!$E$3:$P$100, , MATCH(F$1, OtrosR!$E$2:$P$2, 0))), "")</f>
        <v/>
      </c>
      <c r="G56" s="16" t="str">
        <f t="array" ref="G56">IFERROR(SUMIF(OtrosR!$C$3:$C$100, $A56, INDEX(OtrosR!$E$3:$P$100, , MATCH(G$1, OtrosR!$E$2:$P$2, 0))), "")</f>
        <v/>
      </c>
      <c r="H56" s="17" t="str">
        <f t="array" ref="H56">IFERROR(SUMIF(OtrosR!$C$3:$C$100, $A56, INDEX(OtrosR!$E$3:$P$100, , MATCH(H$1, OtrosR!$E$2:$P$2, 0))), "")</f>
        <v/>
      </c>
      <c r="I56" s="16" t="str">
        <f t="array" ref="I56">IFERROR(SUMIF(OtrosR!$C$3:$C$100, $A56, INDEX(OtrosR!$E$3:$P$100, , MATCH(I$1, OtrosR!$E$2:$P$2, 0))), "")</f>
        <v/>
      </c>
      <c r="J56" s="17" t="str">
        <f t="array" ref="J56">IFERROR(SUMIF(OtrosR!$C$3:$C$100, $A56, INDEX(OtrosR!$E$3:$P$100, , MATCH(J$1, OtrosR!$E$2:$P$2, 0))), "")</f>
        <v/>
      </c>
      <c r="K56" s="16" t="str">
        <f t="array" ref="K56">IFERROR(SUMIF(OtrosR!$C$3:$C$100, $A56, INDEX(OtrosR!$E$3:$P$100, , MATCH(K$1, OtrosR!$E$2:$P$2, 0))), "")</f>
        <v/>
      </c>
      <c r="L56" s="17" t="str">
        <f t="array" ref="L56">IFERROR(SUMIF(OtrosR!$C$3:$C$100, $A56, INDEX(OtrosR!$E$3:$P$100, , MATCH(L$1, OtrosR!$E$2:$P$2, 0))), "")</f>
        <v/>
      </c>
      <c r="M56" s="16" t="str">
        <f t="array" ref="M56">IFERROR(SUMIF(OtrosR!$C$3:$C$100, $A56, INDEX(OtrosR!$E$3:$P$100, , MATCH(M$1, OtrosR!$E$2:$P$2, 0))), "")</f>
        <v/>
      </c>
      <c r="N56" s="17" t="str">
        <f t="array" ref="N56">IFERROR(SUMIF(OtrosR!$C$3:$C$100, $A56, INDEX(OtrosR!$E$3:$P$100, , MATCH(N$1, OtrosR!$E$2:$P$2, 0))), "")</f>
        <v/>
      </c>
    </row>
    <row r="57" ht="15.75" customHeight="1">
      <c r="A57" s="6" t="str">
        <f>Menus!Q5</f>
        <v/>
      </c>
      <c r="B57" s="15">
        <f t="shared" si="49"/>
        <v>0</v>
      </c>
      <c r="C57" s="16" t="str">
        <f t="array" ref="C57">IFERROR(SUMIF(OtrosR!$C$3:$C$100, $A57, INDEX(OtrosR!$E$3:$P$100, , MATCH(C$1, OtrosR!$E$2:$P$2, 0))), "")</f>
        <v/>
      </c>
      <c r="D57" s="17" t="str">
        <f t="array" ref="D57">IFERROR(SUMIF(OtrosR!$C$3:$C$100, $A57, INDEX(OtrosR!$E$3:$P$100, , MATCH(D$1, OtrosR!$E$2:$P$2, 0))), "")</f>
        <v/>
      </c>
      <c r="E57" s="16" t="str">
        <f t="array" ref="E57">IFERROR(SUMIF(OtrosR!$C$3:$C$100, $A57, INDEX(OtrosR!$E$3:$P$100, , MATCH(E$1, OtrosR!$E$2:$P$2, 0))), "")</f>
        <v/>
      </c>
      <c r="F57" s="17" t="str">
        <f t="array" ref="F57">IFERROR(SUMIF(OtrosR!$C$3:$C$100, $A57, INDEX(OtrosR!$E$3:$P$100, , MATCH(F$1, OtrosR!$E$2:$P$2, 0))), "")</f>
        <v/>
      </c>
      <c r="G57" s="16" t="str">
        <f t="array" ref="G57">IFERROR(SUMIF(OtrosR!$C$3:$C$100, $A57, INDEX(OtrosR!$E$3:$P$100, , MATCH(G$1, OtrosR!$E$2:$P$2, 0))), "")</f>
        <v/>
      </c>
      <c r="H57" s="17" t="str">
        <f t="array" ref="H57">IFERROR(SUMIF(OtrosR!$C$3:$C$100, $A57, INDEX(OtrosR!$E$3:$P$100, , MATCH(H$1, OtrosR!$E$2:$P$2, 0))), "")</f>
        <v/>
      </c>
      <c r="I57" s="16" t="str">
        <f t="array" ref="I57">IFERROR(SUMIF(OtrosR!$C$3:$C$100, $A57, INDEX(OtrosR!$E$3:$P$100, , MATCH(I$1, OtrosR!$E$2:$P$2, 0))), "")</f>
        <v/>
      </c>
      <c r="J57" s="17" t="str">
        <f t="array" ref="J57">IFERROR(SUMIF(OtrosR!$C$3:$C$100, $A57, INDEX(OtrosR!$E$3:$P$100, , MATCH(J$1, OtrosR!$E$2:$P$2, 0))), "")</f>
        <v/>
      </c>
      <c r="K57" s="16" t="str">
        <f t="array" ref="K57">IFERROR(SUMIF(OtrosR!$C$3:$C$100, $A57, INDEX(OtrosR!$E$3:$P$100, , MATCH(K$1, OtrosR!$E$2:$P$2, 0))), "")</f>
        <v/>
      </c>
      <c r="L57" s="17" t="str">
        <f t="array" ref="L57">IFERROR(SUMIF(OtrosR!$C$3:$C$100, $A57, INDEX(OtrosR!$E$3:$P$100, , MATCH(L$1, OtrosR!$E$2:$P$2, 0))), "")</f>
        <v/>
      </c>
      <c r="M57" s="16" t="str">
        <f t="array" ref="M57">IFERROR(SUMIF(OtrosR!$C$3:$C$100, $A57, INDEX(OtrosR!$E$3:$P$100, , MATCH(M$1, OtrosR!$E$2:$P$2, 0))), "")</f>
        <v/>
      </c>
      <c r="N57" s="17" t="str">
        <f t="array" ref="N57">IFERROR(SUMIF(OtrosR!$C$3:$C$100, $A57, INDEX(OtrosR!$E$3:$P$100, , MATCH(N$1, OtrosR!$E$2:$P$2, 0))), "")</f>
        <v/>
      </c>
    </row>
    <row r="58" ht="15.75" customHeight="1">
      <c r="A58" s="6" t="str">
        <f>Menus!Q6</f>
        <v/>
      </c>
      <c r="B58" s="15">
        <f t="shared" si="49"/>
        <v>0</v>
      </c>
      <c r="C58" s="16" t="str">
        <f t="array" ref="C58">IFERROR(SUMIF(OtrosR!$C$3:$C$100, $A58, INDEX(OtrosR!$E$3:$P$100, , MATCH(C$1, OtrosR!$E$2:$P$2, 0))), "")</f>
        <v/>
      </c>
      <c r="D58" s="17" t="str">
        <f t="array" ref="D58">IFERROR(SUMIF(OtrosR!$C$3:$C$100, $A58, INDEX(OtrosR!$E$3:$P$100, , MATCH(D$1, OtrosR!$E$2:$P$2, 0))), "")</f>
        <v/>
      </c>
      <c r="E58" s="16" t="str">
        <f t="array" ref="E58">IFERROR(SUMIF(OtrosR!$C$3:$C$100, $A58, INDEX(OtrosR!$E$3:$P$100, , MATCH(E$1, OtrosR!$E$2:$P$2, 0))), "")</f>
        <v/>
      </c>
      <c r="F58" s="17" t="str">
        <f t="array" ref="F58">IFERROR(SUMIF(OtrosR!$C$3:$C$100, $A58, INDEX(OtrosR!$E$3:$P$100, , MATCH(F$1, OtrosR!$E$2:$P$2, 0))), "")</f>
        <v/>
      </c>
      <c r="G58" s="16" t="str">
        <f t="array" ref="G58">IFERROR(SUMIF(OtrosR!$C$3:$C$100, $A58, INDEX(OtrosR!$E$3:$P$100, , MATCH(G$1, OtrosR!$E$2:$P$2, 0))), "")</f>
        <v/>
      </c>
      <c r="H58" s="17" t="str">
        <f t="array" ref="H58">IFERROR(SUMIF(OtrosR!$C$3:$C$100, $A58, INDEX(OtrosR!$E$3:$P$100, , MATCH(H$1, OtrosR!$E$2:$P$2, 0))), "")</f>
        <v/>
      </c>
      <c r="I58" s="16" t="str">
        <f t="array" ref="I58">IFERROR(SUMIF(OtrosR!$C$3:$C$100, $A58, INDEX(OtrosR!$E$3:$P$100, , MATCH(I$1, OtrosR!$E$2:$P$2, 0))), "")</f>
        <v/>
      </c>
      <c r="J58" s="17" t="str">
        <f t="array" ref="J58">IFERROR(SUMIF(OtrosR!$C$3:$C$100, $A58, INDEX(OtrosR!$E$3:$P$100, , MATCH(J$1, OtrosR!$E$2:$P$2, 0))), "")</f>
        <v/>
      </c>
      <c r="K58" s="16" t="str">
        <f t="array" ref="K58">IFERROR(SUMIF(OtrosR!$C$3:$C$100, $A58, INDEX(OtrosR!$E$3:$P$100, , MATCH(K$1, OtrosR!$E$2:$P$2, 0))), "")</f>
        <v/>
      </c>
      <c r="L58" s="17" t="str">
        <f t="array" ref="L58">IFERROR(SUMIF(OtrosR!$C$3:$C$100, $A58, INDEX(OtrosR!$E$3:$P$100, , MATCH(L$1, OtrosR!$E$2:$P$2, 0))), "")</f>
        <v/>
      </c>
      <c r="M58" s="16" t="str">
        <f t="array" ref="M58">IFERROR(SUMIF(OtrosR!$C$3:$C$100, $A58, INDEX(OtrosR!$E$3:$P$100, , MATCH(M$1, OtrosR!$E$2:$P$2, 0))), "")</f>
        <v/>
      </c>
      <c r="N58" s="17" t="str">
        <f t="array" ref="N58">IFERROR(SUMIF(OtrosR!$C$3:$C$100, $A58, INDEX(OtrosR!$E$3:$P$100, , MATCH(N$1, OtrosR!$E$2:$P$2, 0))), "")</f>
        <v/>
      </c>
    </row>
    <row r="59" ht="15.75" hidden="1" customHeight="1">
      <c r="A59" s="6" t="str">
        <f>Menus!Q7</f>
        <v/>
      </c>
      <c r="B59" s="15">
        <f t="shared" si="49"/>
        <v>0</v>
      </c>
      <c r="C59" s="16" t="str">
        <f t="array" ref="C59">IFERROR(SUMIF(OtrosR!$C$3:$C$100, $A59, INDEX(OtrosR!$E$3:$P$100, , MATCH(C$1, OtrosR!$E$2:$P$2, 0))), "")</f>
        <v/>
      </c>
      <c r="D59" s="17" t="str">
        <f t="array" ref="D59">IFERROR(SUMIF(OtrosR!$C$3:$C$100, $A59, INDEX(OtrosR!$E$3:$P$100, , MATCH(D$1, OtrosR!$E$2:$P$2, 0))), "")</f>
        <v/>
      </c>
      <c r="E59" s="16" t="str">
        <f t="array" ref="E59">IFERROR(SUMIF(OtrosR!$C$3:$C$100, $A59, INDEX(OtrosR!$E$3:$P$100, , MATCH(E$1, OtrosR!$E$2:$P$2, 0))), "")</f>
        <v/>
      </c>
      <c r="F59" s="17" t="str">
        <f t="array" ref="F59">IFERROR(SUMIF(OtrosR!$C$3:$C$100, $A59, INDEX(OtrosR!$E$3:$P$100, , MATCH(F$1, OtrosR!$E$2:$P$2, 0))), "")</f>
        <v/>
      </c>
      <c r="G59" s="16" t="str">
        <f t="array" ref="G59">IFERROR(SUMIF(OtrosR!$C$3:$C$100, $A59, INDEX(OtrosR!$E$3:$P$100, , MATCH(G$1, OtrosR!$E$2:$P$2, 0))), "")</f>
        <v/>
      </c>
      <c r="H59" s="17" t="str">
        <f t="array" ref="H59">IFERROR(SUMIF(OtrosR!$C$3:$C$100, $A59, INDEX(OtrosR!$E$3:$P$100, , MATCH(H$1, OtrosR!$E$2:$P$2, 0))), "")</f>
        <v/>
      </c>
      <c r="I59" s="16" t="str">
        <f t="array" ref="I59">IFERROR(SUMIF(OtrosR!$C$3:$C$100, $A59, INDEX(OtrosR!$E$3:$P$100, , MATCH(I$1, OtrosR!$E$2:$P$2, 0))), "")</f>
        <v/>
      </c>
      <c r="J59" s="17" t="str">
        <f t="array" ref="J59">IFERROR(SUMIF(OtrosR!$C$3:$C$100, $A59, INDEX(OtrosR!$E$3:$P$100, , MATCH(J$1, OtrosR!$E$2:$P$2, 0))), "")</f>
        <v/>
      </c>
      <c r="K59" s="16" t="str">
        <f t="array" ref="K59">IFERROR(SUMIF(OtrosR!$C$3:$C$100, $A59, INDEX(OtrosR!$E$3:$P$100, , MATCH(K$1, OtrosR!$E$2:$P$2, 0))), "")</f>
        <v/>
      </c>
      <c r="L59" s="17" t="str">
        <f t="array" ref="L59">IFERROR(SUMIF(OtrosR!$C$3:$C$100, $A59, INDEX(OtrosR!$E$3:$P$100, , MATCH(L$1, OtrosR!$E$2:$P$2, 0))), "")</f>
        <v/>
      </c>
      <c r="M59" s="16" t="str">
        <f t="array" ref="M59">IFERROR(SUMIF(OtrosR!$C$3:$C$100, $A59, INDEX(OtrosR!$E$3:$P$100, , MATCH(M$1, OtrosR!$E$2:$P$2, 0))), "")</f>
        <v/>
      </c>
      <c r="N59" s="17" t="str">
        <f t="array" ref="N59">IFERROR(SUMIF(OtrosR!$C$3:$C$100, $A59, INDEX(OtrosR!$E$3:$P$100, , MATCH(N$1, OtrosR!$E$2:$P$2, 0))), "")</f>
        <v/>
      </c>
    </row>
    <row r="60" ht="15.75" hidden="1" customHeight="1">
      <c r="A60" s="6" t="str">
        <f>Menus!Q8</f>
        <v/>
      </c>
      <c r="B60" s="15">
        <f t="shared" si="49"/>
        <v>0</v>
      </c>
      <c r="C60" s="16" t="str">
        <f t="array" ref="C60">IFERROR(SUMIF(OtrosR!$C$3:$C$100, $A60, INDEX(OtrosR!$E$3:$P$100, , MATCH(C$1, OtrosR!$E$2:$P$2, 0))), "")</f>
        <v/>
      </c>
      <c r="D60" s="17" t="str">
        <f t="array" ref="D60">IFERROR(SUMIF(OtrosR!$C$3:$C$100, $A60, INDEX(OtrosR!$E$3:$P$100, , MATCH(D$1, OtrosR!$E$2:$P$2, 0))), "")</f>
        <v/>
      </c>
      <c r="E60" s="16" t="str">
        <f t="array" ref="E60">IFERROR(SUMIF(OtrosR!$C$3:$C$100, $A60, INDEX(OtrosR!$E$3:$P$100, , MATCH(E$1, OtrosR!$E$2:$P$2, 0))), "")</f>
        <v/>
      </c>
      <c r="F60" s="17" t="str">
        <f t="array" ref="F60">IFERROR(SUMIF(OtrosR!$C$3:$C$100, $A60, INDEX(OtrosR!$E$3:$P$100, , MATCH(F$1, OtrosR!$E$2:$P$2, 0))), "")</f>
        <v/>
      </c>
      <c r="G60" s="16" t="str">
        <f t="array" ref="G60">IFERROR(SUMIF(OtrosR!$C$3:$C$100, $A60, INDEX(OtrosR!$E$3:$P$100, , MATCH(G$1, OtrosR!$E$2:$P$2, 0))), "")</f>
        <v/>
      </c>
      <c r="H60" s="17" t="str">
        <f t="array" ref="H60">IFERROR(SUMIF(OtrosR!$C$3:$C$100, $A60, INDEX(OtrosR!$E$3:$P$100, , MATCH(H$1, OtrosR!$E$2:$P$2, 0))), "")</f>
        <v/>
      </c>
      <c r="I60" s="16" t="str">
        <f t="array" ref="I60">IFERROR(SUMIF(OtrosR!$C$3:$C$100, $A60, INDEX(OtrosR!$E$3:$P$100, , MATCH(I$1, OtrosR!$E$2:$P$2, 0))), "")</f>
        <v/>
      </c>
      <c r="J60" s="17" t="str">
        <f t="array" ref="J60">IFERROR(SUMIF(OtrosR!$C$3:$C$100, $A60, INDEX(OtrosR!$E$3:$P$100, , MATCH(J$1, OtrosR!$E$2:$P$2, 0))), "")</f>
        <v/>
      </c>
      <c r="K60" s="16" t="str">
        <f t="array" ref="K60">IFERROR(SUMIF(OtrosR!$C$3:$C$100, $A60, INDEX(OtrosR!$E$3:$P$100, , MATCH(K$1, OtrosR!$E$2:$P$2, 0))), "")</f>
        <v/>
      </c>
      <c r="L60" s="17" t="str">
        <f t="array" ref="L60">IFERROR(SUMIF(OtrosR!$C$3:$C$100, $A60, INDEX(OtrosR!$E$3:$P$100, , MATCH(L$1, OtrosR!$E$2:$P$2, 0))), "")</f>
        <v/>
      </c>
      <c r="M60" s="16" t="str">
        <f t="array" ref="M60">IFERROR(SUMIF(OtrosR!$C$3:$C$100, $A60, INDEX(OtrosR!$E$3:$P$100, , MATCH(M$1, OtrosR!$E$2:$P$2, 0))), "")</f>
        <v/>
      </c>
      <c r="N60" s="17" t="str">
        <f t="array" ref="N60">IFERROR(SUMIF(OtrosR!$C$3:$C$100, $A60, INDEX(OtrosR!$E$3:$P$100, , MATCH(N$1, OtrosR!$E$2:$P$2, 0))), "")</f>
        <v/>
      </c>
    </row>
    <row r="61" ht="15.75" hidden="1" customHeight="1">
      <c r="A61" s="6" t="str">
        <f>Menus!Q9</f>
        <v/>
      </c>
      <c r="B61" s="15">
        <f t="shared" si="49"/>
        <v>0</v>
      </c>
      <c r="C61" s="16" t="str">
        <f t="array" ref="C61">IFERROR(SUMIF(OtrosR!$C$3:$C$100, $A61, INDEX(OtrosR!$E$3:$P$100, , MATCH(C$1, OtrosR!$E$2:$P$2, 0))), "")</f>
        <v/>
      </c>
      <c r="D61" s="17" t="str">
        <f t="array" ref="D61">IFERROR(SUMIF(OtrosR!$C$3:$C$100, $A61, INDEX(OtrosR!$E$3:$P$100, , MATCH(D$1, OtrosR!$E$2:$P$2, 0))), "")</f>
        <v/>
      </c>
      <c r="E61" s="16" t="str">
        <f t="array" ref="E61">IFERROR(SUMIF(OtrosR!$C$3:$C$100, $A61, INDEX(OtrosR!$E$3:$P$100, , MATCH(E$1, OtrosR!$E$2:$P$2, 0))), "")</f>
        <v/>
      </c>
      <c r="F61" s="17" t="str">
        <f t="array" ref="F61">IFERROR(SUMIF(OtrosR!$C$3:$C$100, $A61, INDEX(OtrosR!$E$3:$P$100, , MATCH(F$1, OtrosR!$E$2:$P$2, 0))), "")</f>
        <v/>
      </c>
      <c r="G61" s="16" t="str">
        <f t="array" ref="G61">IFERROR(SUMIF(OtrosR!$C$3:$C$100, $A61, INDEX(OtrosR!$E$3:$P$100, , MATCH(G$1, OtrosR!$E$2:$P$2, 0))), "")</f>
        <v/>
      </c>
      <c r="H61" s="17" t="str">
        <f t="array" ref="H61">IFERROR(SUMIF(OtrosR!$C$3:$C$100, $A61, INDEX(OtrosR!$E$3:$P$100, , MATCH(H$1, OtrosR!$E$2:$P$2, 0))), "")</f>
        <v/>
      </c>
      <c r="I61" s="16" t="str">
        <f t="array" ref="I61">IFERROR(SUMIF(OtrosR!$C$3:$C$100, $A61, INDEX(OtrosR!$E$3:$P$100, , MATCH(I$1, OtrosR!$E$2:$P$2, 0))), "")</f>
        <v/>
      </c>
      <c r="J61" s="17" t="str">
        <f t="array" ref="J61">IFERROR(SUMIF(OtrosR!$C$3:$C$100, $A61, INDEX(OtrosR!$E$3:$P$100, , MATCH(J$1, OtrosR!$E$2:$P$2, 0))), "")</f>
        <v/>
      </c>
      <c r="K61" s="16" t="str">
        <f t="array" ref="K61">IFERROR(SUMIF(OtrosR!$C$3:$C$100, $A61, INDEX(OtrosR!$E$3:$P$100, , MATCH(K$1, OtrosR!$E$2:$P$2, 0))), "")</f>
        <v/>
      </c>
      <c r="L61" s="17" t="str">
        <f t="array" ref="L61">IFERROR(SUMIF(OtrosR!$C$3:$C$100, $A61, INDEX(OtrosR!$E$3:$P$100, , MATCH(L$1, OtrosR!$E$2:$P$2, 0))), "")</f>
        <v/>
      </c>
      <c r="M61" s="16" t="str">
        <f t="array" ref="M61">IFERROR(SUMIF(OtrosR!$C$3:$C$100, $A61, INDEX(OtrosR!$E$3:$P$100, , MATCH(M$1, OtrosR!$E$2:$P$2, 0))), "")</f>
        <v/>
      </c>
      <c r="N61" s="17" t="str">
        <f t="array" ref="N61">IFERROR(SUMIF(OtrosR!$C$3:$C$100, $A61, INDEX(OtrosR!$E$3:$P$100, , MATCH(N$1, OtrosR!$E$2:$P$2, 0))), "")</f>
        <v/>
      </c>
    </row>
    <row r="62" ht="15.75" hidden="1" customHeight="1">
      <c r="A62" s="6" t="str">
        <f>Menus!Q10</f>
        <v/>
      </c>
      <c r="B62" s="15">
        <f t="shared" si="49"/>
        <v>0</v>
      </c>
      <c r="C62" s="16" t="str">
        <f t="array" ref="C62">IFERROR(SUMIF(OtrosR!$C$3:$C$100, $A62, INDEX(OtrosR!$E$3:$P$100, , MATCH(C$1, OtrosR!$E$2:$P$2, 0))), "")</f>
        <v/>
      </c>
      <c r="D62" s="17" t="str">
        <f t="array" ref="D62">IFERROR(SUMIF(OtrosR!$C$3:$C$100, $A62, INDEX(OtrosR!$E$3:$P$100, , MATCH(D$1, OtrosR!$E$2:$P$2, 0))), "")</f>
        <v/>
      </c>
      <c r="E62" s="16" t="str">
        <f t="array" ref="E62">IFERROR(SUMIF(OtrosR!$C$3:$C$100, $A62, INDEX(OtrosR!$E$3:$P$100, , MATCH(E$1, OtrosR!$E$2:$P$2, 0))), "")</f>
        <v/>
      </c>
      <c r="F62" s="17" t="str">
        <f t="array" ref="F62">IFERROR(SUMIF(OtrosR!$C$3:$C$100, $A62, INDEX(OtrosR!$E$3:$P$100, , MATCH(F$1, OtrosR!$E$2:$P$2, 0))), "")</f>
        <v/>
      </c>
      <c r="G62" s="16" t="str">
        <f t="array" ref="G62">IFERROR(SUMIF(OtrosR!$C$3:$C$100, $A62, INDEX(OtrosR!$E$3:$P$100, , MATCH(G$1, OtrosR!$E$2:$P$2, 0))), "")</f>
        <v/>
      </c>
      <c r="H62" s="17" t="str">
        <f t="array" ref="H62">IFERROR(SUMIF(OtrosR!$C$3:$C$100, $A62, INDEX(OtrosR!$E$3:$P$100, , MATCH(H$1, OtrosR!$E$2:$P$2, 0))), "")</f>
        <v/>
      </c>
      <c r="I62" s="16" t="str">
        <f t="array" ref="I62">IFERROR(SUMIF(OtrosR!$C$3:$C$100, $A62, INDEX(OtrosR!$E$3:$P$100, , MATCH(I$1, OtrosR!$E$2:$P$2, 0))), "")</f>
        <v/>
      </c>
      <c r="J62" s="17" t="str">
        <f t="array" ref="J62">IFERROR(SUMIF(OtrosR!$C$3:$C$100, $A62, INDEX(OtrosR!$E$3:$P$100, , MATCH(J$1, OtrosR!$E$2:$P$2, 0))), "")</f>
        <v/>
      </c>
      <c r="K62" s="16" t="str">
        <f t="array" ref="K62">IFERROR(SUMIF(OtrosR!$C$3:$C$100, $A62, INDEX(OtrosR!$E$3:$P$100, , MATCH(K$1, OtrosR!$E$2:$P$2, 0))), "")</f>
        <v/>
      </c>
      <c r="L62" s="17" t="str">
        <f t="array" ref="L62">IFERROR(SUMIF(OtrosR!$C$3:$C$100, $A62, INDEX(OtrosR!$E$3:$P$100, , MATCH(L$1, OtrosR!$E$2:$P$2, 0))), "")</f>
        <v/>
      </c>
      <c r="M62" s="16" t="str">
        <f t="array" ref="M62">IFERROR(SUMIF(OtrosR!$C$3:$C$100, $A62, INDEX(OtrosR!$E$3:$P$100, , MATCH(M$1, OtrosR!$E$2:$P$2, 0))), "")</f>
        <v/>
      </c>
      <c r="N62" s="17" t="str">
        <f t="array" ref="N62">IFERROR(SUMIF(OtrosR!$C$3:$C$100, $A62, INDEX(OtrosR!$E$3:$P$100, , MATCH(N$1, OtrosR!$E$2:$P$2, 0))), "")</f>
        <v/>
      </c>
    </row>
    <row r="63" ht="15.75" hidden="1" customHeight="1">
      <c r="A63" s="6" t="str">
        <f>Menus!Q11</f>
        <v/>
      </c>
      <c r="B63" s="15">
        <f t="shared" si="49"/>
        <v>0</v>
      </c>
      <c r="C63" s="16" t="str">
        <f t="array" ref="C63">IFERROR(SUMIF(OtrosR!$C$3:$C$100, $A63, INDEX(OtrosR!$E$3:$P$100, , MATCH(C$1, OtrosR!$E$2:$P$2, 0))), "")</f>
        <v/>
      </c>
      <c r="D63" s="17" t="str">
        <f t="array" ref="D63">IFERROR(SUMIF(OtrosR!$C$3:$C$100, $A63, INDEX(OtrosR!$E$3:$P$100, , MATCH(D$1, OtrosR!$E$2:$P$2, 0))), "")</f>
        <v/>
      </c>
      <c r="E63" s="16" t="str">
        <f t="array" ref="E63">IFERROR(SUMIF(OtrosR!$C$3:$C$100, $A63, INDEX(OtrosR!$E$3:$P$100, , MATCH(E$1, OtrosR!$E$2:$P$2, 0))), "")</f>
        <v/>
      </c>
      <c r="F63" s="17" t="str">
        <f t="array" ref="F63">IFERROR(SUMIF(OtrosR!$C$3:$C$100, $A63, INDEX(OtrosR!$E$3:$P$100, , MATCH(F$1, OtrosR!$E$2:$P$2, 0))), "")</f>
        <v/>
      </c>
      <c r="G63" s="16" t="str">
        <f t="array" ref="G63">IFERROR(SUMIF(OtrosR!$C$3:$C$100, $A63, INDEX(OtrosR!$E$3:$P$100, , MATCH(G$1, OtrosR!$E$2:$P$2, 0))), "")</f>
        <v/>
      </c>
      <c r="H63" s="17" t="str">
        <f t="array" ref="H63">IFERROR(SUMIF(OtrosR!$C$3:$C$100, $A63, INDEX(OtrosR!$E$3:$P$100, , MATCH(H$1, OtrosR!$E$2:$P$2, 0))), "")</f>
        <v/>
      </c>
      <c r="I63" s="16" t="str">
        <f t="array" ref="I63">IFERROR(SUMIF(OtrosR!$C$3:$C$100, $A63, INDEX(OtrosR!$E$3:$P$100, , MATCH(I$1, OtrosR!$E$2:$P$2, 0))), "")</f>
        <v/>
      </c>
      <c r="J63" s="17" t="str">
        <f t="array" ref="J63">IFERROR(SUMIF(OtrosR!$C$3:$C$100, $A63, INDEX(OtrosR!$E$3:$P$100, , MATCH(J$1, OtrosR!$E$2:$P$2, 0))), "")</f>
        <v/>
      </c>
      <c r="K63" s="16" t="str">
        <f t="array" ref="K63">IFERROR(SUMIF(OtrosR!$C$3:$C$100, $A63, INDEX(OtrosR!$E$3:$P$100, , MATCH(K$1, OtrosR!$E$2:$P$2, 0))), "")</f>
        <v/>
      </c>
      <c r="L63" s="17" t="str">
        <f t="array" ref="L63">IFERROR(SUMIF(OtrosR!$C$3:$C$100, $A63, INDEX(OtrosR!$E$3:$P$100, , MATCH(L$1, OtrosR!$E$2:$P$2, 0))), "")</f>
        <v/>
      </c>
      <c r="M63" s="16" t="str">
        <f t="array" ref="M63">IFERROR(SUMIF(OtrosR!$C$3:$C$100, $A63, INDEX(OtrosR!$E$3:$P$100, , MATCH(M$1, OtrosR!$E$2:$P$2, 0))), "")</f>
        <v/>
      </c>
      <c r="N63" s="17" t="str">
        <f t="array" ref="N63">IFERROR(SUMIF(OtrosR!$C$3:$C$100, $A63, INDEX(OtrosR!$E$3:$P$100, , MATCH(N$1, OtrosR!$E$2:$P$2, 0))), "")</f>
        <v/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30.88"/>
    <col customWidth="1" min="2" max="2" width="13.38"/>
    <col customWidth="1" min="3" max="3" width="25.0"/>
    <col customWidth="1" min="4" max="4" width="21.25"/>
    <col customWidth="1" min="5" max="5" width="16.63"/>
    <col customWidth="1" min="6" max="6" width="13.25"/>
    <col customWidth="1" min="7" max="7" width="15.25"/>
    <col customWidth="1" min="8" max="8" width="15.0"/>
    <col customWidth="1" min="9" max="9" width="16.25"/>
    <col customWidth="1" min="10" max="10" width="17.0"/>
    <col customWidth="1" min="11" max="11" width="16.75"/>
    <col customWidth="1" min="12" max="12" width="15.0"/>
    <col customWidth="1" min="13" max="13" width="15.75"/>
    <col customWidth="1" min="14" max="14" width="16.25"/>
    <col customWidth="1" min="15" max="15" width="19.25"/>
    <col customWidth="1" min="16" max="16" width="29.0"/>
    <col customWidth="1" min="17" max="17" width="12.5"/>
    <col customWidth="1" min="18" max="18" width="11.0"/>
    <col customWidth="1" min="19" max="19" width="17.88"/>
    <col customWidth="1" min="20" max="20" width="22.25"/>
    <col customWidth="1" min="21" max="21" width="18.38"/>
    <col customWidth="1" min="22" max="22" width="13.38"/>
    <col customWidth="1" min="23" max="23" width="16.5"/>
    <col customWidth="1" min="24" max="24" width="22.63"/>
    <col customWidth="1" min="25" max="25" width="27.25"/>
    <col customWidth="1" min="26" max="26" width="23.38"/>
    <col customWidth="1" min="27" max="27" width="20.0"/>
    <col customWidth="1" min="28" max="28" width="28.75"/>
    <col customWidth="1" min="29" max="29" width="11.0"/>
    <col customWidth="1" min="30" max="30" width="13.0"/>
    <col customWidth="1" min="31" max="31" width="19.75"/>
    <col customWidth="1" min="32" max="32" width="18.5"/>
    <col customWidth="1" min="33" max="33" width="14.88"/>
    <col customWidth="1" min="34" max="34" width="25.25"/>
    <col customWidth="1" min="35" max="35" width="12.38"/>
    <col customWidth="1" min="36" max="36" width="19.75"/>
    <col customWidth="1" min="37" max="37" width="12.63"/>
    <col customWidth="1" min="38" max="38" width="24.5"/>
    <col customWidth="1" min="39" max="39" width="14.5"/>
    <col customWidth="1" min="40" max="40" width="19.13"/>
    <col customWidth="1" min="41" max="43" width="13.88"/>
    <col customWidth="1" hidden="1" min="44" max="146" width="7.13"/>
  </cols>
  <sheetData>
    <row r="1" ht="15.75" customHeight="1">
      <c r="A1" s="21" t="str">
        <f>VLOOKUP(A2,Menus!E2:L13,5)</f>
        <v>#N/A</v>
      </c>
      <c r="B1" s="22" t="str">
        <f>VLOOKUP(A2,Menus!E2:L13,6)</f>
        <v>#N/A</v>
      </c>
      <c r="C1" s="23" t="s">
        <v>21</v>
      </c>
      <c r="D1" s="24" t="str">
        <f t="array" ref="D1:BO1">TRANSPOSE(Menus!A2:A65)</f>
        <v/>
      </c>
      <c r="E1" s="3"/>
      <c r="F1" s="4"/>
      <c r="G1" s="3"/>
      <c r="H1" s="4"/>
      <c r="I1" s="3"/>
      <c r="J1" s="4"/>
      <c r="K1" s="3"/>
      <c r="L1" s="4"/>
      <c r="M1" s="3"/>
      <c r="N1" s="4"/>
      <c r="O1" s="3"/>
      <c r="P1" s="4"/>
      <c r="Q1" s="3"/>
      <c r="R1" s="4"/>
      <c r="S1" s="3"/>
      <c r="T1" s="4"/>
      <c r="U1" s="3"/>
      <c r="V1" s="4"/>
      <c r="W1" s="3"/>
      <c r="X1" s="4"/>
      <c r="Y1" s="3"/>
      <c r="Z1" s="4"/>
      <c r="AA1" s="3"/>
      <c r="AB1" s="4"/>
      <c r="AC1" s="3"/>
      <c r="AD1" s="4"/>
      <c r="AE1" s="3"/>
      <c r="AF1" s="4"/>
      <c r="AG1" s="3"/>
      <c r="AH1" s="4"/>
      <c r="AI1" s="3"/>
      <c r="AJ1" s="4"/>
      <c r="AK1" s="3"/>
      <c r="AL1" s="4"/>
      <c r="AM1" s="3"/>
      <c r="AN1" s="4"/>
      <c r="AO1" s="3"/>
      <c r="AP1" s="4"/>
      <c r="AQ1" s="3"/>
      <c r="AR1" s="4"/>
      <c r="AS1" s="3"/>
      <c r="AT1" s="4"/>
      <c r="AU1" s="3"/>
      <c r="AV1" s="4"/>
      <c r="AW1" s="3"/>
      <c r="AX1" s="4"/>
      <c r="AY1" s="3"/>
      <c r="AZ1" s="4"/>
      <c r="BA1" s="3"/>
      <c r="BB1" s="4"/>
      <c r="BC1" s="3"/>
      <c r="BD1" s="4"/>
      <c r="BE1" s="3"/>
      <c r="BF1" s="4"/>
      <c r="BG1" s="3"/>
      <c r="BH1" s="4"/>
      <c r="BI1" s="3"/>
      <c r="BJ1" s="4"/>
      <c r="BK1" s="3"/>
      <c r="BL1" s="4"/>
      <c r="BM1" s="3"/>
      <c r="BN1" s="4"/>
      <c r="BO1" s="3"/>
      <c r="BP1" s="4"/>
      <c r="BQ1" s="3"/>
      <c r="BR1" s="4"/>
      <c r="BS1" s="3"/>
      <c r="BT1" s="4"/>
      <c r="BU1" s="3"/>
      <c r="BV1" s="4"/>
      <c r="BW1" s="3"/>
      <c r="BX1" s="4"/>
      <c r="BY1" s="3"/>
      <c r="BZ1" s="4"/>
      <c r="CA1" s="3"/>
      <c r="CB1" s="4"/>
      <c r="CC1" s="3"/>
      <c r="CD1" s="4"/>
      <c r="CE1" s="3"/>
      <c r="CF1" s="4"/>
      <c r="CG1" s="3"/>
      <c r="CH1" s="4"/>
      <c r="CI1" s="3"/>
      <c r="CJ1" s="4"/>
      <c r="CK1" s="3"/>
      <c r="CL1" s="4"/>
      <c r="CM1" s="3"/>
      <c r="CN1" s="4"/>
      <c r="CO1" s="3"/>
      <c r="CP1" s="4"/>
      <c r="CQ1" s="3"/>
      <c r="CR1" s="4"/>
      <c r="CS1" s="3"/>
      <c r="CT1" s="4"/>
      <c r="CU1" s="3"/>
      <c r="CV1" s="4"/>
      <c r="CW1" s="3"/>
      <c r="CX1" s="4"/>
      <c r="CY1" s="3"/>
      <c r="CZ1" s="4"/>
      <c r="DA1" s="3"/>
      <c r="DB1" s="4"/>
      <c r="DC1" s="3"/>
      <c r="DD1" s="4"/>
      <c r="DE1" s="3"/>
      <c r="DF1" s="4"/>
      <c r="DG1" s="3"/>
      <c r="DH1" s="4"/>
      <c r="DI1" s="3"/>
      <c r="DJ1" s="4"/>
      <c r="DK1" s="3"/>
      <c r="DL1" s="4"/>
      <c r="DM1" s="3"/>
      <c r="DN1" s="4"/>
      <c r="DO1" s="3"/>
      <c r="DP1" s="4"/>
      <c r="DQ1" s="3"/>
      <c r="DR1" s="4"/>
      <c r="DS1" s="3"/>
      <c r="DT1" s="4"/>
      <c r="DU1" s="3"/>
      <c r="DV1" s="4"/>
      <c r="DW1" s="3"/>
      <c r="DX1" s="4"/>
      <c r="DY1" s="3"/>
      <c r="DZ1" s="4"/>
      <c r="EA1" s="3"/>
      <c r="EB1" s="4"/>
      <c r="EC1" s="3"/>
      <c r="ED1" s="4"/>
      <c r="EE1" s="3"/>
      <c r="EF1" s="4"/>
      <c r="EG1" s="3"/>
      <c r="EH1" s="4"/>
      <c r="EI1" s="3"/>
      <c r="EJ1" s="4"/>
      <c r="EK1" s="3"/>
      <c r="EL1" s="4"/>
      <c r="EM1" s="3"/>
      <c r="EN1" s="4"/>
      <c r="EO1" s="3"/>
      <c r="EP1" s="4"/>
    </row>
    <row r="2" ht="15.75" customHeight="1">
      <c r="A2" s="25" t="s">
        <v>22</v>
      </c>
      <c r="B2" s="26" t="s">
        <v>23</v>
      </c>
      <c r="C2" s="26" t="str">
        <f>VLOOKUP(A2,Menus!E2:H13,3)</f>
        <v>#N/A</v>
      </c>
      <c r="D2" s="24" t="str">
        <f t="shared" ref="D2:EP2" si="1">C2</f>
        <v>#N/A</v>
      </c>
      <c r="E2" s="3" t="str">
        <f t="shared" si="1"/>
        <v>#N/A</v>
      </c>
      <c r="F2" s="4" t="str">
        <f t="shared" si="1"/>
        <v>#N/A</v>
      </c>
      <c r="G2" s="3" t="str">
        <f t="shared" si="1"/>
        <v>#N/A</v>
      </c>
      <c r="H2" s="4" t="str">
        <f t="shared" si="1"/>
        <v>#N/A</v>
      </c>
      <c r="I2" s="3" t="str">
        <f t="shared" si="1"/>
        <v>#N/A</v>
      </c>
      <c r="J2" s="4" t="str">
        <f t="shared" si="1"/>
        <v>#N/A</v>
      </c>
      <c r="K2" s="3" t="str">
        <f t="shared" si="1"/>
        <v>#N/A</v>
      </c>
      <c r="L2" s="4" t="str">
        <f t="shared" si="1"/>
        <v>#N/A</v>
      </c>
      <c r="M2" s="3" t="str">
        <f t="shared" si="1"/>
        <v>#N/A</v>
      </c>
      <c r="N2" s="4" t="str">
        <f t="shared" si="1"/>
        <v>#N/A</v>
      </c>
      <c r="O2" s="3" t="str">
        <f t="shared" si="1"/>
        <v>#N/A</v>
      </c>
      <c r="P2" s="4" t="str">
        <f t="shared" si="1"/>
        <v>#N/A</v>
      </c>
      <c r="Q2" s="3" t="str">
        <f t="shared" si="1"/>
        <v>#N/A</v>
      </c>
      <c r="R2" s="4" t="str">
        <f t="shared" si="1"/>
        <v>#N/A</v>
      </c>
      <c r="S2" s="3" t="str">
        <f t="shared" si="1"/>
        <v>#N/A</v>
      </c>
      <c r="T2" s="4" t="str">
        <f t="shared" si="1"/>
        <v>#N/A</v>
      </c>
      <c r="U2" s="3" t="str">
        <f t="shared" si="1"/>
        <v>#N/A</v>
      </c>
      <c r="V2" s="4" t="str">
        <f t="shared" si="1"/>
        <v>#N/A</v>
      </c>
      <c r="W2" s="3" t="str">
        <f t="shared" si="1"/>
        <v>#N/A</v>
      </c>
      <c r="X2" s="4" t="str">
        <f t="shared" si="1"/>
        <v>#N/A</v>
      </c>
      <c r="Y2" s="3" t="str">
        <f t="shared" si="1"/>
        <v>#N/A</v>
      </c>
      <c r="Z2" s="4" t="str">
        <f t="shared" si="1"/>
        <v>#N/A</v>
      </c>
      <c r="AA2" s="3" t="str">
        <f t="shared" si="1"/>
        <v>#N/A</v>
      </c>
      <c r="AB2" s="4" t="str">
        <f t="shared" si="1"/>
        <v>#N/A</v>
      </c>
      <c r="AC2" s="3" t="str">
        <f t="shared" si="1"/>
        <v>#N/A</v>
      </c>
      <c r="AD2" s="4" t="str">
        <f t="shared" si="1"/>
        <v>#N/A</v>
      </c>
      <c r="AE2" s="3" t="str">
        <f t="shared" si="1"/>
        <v>#N/A</v>
      </c>
      <c r="AF2" s="4" t="str">
        <f t="shared" si="1"/>
        <v>#N/A</v>
      </c>
      <c r="AG2" s="3" t="str">
        <f t="shared" si="1"/>
        <v>#N/A</v>
      </c>
      <c r="AH2" s="4" t="str">
        <f t="shared" si="1"/>
        <v>#N/A</v>
      </c>
      <c r="AI2" s="3" t="str">
        <f t="shared" si="1"/>
        <v>#N/A</v>
      </c>
      <c r="AJ2" s="4" t="str">
        <f t="shared" si="1"/>
        <v>#N/A</v>
      </c>
      <c r="AK2" s="3" t="str">
        <f t="shared" si="1"/>
        <v>#N/A</v>
      </c>
      <c r="AL2" s="4" t="str">
        <f t="shared" si="1"/>
        <v>#N/A</v>
      </c>
      <c r="AM2" s="3" t="str">
        <f t="shared" si="1"/>
        <v>#N/A</v>
      </c>
      <c r="AN2" s="4" t="str">
        <f t="shared" si="1"/>
        <v>#N/A</v>
      </c>
      <c r="AO2" s="3" t="str">
        <f t="shared" si="1"/>
        <v>#N/A</v>
      </c>
      <c r="AP2" s="4" t="str">
        <f t="shared" si="1"/>
        <v>#N/A</v>
      </c>
      <c r="AQ2" s="3" t="str">
        <f t="shared" si="1"/>
        <v>#N/A</v>
      </c>
      <c r="AR2" s="4" t="str">
        <f t="shared" si="1"/>
        <v>#N/A</v>
      </c>
      <c r="AS2" s="3" t="str">
        <f t="shared" si="1"/>
        <v>#N/A</v>
      </c>
      <c r="AT2" s="4" t="str">
        <f t="shared" si="1"/>
        <v>#N/A</v>
      </c>
      <c r="AU2" s="3" t="str">
        <f t="shared" si="1"/>
        <v>#N/A</v>
      </c>
      <c r="AV2" s="4" t="str">
        <f t="shared" si="1"/>
        <v>#N/A</v>
      </c>
      <c r="AW2" s="3" t="str">
        <f t="shared" si="1"/>
        <v>#N/A</v>
      </c>
      <c r="AX2" s="4" t="str">
        <f t="shared" si="1"/>
        <v>#N/A</v>
      </c>
      <c r="AY2" s="3" t="str">
        <f t="shared" si="1"/>
        <v>#N/A</v>
      </c>
      <c r="AZ2" s="4" t="str">
        <f t="shared" si="1"/>
        <v>#N/A</v>
      </c>
      <c r="BA2" s="3" t="str">
        <f t="shared" si="1"/>
        <v>#N/A</v>
      </c>
      <c r="BB2" s="4" t="str">
        <f t="shared" si="1"/>
        <v>#N/A</v>
      </c>
      <c r="BC2" s="3" t="str">
        <f t="shared" si="1"/>
        <v>#N/A</v>
      </c>
      <c r="BD2" s="4" t="str">
        <f t="shared" si="1"/>
        <v>#N/A</v>
      </c>
      <c r="BE2" s="3" t="str">
        <f t="shared" si="1"/>
        <v>#N/A</v>
      </c>
      <c r="BF2" s="4" t="str">
        <f t="shared" si="1"/>
        <v>#N/A</v>
      </c>
      <c r="BG2" s="3" t="str">
        <f t="shared" si="1"/>
        <v>#N/A</v>
      </c>
      <c r="BH2" s="4" t="str">
        <f t="shared" si="1"/>
        <v>#N/A</v>
      </c>
      <c r="BI2" s="3" t="str">
        <f t="shared" si="1"/>
        <v>#N/A</v>
      </c>
      <c r="BJ2" s="4" t="str">
        <f t="shared" si="1"/>
        <v>#N/A</v>
      </c>
      <c r="BK2" s="3" t="str">
        <f t="shared" si="1"/>
        <v>#N/A</v>
      </c>
      <c r="BL2" s="4" t="str">
        <f t="shared" si="1"/>
        <v>#N/A</v>
      </c>
      <c r="BM2" s="3" t="str">
        <f t="shared" si="1"/>
        <v>#N/A</v>
      </c>
      <c r="BN2" s="4" t="str">
        <f t="shared" si="1"/>
        <v>#N/A</v>
      </c>
      <c r="BO2" s="3" t="str">
        <f t="shared" si="1"/>
        <v>#N/A</v>
      </c>
      <c r="BP2" s="4" t="str">
        <f t="shared" si="1"/>
        <v>#N/A</v>
      </c>
      <c r="BQ2" s="3" t="str">
        <f t="shared" si="1"/>
        <v>#N/A</v>
      </c>
      <c r="BR2" s="4" t="str">
        <f t="shared" si="1"/>
        <v>#N/A</v>
      </c>
      <c r="BS2" s="3" t="str">
        <f t="shared" si="1"/>
        <v>#N/A</v>
      </c>
      <c r="BT2" s="4" t="str">
        <f t="shared" si="1"/>
        <v>#N/A</v>
      </c>
      <c r="BU2" s="3" t="str">
        <f t="shared" si="1"/>
        <v>#N/A</v>
      </c>
      <c r="BV2" s="4" t="str">
        <f t="shared" si="1"/>
        <v>#N/A</v>
      </c>
      <c r="BW2" s="3" t="str">
        <f t="shared" si="1"/>
        <v>#N/A</v>
      </c>
      <c r="BX2" s="4" t="str">
        <f t="shared" si="1"/>
        <v>#N/A</v>
      </c>
      <c r="BY2" s="3" t="str">
        <f t="shared" si="1"/>
        <v>#N/A</v>
      </c>
      <c r="BZ2" s="4" t="str">
        <f t="shared" si="1"/>
        <v>#N/A</v>
      </c>
      <c r="CA2" s="3" t="str">
        <f t="shared" si="1"/>
        <v>#N/A</v>
      </c>
      <c r="CB2" s="4" t="str">
        <f t="shared" si="1"/>
        <v>#N/A</v>
      </c>
      <c r="CC2" s="3" t="str">
        <f t="shared" si="1"/>
        <v>#N/A</v>
      </c>
      <c r="CD2" s="4" t="str">
        <f t="shared" si="1"/>
        <v>#N/A</v>
      </c>
      <c r="CE2" s="3" t="str">
        <f t="shared" si="1"/>
        <v>#N/A</v>
      </c>
      <c r="CF2" s="4" t="str">
        <f t="shared" si="1"/>
        <v>#N/A</v>
      </c>
      <c r="CG2" s="3" t="str">
        <f t="shared" si="1"/>
        <v>#N/A</v>
      </c>
      <c r="CH2" s="4" t="str">
        <f t="shared" si="1"/>
        <v>#N/A</v>
      </c>
      <c r="CI2" s="3" t="str">
        <f t="shared" si="1"/>
        <v>#N/A</v>
      </c>
      <c r="CJ2" s="4" t="str">
        <f t="shared" si="1"/>
        <v>#N/A</v>
      </c>
      <c r="CK2" s="3" t="str">
        <f t="shared" si="1"/>
        <v>#N/A</v>
      </c>
      <c r="CL2" s="4" t="str">
        <f t="shared" si="1"/>
        <v>#N/A</v>
      </c>
      <c r="CM2" s="3" t="str">
        <f t="shared" si="1"/>
        <v>#N/A</v>
      </c>
      <c r="CN2" s="4" t="str">
        <f t="shared" si="1"/>
        <v>#N/A</v>
      </c>
      <c r="CO2" s="3" t="str">
        <f t="shared" si="1"/>
        <v>#N/A</v>
      </c>
      <c r="CP2" s="4" t="str">
        <f t="shared" si="1"/>
        <v>#N/A</v>
      </c>
      <c r="CQ2" s="3" t="str">
        <f t="shared" si="1"/>
        <v>#N/A</v>
      </c>
      <c r="CR2" s="4" t="str">
        <f t="shared" si="1"/>
        <v>#N/A</v>
      </c>
      <c r="CS2" s="3" t="str">
        <f t="shared" si="1"/>
        <v>#N/A</v>
      </c>
      <c r="CT2" s="4" t="str">
        <f t="shared" si="1"/>
        <v>#N/A</v>
      </c>
      <c r="CU2" s="3" t="str">
        <f t="shared" si="1"/>
        <v>#N/A</v>
      </c>
      <c r="CV2" s="4" t="str">
        <f t="shared" si="1"/>
        <v>#N/A</v>
      </c>
      <c r="CW2" s="3" t="str">
        <f t="shared" si="1"/>
        <v>#N/A</v>
      </c>
      <c r="CX2" s="4" t="str">
        <f t="shared" si="1"/>
        <v>#N/A</v>
      </c>
      <c r="CY2" s="3" t="str">
        <f t="shared" si="1"/>
        <v>#N/A</v>
      </c>
      <c r="CZ2" s="4" t="str">
        <f t="shared" si="1"/>
        <v>#N/A</v>
      </c>
      <c r="DA2" s="3" t="str">
        <f t="shared" si="1"/>
        <v>#N/A</v>
      </c>
      <c r="DB2" s="4" t="str">
        <f t="shared" si="1"/>
        <v>#N/A</v>
      </c>
      <c r="DC2" s="3" t="str">
        <f t="shared" si="1"/>
        <v>#N/A</v>
      </c>
      <c r="DD2" s="4" t="str">
        <f t="shared" si="1"/>
        <v>#N/A</v>
      </c>
      <c r="DE2" s="3" t="str">
        <f t="shared" si="1"/>
        <v>#N/A</v>
      </c>
      <c r="DF2" s="4" t="str">
        <f t="shared" si="1"/>
        <v>#N/A</v>
      </c>
      <c r="DG2" s="3" t="str">
        <f t="shared" si="1"/>
        <v>#N/A</v>
      </c>
      <c r="DH2" s="4" t="str">
        <f t="shared" si="1"/>
        <v>#N/A</v>
      </c>
      <c r="DI2" s="3" t="str">
        <f t="shared" si="1"/>
        <v>#N/A</v>
      </c>
      <c r="DJ2" s="4" t="str">
        <f t="shared" si="1"/>
        <v>#N/A</v>
      </c>
      <c r="DK2" s="3" t="str">
        <f t="shared" si="1"/>
        <v>#N/A</v>
      </c>
      <c r="DL2" s="4" t="str">
        <f t="shared" si="1"/>
        <v>#N/A</v>
      </c>
      <c r="DM2" s="3" t="str">
        <f t="shared" si="1"/>
        <v>#N/A</v>
      </c>
      <c r="DN2" s="4" t="str">
        <f t="shared" si="1"/>
        <v>#N/A</v>
      </c>
      <c r="DO2" s="3" t="str">
        <f t="shared" si="1"/>
        <v>#N/A</v>
      </c>
      <c r="DP2" s="4" t="str">
        <f t="shared" si="1"/>
        <v>#N/A</v>
      </c>
      <c r="DQ2" s="3" t="str">
        <f t="shared" si="1"/>
        <v>#N/A</v>
      </c>
      <c r="DR2" s="4" t="str">
        <f t="shared" si="1"/>
        <v>#N/A</v>
      </c>
      <c r="DS2" s="3" t="str">
        <f t="shared" si="1"/>
        <v>#N/A</v>
      </c>
      <c r="DT2" s="4" t="str">
        <f t="shared" si="1"/>
        <v>#N/A</v>
      </c>
      <c r="DU2" s="3" t="str">
        <f t="shared" si="1"/>
        <v>#N/A</v>
      </c>
      <c r="DV2" s="4" t="str">
        <f t="shared" si="1"/>
        <v>#N/A</v>
      </c>
      <c r="DW2" s="3" t="str">
        <f t="shared" si="1"/>
        <v>#N/A</v>
      </c>
      <c r="DX2" s="4" t="str">
        <f t="shared" si="1"/>
        <v>#N/A</v>
      </c>
      <c r="DY2" s="3" t="str">
        <f t="shared" si="1"/>
        <v>#N/A</v>
      </c>
      <c r="DZ2" s="4" t="str">
        <f t="shared" si="1"/>
        <v>#N/A</v>
      </c>
      <c r="EA2" s="3" t="str">
        <f t="shared" si="1"/>
        <v>#N/A</v>
      </c>
      <c r="EB2" s="4" t="str">
        <f t="shared" si="1"/>
        <v>#N/A</v>
      </c>
      <c r="EC2" s="3" t="str">
        <f t="shared" si="1"/>
        <v>#N/A</v>
      </c>
      <c r="ED2" s="4" t="str">
        <f t="shared" si="1"/>
        <v>#N/A</v>
      </c>
      <c r="EE2" s="3" t="str">
        <f t="shared" si="1"/>
        <v>#N/A</v>
      </c>
      <c r="EF2" s="4" t="str">
        <f t="shared" si="1"/>
        <v>#N/A</v>
      </c>
      <c r="EG2" s="3" t="str">
        <f t="shared" si="1"/>
        <v>#N/A</v>
      </c>
      <c r="EH2" s="4" t="str">
        <f t="shared" si="1"/>
        <v>#N/A</v>
      </c>
      <c r="EI2" s="3" t="str">
        <f t="shared" si="1"/>
        <v>#N/A</v>
      </c>
      <c r="EJ2" s="4" t="str">
        <f t="shared" si="1"/>
        <v>#N/A</v>
      </c>
      <c r="EK2" s="3" t="str">
        <f t="shared" si="1"/>
        <v>#N/A</v>
      </c>
      <c r="EL2" s="4" t="str">
        <f t="shared" si="1"/>
        <v>#N/A</v>
      </c>
      <c r="EM2" s="3" t="str">
        <f t="shared" si="1"/>
        <v>#N/A</v>
      </c>
      <c r="EN2" s="4" t="str">
        <f t="shared" si="1"/>
        <v>#N/A</v>
      </c>
      <c r="EO2" s="3" t="str">
        <f t="shared" si="1"/>
        <v>#N/A</v>
      </c>
      <c r="EP2" s="4" t="str">
        <f t="shared" si="1"/>
        <v>#N/A</v>
      </c>
    </row>
    <row r="3" ht="9.0" customHeight="1">
      <c r="A3" s="27"/>
      <c r="B3" s="22" t="str">
        <f>VLOOKUP(A2,Menus!E2:L13,7)</f>
        <v>#N/A</v>
      </c>
      <c r="C3" s="28" t="str">
        <f>VLOOKUP(A2,Menus!E15:L26,7)</f>
        <v>#N/A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</row>
    <row r="4" ht="15.75" customHeight="1">
      <c r="A4" s="7" t="s">
        <v>14</v>
      </c>
      <c r="B4" s="30" t="str">
        <f t="shared" ref="B4:AQ4" si="2">B6-B11+B51-B56</f>
        <v>#N/A</v>
      </c>
      <c r="C4" s="30" t="str">
        <f t="shared" si="2"/>
        <v>#N/A</v>
      </c>
      <c r="D4" s="31" t="str">
        <f t="shared" si="2"/>
        <v>#N/A</v>
      </c>
      <c r="E4" s="32" t="str">
        <f t="shared" si="2"/>
        <v>#N/A</v>
      </c>
      <c r="F4" s="33" t="str">
        <f t="shared" si="2"/>
        <v>#N/A</v>
      </c>
      <c r="G4" s="32" t="str">
        <f t="shared" si="2"/>
        <v>#N/A</v>
      </c>
      <c r="H4" s="33" t="str">
        <f t="shared" si="2"/>
        <v>#N/A</v>
      </c>
      <c r="I4" s="32" t="str">
        <f t="shared" si="2"/>
        <v>#N/A</v>
      </c>
      <c r="J4" s="33" t="str">
        <f t="shared" si="2"/>
        <v>#N/A</v>
      </c>
      <c r="K4" s="32" t="str">
        <f t="shared" si="2"/>
        <v>#N/A</v>
      </c>
      <c r="L4" s="33" t="str">
        <f t="shared" si="2"/>
        <v>#N/A</v>
      </c>
      <c r="M4" s="32" t="str">
        <f t="shared" si="2"/>
        <v>#N/A</v>
      </c>
      <c r="N4" s="33" t="str">
        <f t="shared" si="2"/>
        <v>#N/A</v>
      </c>
      <c r="O4" s="32" t="str">
        <f t="shared" si="2"/>
        <v>#N/A</v>
      </c>
      <c r="P4" s="33" t="str">
        <f t="shared" si="2"/>
        <v>#N/A</v>
      </c>
      <c r="Q4" s="32" t="str">
        <f t="shared" si="2"/>
        <v>#N/A</v>
      </c>
      <c r="R4" s="33" t="str">
        <f t="shared" si="2"/>
        <v>#N/A</v>
      </c>
      <c r="S4" s="32" t="str">
        <f t="shared" si="2"/>
        <v>#N/A</v>
      </c>
      <c r="T4" s="33" t="str">
        <f t="shared" si="2"/>
        <v>#N/A</v>
      </c>
      <c r="U4" s="32" t="str">
        <f t="shared" si="2"/>
        <v>#N/A</v>
      </c>
      <c r="V4" s="33" t="str">
        <f t="shared" si="2"/>
        <v>#N/A</v>
      </c>
      <c r="W4" s="32" t="str">
        <f t="shared" si="2"/>
        <v>#N/A</v>
      </c>
      <c r="X4" s="33" t="str">
        <f t="shared" si="2"/>
        <v>#N/A</v>
      </c>
      <c r="Y4" s="32" t="str">
        <f t="shared" si="2"/>
        <v>#N/A</v>
      </c>
      <c r="Z4" s="33" t="str">
        <f t="shared" si="2"/>
        <v>#N/A</v>
      </c>
      <c r="AA4" s="32" t="str">
        <f t="shared" si="2"/>
        <v>#N/A</v>
      </c>
      <c r="AB4" s="33" t="str">
        <f t="shared" si="2"/>
        <v>#N/A</v>
      </c>
      <c r="AC4" s="32" t="str">
        <f t="shared" si="2"/>
        <v>#N/A</v>
      </c>
      <c r="AD4" s="33" t="str">
        <f t="shared" si="2"/>
        <v>#N/A</v>
      </c>
      <c r="AE4" s="32" t="str">
        <f t="shared" si="2"/>
        <v>#N/A</v>
      </c>
      <c r="AF4" s="33" t="str">
        <f t="shared" si="2"/>
        <v>#N/A</v>
      </c>
      <c r="AG4" s="32" t="str">
        <f t="shared" si="2"/>
        <v>#N/A</v>
      </c>
      <c r="AH4" s="33" t="str">
        <f t="shared" si="2"/>
        <v>#N/A</v>
      </c>
      <c r="AI4" s="32" t="str">
        <f t="shared" si="2"/>
        <v>#N/A</v>
      </c>
      <c r="AJ4" s="33" t="str">
        <f t="shared" si="2"/>
        <v>#N/A</v>
      </c>
      <c r="AK4" s="32" t="str">
        <f t="shared" si="2"/>
        <v>#N/A</v>
      </c>
      <c r="AL4" s="33" t="str">
        <f t="shared" si="2"/>
        <v>#N/A</v>
      </c>
      <c r="AM4" s="32" t="str">
        <f t="shared" si="2"/>
        <v>#N/A</v>
      </c>
      <c r="AN4" s="33" t="str">
        <f t="shared" si="2"/>
        <v>#N/A</v>
      </c>
      <c r="AO4" s="32" t="str">
        <f t="shared" si="2"/>
        <v>#N/A</v>
      </c>
      <c r="AP4" s="33" t="str">
        <f t="shared" si="2"/>
        <v>#N/A</v>
      </c>
      <c r="AQ4" s="32" t="str">
        <f t="shared" si="2"/>
        <v>#N/A</v>
      </c>
      <c r="AR4" s="34" t="str">
        <f t="shared" ref="AR4:EP4" si="3">AR6-AR11+AR56</f>
        <v>#REF!</v>
      </c>
      <c r="AS4" s="35" t="str">
        <f t="shared" si="3"/>
        <v>#REF!</v>
      </c>
      <c r="AT4" s="34" t="str">
        <f t="shared" si="3"/>
        <v>#REF!</v>
      </c>
      <c r="AU4" s="35" t="str">
        <f t="shared" si="3"/>
        <v>#REF!</v>
      </c>
      <c r="AV4" s="34" t="str">
        <f t="shared" si="3"/>
        <v>#REF!</v>
      </c>
      <c r="AW4" s="35" t="str">
        <f t="shared" si="3"/>
        <v>#REF!</v>
      </c>
      <c r="AX4" s="34" t="str">
        <f t="shared" si="3"/>
        <v>#REF!</v>
      </c>
      <c r="AY4" s="35" t="str">
        <f t="shared" si="3"/>
        <v>#REF!</v>
      </c>
      <c r="AZ4" s="34" t="str">
        <f t="shared" si="3"/>
        <v>#REF!</v>
      </c>
      <c r="BA4" s="35" t="str">
        <f t="shared" si="3"/>
        <v>#REF!</v>
      </c>
      <c r="BB4" s="34" t="str">
        <f t="shared" si="3"/>
        <v>#REF!</v>
      </c>
      <c r="BC4" s="35" t="str">
        <f t="shared" si="3"/>
        <v>#REF!</v>
      </c>
      <c r="BD4" s="34" t="str">
        <f t="shared" si="3"/>
        <v>#REF!</v>
      </c>
      <c r="BE4" s="35" t="str">
        <f t="shared" si="3"/>
        <v>#REF!</v>
      </c>
      <c r="BF4" s="34" t="str">
        <f t="shared" si="3"/>
        <v>#REF!</v>
      </c>
      <c r="BG4" s="35" t="str">
        <f t="shared" si="3"/>
        <v>#REF!</v>
      </c>
      <c r="BH4" s="34" t="str">
        <f t="shared" si="3"/>
        <v>#REF!</v>
      </c>
      <c r="BI4" s="35" t="str">
        <f t="shared" si="3"/>
        <v>#REF!</v>
      </c>
      <c r="BJ4" s="34" t="str">
        <f t="shared" si="3"/>
        <v>#REF!</v>
      </c>
      <c r="BK4" s="35" t="str">
        <f t="shared" si="3"/>
        <v>#REF!</v>
      </c>
      <c r="BL4" s="34" t="str">
        <f t="shared" si="3"/>
        <v>#REF!</v>
      </c>
      <c r="BM4" s="35" t="str">
        <f t="shared" si="3"/>
        <v>#REF!</v>
      </c>
      <c r="BN4" s="34" t="str">
        <f t="shared" si="3"/>
        <v>#REF!</v>
      </c>
      <c r="BO4" s="35" t="str">
        <f t="shared" si="3"/>
        <v>#REF!</v>
      </c>
      <c r="BP4" s="34" t="str">
        <f t="shared" si="3"/>
        <v>#REF!</v>
      </c>
      <c r="BQ4" s="35" t="str">
        <f t="shared" si="3"/>
        <v>#REF!</v>
      </c>
      <c r="BR4" s="34" t="str">
        <f t="shared" si="3"/>
        <v>#REF!</v>
      </c>
      <c r="BS4" s="35" t="str">
        <f t="shared" si="3"/>
        <v>#REF!</v>
      </c>
      <c r="BT4" s="34" t="str">
        <f t="shared" si="3"/>
        <v>#REF!</v>
      </c>
      <c r="BU4" s="35" t="str">
        <f t="shared" si="3"/>
        <v>#REF!</v>
      </c>
      <c r="BV4" s="34" t="str">
        <f t="shared" si="3"/>
        <v>#REF!</v>
      </c>
      <c r="BW4" s="35" t="str">
        <f t="shared" si="3"/>
        <v>#REF!</v>
      </c>
      <c r="BX4" s="34" t="str">
        <f t="shared" si="3"/>
        <v>#REF!</v>
      </c>
      <c r="BY4" s="35" t="str">
        <f t="shared" si="3"/>
        <v>#REF!</v>
      </c>
      <c r="BZ4" s="34" t="str">
        <f t="shared" si="3"/>
        <v>#REF!</v>
      </c>
      <c r="CA4" s="35" t="str">
        <f t="shared" si="3"/>
        <v>#REF!</v>
      </c>
      <c r="CB4" s="34" t="str">
        <f t="shared" si="3"/>
        <v>#REF!</v>
      </c>
      <c r="CC4" s="35" t="str">
        <f t="shared" si="3"/>
        <v>#REF!</v>
      </c>
      <c r="CD4" s="34" t="str">
        <f t="shared" si="3"/>
        <v>#REF!</v>
      </c>
      <c r="CE4" s="35" t="str">
        <f t="shared" si="3"/>
        <v>#REF!</v>
      </c>
      <c r="CF4" s="34" t="str">
        <f t="shared" si="3"/>
        <v>#REF!</v>
      </c>
      <c r="CG4" s="35" t="str">
        <f t="shared" si="3"/>
        <v>#REF!</v>
      </c>
      <c r="CH4" s="34" t="str">
        <f t="shared" si="3"/>
        <v>#REF!</v>
      </c>
      <c r="CI4" s="35" t="str">
        <f t="shared" si="3"/>
        <v>#REF!</v>
      </c>
      <c r="CJ4" s="34" t="str">
        <f t="shared" si="3"/>
        <v>#REF!</v>
      </c>
      <c r="CK4" s="35" t="str">
        <f t="shared" si="3"/>
        <v>#REF!</v>
      </c>
      <c r="CL4" s="34" t="str">
        <f t="shared" si="3"/>
        <v>#REF!</v>
      </c>
      <c r="CM4" s="35" t="str">
        <f t="shared" si="3"/>
        <v>#REF!</v>
      </c>
      <c r="CN4" s="34" t="str">
        <f t="shared" si="3"/>
        <v>#REF!</v>
      </c>
      <c r="CO4" s="35" t="str">
        <f t="shared" si="3"/>
        <v>#REF!</v>
      </c>
      <c r="CP4" s="34" t="str">
        <f t="shared" si="3"/>
        <v>#REF!</v>
      </c>
      <c r="CQ4" s="35" t="str">
        <f t="shared" si="3"/>
        <v>#REF!</v>
      </c>
      <c r="CR4" s="34" t="str">
        <f t="shared" si="3"/>
        <v>#REF!</v>
      </c>
      <c r="CS4" s="35" t="str">
        <f t="shared" si="3"/>
        <v>#REF!</v>
      </c>
      <c r="CT4" s="34" t="str">
        <f t="shared" si="3"/>
        <v>#REF!</v>
      </c>
      <c r="CU4" s="35" t="str">
        <f t="shared" si="3"/>
        <v>#REF!</v>
      </c>
      <c r="CV4" s="34" t="str">
        <f t="shared" si="3"/>
        <v>#REF!</v>
      </c>
      <c r="CW4" s="35" t="str">
        <f t="shared" si="3"/>
        <v>#REF!</v>
      </c>
      <c r="CX4" s="34" t="str">
        <f t="shared" si="3"/>
        <v>#REF!</v>
      </c>
      <c r="CY4" s="35" t="str">
        <f t="shared" si="3"/>
        <v>#REF!</v>
      </c>
      <c r="CZ4" s="34" t="str">
        <f t="shared" si="3"/>
        <v>#REF!</v>
      </c>
      <c r="DA4" s="35" t="str">
        <f t="shared" si="3"/>
        <v>#REF!</v>
      </c>
      <c r="DB4" s="34" t="str">
        <f t="shared" si="3"/>
        <v>#REF!</v>
      </c>
      <c r="DC4" s="35" t="str">
        <f t="shared" si="3"/>
        <v>#REF!</v>
      </c>
      <c r="DD4" s="34" t="str">
        <f t="shared" si="3"/>
        <v>#REF!</v>
      </c>
      <c r="DE4" s="35" t="str">
        <f t="shared" si="3"/>
        <v>#REF!</v>
      </c>
      <c r="DF4" s="34" t="str">
        <f t="shared" si="3"/>
        <v>#REF!</v>
      </c>
      <c r="DG4" s="35" t="str">
        <f t="shared" si="3"/>
        <v>#REF!</v>
      </c>
      <c r="DH4" s="34" t="str">
        <f t="shared" si="3"/>
        <v>#REF!</v>
      </c>
      <c r="DI4" s="35" t="str">
        <f t="shared" si="3"/>
        <v>#REF!</v>
      </c>
      <c r="DJ4" s="34" t="str">
        <f t="shared" si="3"/>
        <v>#REF!</v>
      </c>
      <c r="DK4" s="35" t="str">
        <f t="shared" si="3"/>
        <v>#REF!</v>
      </c>
      <c r="DL4" s="34" t="str">
        <f t="shared" si="3"/>
        <v>#REF!</v>
      </c>
      <c r="DM4" s="35" t="str">
        <f t="shared" si="3"/>
        <v>#REF!</v>
      </c>
      <c r="DN4" s="34" t="str">
        <f t="shared" si="3"/>
        <v>#REF!</v>
      </c>
      <c r="DO4" s="35" t="str">
        <f t="shared" si="3"/>
        <v>#REF!</v>
      </c>
      <c r="DP4" s="34" t="str">
        <f t="shared" si="3"/>
        <v>#REF!</v>
      </c>
      <c r="DQ4" s="35" t="str">
        <f t="shared" si="3"/>
        <v>#REF!</v>
      </c>
      <c r="DR4" s="34" t="str">
        <f t="shared" si="3"/>
        <v>#REF!</v>
      </c>
      <c r="DS4" s="35" t="str">
        <f t="shared" si="3"/>
        <v>#REF!</v>
      </c>
      <c r="DT4" s="34" t="str">
        <f t="shared" si="3"/>
        <v>#REF!</v>
      </c>
      <c r="DU4" s="35" t="str">
        <f t="shared" si="3"/>
        <v>#REF!</v>
      </c>
      <c r="DV4" s="34" t="str">
        <f t="shared" si="3"/>
        <v>#REF!</v>
      </c>
      <c r="DW4" s="35" t="str">
        <f t="shared" si="3"/>
        <v>#REF!</v>
      </c>
      <c r="DX4" s="34" t="str">
        <f t="shared" si="3"/>
        <v>#REF!</v>
      </c>
      <c r="DY4" s="35" t="str">
        <f t="shared" si="3"/>
        <v>#REF!</v>
      </c>
      <c r="DZ4" s="34" t="str">
        <f t="shared" si="3"/>
        <v>#REF!</v>
      </c>
      <c r="EA4" s="35" t="str">
        <f t="shared" si="3"/>
        <v>#REF!</v>
      </c>
      <c r="EB4" s="34" t="str">
        <f t="shared" si="3"/>
        <v>#REF!</v>
      </c>
      <c r="EC4" s="35" t="str">
        <f t="shared" si="3"/>
        <v>#REF!</v>
      </c>
      <c r="ED4" s="34" t="str">
        <f t="shared" si="3"/>
        <v>#REF!</v>
      </c>
      <c r="EE4" s="35" t="str">
        <f t="shared" si="3"/>
        <v>#REF!</v>
      </c>
      <c r="EF4" s="34" t="str">
        <f t="shared" si="3"/>
        <v>#REF!</v>
      </c>
      <c r="EG4" s="35" t="str">
        <f t="shared" si="3"/>
        <v>#REF!</v>
      </c>
      <c r="EH4" s="34" t="str">
        <f t="shared" si="3"/>
        <v>#REF!</v>
      </c>
      <c r="EI4" s="35" t="str">
        <f t="shared" si="3"/>
        <v>#REF!</v>
      </c>
      <c r="EJ4" s="34" t="str">
        <f t="shared" si="3"/>
        <v>#REF!</v>
      </c>
      <c r="EK4" s="35" t="str">
        <f t="shared" si="3"/>
        <v>#REF!</v>
      </c>
      <c r="EL4" s="34" t="str">
        <f t="shared" si="3"/>
        <v>#REF!</v>
      </c>
      <c r="EM4" s="35" t="str">
        <f t="shared" si="3"/>
        <v>#REF!</v>
      </c>
      <c r="EN4" s="34" t="str">
        <f t="shared" si="3"/>
        <v>#REF!</v>
      </c>
      <c r="EO4" s="35" t="str">
        <f t="shared" si="3"/>
        <v>#REF!</v>
      </c>
      <c r="EP4" s="34" t="str">
        <f t="shared" si="3"/>
        <v>#REF!</v>
      </c>
    </row>
    <row r="5" ht="9.0" customHeight="1">
      <c r="A5" s="36" t="str">
        <f>VLOOKUP(A2,Menus!E28:I39,2)</f>
        <v>#N/A</v>
      </c>
      <c r="B5" s="22" t="str">
        <f>VLOOKUP(A2,Menus!E2:L13,8)</f>
        <v>#N/A</v>
      </c>
      <c r="C5" s="37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</row>
    <row r="6" ht="15.75" customHeight="1">
      <c r="A6" s="11" t="s">
        <v>15</v>
      </c>
      <c r="B6" s="38">
        <f t="shared" ref="B6:EP6" si="4">SUM(B7:B9)</f>
        <v>0</v>
      </c>
      <c r="C6" s="38">
        <f t="shared" si="4"/>
        <v>0</v>
      </c>
      <c r="D6" s="39">
        <f t="shared" si="4"/>
        <v>0</v>
      </c>
      <c r="E6" s="40">
        <f t="shared" si="4"/>
        <v>0</v>
      </c>
      <c r="F6" s="41">
        <f t="shared" si="4"/>
        <v>0</v>
      </c>
      <c r="G6" s="40">
        <f t="shared" si="4"/>
        <v>0</v>
      </c>
      <c r="H6" s="41">
        <f t="shared" si="4"/>
        <v>0</v>
      </c>
      <c r="I6" s="40">
        <f t="shared" si="4"/>
        <v>0</v>
      </c>
      <c r="J6" s="41">
        <f t="shared" si="4"/>
        <v>0</v>
      </c>
      <c r="K6" s="40">
        <f t="shared" si="4"/>
        <v>0</v>
      </c>
      <c r="L6" s="41">
        <f t="shared" si="4"/>
        <v>0</v>
      </c>
      <c r="M6" s="40">
        <f t="shared" si="4"/>
        <v>0</v>
      </c>
      <c r="N6" s="41">
        <f t="shared" si="4"/>
        <v>0</v>
      </c>
      <c r="O6" s="40">
        <f t="shared" si="4"/>
        <v>0</v>
      </c>
      <c r="P6" s="41">
        <f t="shared" si="4"/>
        <v>0</v>
      </c>
      <c r="Q6" s="40">
        <f t="shared" si="4"/>
        <v>0</v>
      </c>
      <c r="R6" s="41">
        <f t="shared" si="4"/>
        <v>0</v>
      </c>
      <c r="S6" s="40">
        <f t="shared" si="4"/>
        <v>0</v>
      </c>
      <c r="T6" s="41">
        <f t="shared" si="4"/>
        <v>0</v>
      </c>
      <c r="U6" s="40">
        <f t="shared" si="4"/>
        <v>0</v>
      </c>
      <c r="V6" s="41">
        <f t="shared" si="4"/>
        <v>0</v>
      </c>
      <c r="W6" s="40">
        <f t="shared" si="4"/>
        <v>0</v>
      </c>
      <c r="X6" s="41">
        <f t="shared" si="4"/>
        <v>0</v>
      </c>
      <c r="Y6" s="40">
        <f t="shared" si="4"/>
        <v>0</v>
      </c>
      <c r="Z6" s="41">
        <f t="shared" si="4"/>
        <v>0</v>
      </c>
      <c r="AA6" s="40">
        <f t="shared" si="4"/>
        <v>0</v>
      </c>
      <c r="AB6" s="41">
        <f t="shared" si="4"/>
        <v>0</v>
      </c>
      <c r="AC6" s="40">
        <f t="shared" si="4"/>
        <v>0</v>
      </c>
      <c r="AD6" s="41">
        <f t="shared" si="4"/>
        <v>0</v>
      </c>
      <c r="AE6" s="40">
        <f t="shared" si="4"/>
        <v>0</v>
      </c>
      <c r="AF6" s="41">
        <f t="shared" si="4"/>
        <v>0</v>
      </c>
      <c r="AG6" s="40">
        <f t="shared" si="4"/>
        <v>0</v>
      </c>
      <c r="AH6" s="41">
        <f t="shared" si="4"/>
        <v>0</v>
      </c>
      <c r="AI6" s="40">
        <f t="shared" si="4"/>
        <v>0</v>
      </c>
      <c r="AJ6" s="41">
        <f t="shared" si="4"/>
        <v>0</v>
      </c>
      <c r="AK6" s="40">
        <f t="shared" si="4"/>
        <v>0</v>
      </c>
      <c r="AL6" s="41">
        <f t="shared" si="4"/>
        <v>0</v>
      </c>
      <c r="AM6" s="40">
        <f t="shared" si="4"/>
        <v>0</v>
      </c>
      <c r="AN6" s="41">
        <f t="shared" si="4"/>
        <v>0</v>
      </c>
      <c r="AO6" s="40">
        <f t="shared" si="4"/>
        <v>0</v>
      </c>
      <c r="AP6" s="41">
        <f t="shared" si="4"/>
        <v>0</v>
      </c>
      <c r="AQ6" s="40">
        <f t="shared" si="4"/>
        <v>0</v>
      </c>
      <c r="AR6" s="41">
        <f t="shared" si="4"/>
        <v>0</v>
      </c>
      <c r="AS6" s="40">
        <f t="shared" si="4"/>
        <v>0</v>
      </c>
      <c r="AT6" s="41">
        <f t="shared" si="4"/>
        <v>0</v>
      </c>
      <c r="AU6" s="40">
        <f t="shared" si="4"/>
        <v>0</v>
      </c>
      <c r="AV6" s="41">
        <f t="shared" si="4"/>
        <v>0</v>
      </c>
      <c r="AW6" s="40">
        <f t="shared" si="4"/>
        <v>0</v>
      </c>
      <c r="AX6" s="41">
        <f t="shared" si="4"/>
        <v>0</v>
      </c>
      <c r="AY6" s="40">
        <f t="shared" si="4"/>
        <v>0</v>
      </c>
      <c r="AZ6" s="41">
        <f t="shared" si="4"/>
        <v>0</v>
      </c>
      <c r="BA6" s="40">
        <f t="shared" si="4"/>
        <v>0</v>
      </c>
      <c r="BB6" s="41">
        <f t="shared" si="4"/>
        <v>0</v>
      </c>
      <c r="BC6" s="40">
        <f t="shared" si="4"/>
        <v>0</v>
      </c>
      <c r="BD6" s="41">
        <f t="shared" si="4"/>
        <v>0</v>
      </c>
      <c r="BE6" s="40">
        <f t="shared" si="4"/>
        <v>0</v>
      </c>
      <c r="BF6" s="41">
        <f t="shared" si="4"/>
        <v>0</v>
      </c>
      <c r="BG6" s="40">
        <f t="shared" si="4"/>
        <v>0</v>
      </c>
      <c r="BH6" s="41">
        <f t="shared" si="4"/>
        <v>0</v>
      </c>
      <c r="BI6" s="40">
        <f t="shared" si="4"/>
        <v>0</v>
      </c>
      <c r="BJ6" s="41">
        <f t="shared" si="4"/>
        <v>0</v>
      </c>
      <c r="BK6" s="40">
        <f t="shared" si="4"/>
        <v>0</v>
      </c>
      <c r="BL6" s="41">
        <f t="shared" si="4"/>
        <v>0</v>
      </c>
      <c r="BM6" s="40">
        <f t="shared" si="4"/>
        <v>0</v>
      </c>
      <c r="BN6" s="41">
        <f t="shared" si="4"/>
        <v>0</v>
      </c>
      <c r="BO6" s="40">
        <f t="shared" si="4"/>
        <v>0</v>
      </c>
      <c r="BP6" s="41">
        <f t="shared" si="4"/>
        <v>0</v>
      </c>
      <c r="BQ6" s="40">
        <f t="shared" si="4"/>
        <v>0</v>
      </c>
      <c r="BR6" s="41">
        <f t="shared" si="4"/>
        <v>0</v>
      </c>
      <c r="BS6" s="40">
        <f t="shared" si="4"/>
        <v>0</v>
      </c>
      <c r="BT6" s="41">
        <f t="shared" si="4"/>
        <v>0</v>
      </c>
      <c r="BU6" s="40">
        <f t="shared" si="4"/>
        <v>0</v>
      </c>
      <c r="BV6" s="41">
        <f t="shared" si="4"/>
        <v>0</v>
      </c>
      <c r="BW6" s="40">
        <f t="shared" si="4"/>
        <v>0</v>
      </c>
      <c r="BX6" s="41">
        <f t="shared" si="4"/>
        <v>0</v>
      </c>
      <c r="BY6" s="40">
        <f t="shared" si="4"/>
        <v>0</v>
      </c>
      <c r="BZ6" s="41">
        <f t="shared" si="4"/>
        <v>0</v>
      </c>
      <c r="CA6" s="40">
        <f t="shared" si="4"/>
        <v>0</v>
      </c>
      <c r="CB6" s="41">
        <f t="shared" si="4"/>
        <v>0</v>
      </c>
      <c r="CC6" s="40">
        <f t="shared" si="4"/>
        <v>0</v>
      </c>
      <c r="CD6" s="41">
        <f t="shared" si="4"/>
        <v>0</v>
      </c>
      <c r="CE6" s="40">
        <f t="shared" si="4"/>
        <v>0</v>
      </c>
      <c r="CF6" s="41">
        <f t="shared" si="4"/>
        <v>0</v>
      </c>
      <c r="CG6" s="40">
        <f t="shared" si="4"/>
        <v>0</v>
      </c>
      <c r="CH6" s="41">
        <f t="shared" si="4"/>
        <v>0</v>
      </c>
      <c r="CI6" s="40">
        <f t="shared" si="4"/>
        <v>0</v>
      </c>
      <c r="CJ6" s="41">
        <f t="shared" si="4"/>
        <v>0</v>
      </c>
      <c r="CK6" s="40">
        <f t="shared" si="4"/>
        <v>0</v>
      </c>
      <c r="CL6" s="41">
        <f t="shared" si="4"/>
        <v>0</v>
      </c>
      <c r="CM6" s="40">
        <f t="shared" si="4"/>
        <v>0</v>
      </c>
      <c r="CN6" s="41">
        <f t="shared" si="4"/>
        <v>0</v>
      </c>
      <c r="CO6" s="40">
        <f t="shared" si="4"/>
        <v>0</v>
      </c>
      <c r="CP6" s="41">
        <f t="shared" si="4"/>
        <v>0</v>
      </c>
      <c r="CQ6" s="40">
        <f t="shared" si="4"/>
        <v>0</v>
      </c>
      <c r="CR6" s="41">
        <f t="shared" si="4"/>
        <v>0</v>
      </c>
      <c r="CS6" s="40">
        <f t="shared" si="4"/>
        <v>0</v>
      </c>
      <c r="CT6" s="41">
        <f t="shared" si="4"/>
        <v>0</v>
      </c>
      <c r="CU6" s="40">
        <f t="shared" si="4"/>
        <v>0</v>
      </c>
      <c r="CV6" s="41">
        <f t="shared" si="4"/>
        <v>0</v>
      </c>
      <c r="CW6" s="40">
        <f t="shared" si="4"/>
        <v>0</v>
      </c>
      <c r="CX6" s="41">
        <f t="shared" si="4"/>
        <v>0</v>
      </c>
      <c r="CY6" s="40">
        <f t="shared" si="4"/>
        <v>0</v>
      </c>
      <c r="CZ6" s="41">
        <f t="shared" si="4"/>
        <v>0</v>
      </c>
      <c r="DA6" s="40">
        <f t="shared" si="4"/>
        <v>0</v>
      </c>
      <c r="DB6" s="41">
        <f t="shared" si="4"/>
        <v>0</v>
      </c>
      <c r="DC6" s="40">
        <f t="shared" si="4"/>
        <v>0</v>
      </c>
      <c r="DD6" s="41">
        <f t="shared" si="4"/>
        <v>0</v>
      </c>
      <c r="DE6" s="40">
        <f t="shared" si="4"/>
        <v>0</v>
      </c>
      <c r="DF6" s="41">
        <f t="shared" si="4"/>
        <v>0</v>
      </c>
      <c r="DG6" s="40">
        <f t="shared" si="4"/>
        <v>0</v>
      </c>
      <c r="DH6" s="41">
        <f t="shared" si="4"/>
        <v>0</v>
      </c>
      <c r="DI6" s="40">
        <f t="shared" si="4"/>
        <v>0</v>
      </c>
      <c r="DJ6" s="41">
        <f t="shared" si="4"/>
        <v>0</v>
      </c>
      <c r="DK6" s="40">
        <f t="shared" si="4"/>
        <v>0</v>
      </c>
      <c r="DL6" s="41">
        <f t="shared" si="4"/>
        <v>0</v>
      </c>
      <c r="DM6" s="40">
        <f t="shared" si="4"/>
        <v>0</v>
      </c>
      <c r="DN6" s="41">
        <f t="shared" si="4"/>
        <v>0</v>
      </c>
      <c r="DO6" s="40">
        <f t="shared" si="4"/>
        <v>0</v>
      </c>
      <c r="DP6" s="41">
        <f t="shared" si="4"/>
        <v>0</v>
      </c>
      <c r="DQ6" s="40">
        <f t="shared" si="4"/>
        <v>0</v>
      </c>
      <c r="DR6" s="41">
        <f t="shared" si="4"/>
        <v>0</v>
      </c>
      <c r="DS6" s="40">
        <f t="shared" si="4"/>
        <v>0</v>
      </c>
      <c r="DT6" s="41">
        <f t="shared" si="4"/>
        <v>0</v>
      </c>
      <c r="DU6" s="40">
        <f t="shared" si="4"/>
        <v>0</v>
      </c>
      <c r="DV6" s="41">
        <f t="shared" si="4"/>
        <v>0</v>
      </c>
      <c r="DW6" s="40">
        <f t="shared" si="4"/>
        <v>0</v>
      </c>
      <c r="DX6" s="41">
        <f t="shared" si="4"/>
        <v>0</v>
      </c>
      <c r="DY6" s="40">
        <f t="shared" si="4"/>
        <v>0</v>
      </c>
      <c r="DZ6" s="41">
        <f t="shared" si="4"/>
        <v>0</v>
      </c>
      <c r="EA6" s="40">
        <f t="shared" si="4"/>
        <v>0</v>
      </c>
      <c r="EB6" s="41">
        <f t="shared" si="4"/>
        <v>0</v>
      </c>
      <c r="EC6" s="40">
        <f t="shared" si="4"/>
        <v>0</v>
      </c>
      <c r="ED6" s="41">
        <f t="shared" si="4"/>
        <v>0</v>
      </c>
      <c r="EE6" s="40">
        <f t="shared" si="4"/>
        <v>0</v>
      </c>
      <c r="EF6" s="41">
        <f t="shared" si="4"/>
        <v>0</v>
      </c>
      <c r="EG6" s="40">
        <f t="shared" si="4"/>
        <v>0</v>
      </c>
      <c r="EH6" s="41">
        <f t="shared" si="4"/>
        <v>0</v>
      </c>
      <c r="EI6" s="40">
        <f t="shared" si="4"/>
        <v>0</v>
      </c>
      <c r="EJ6" s="41">
        <f t="shared" si="4"/>
        <v>0</v>
      </c>
      <c r="EK6" s="40">
        <f t="shared" si="4"/>
        <v>0</v>
      </c>
      <c r="EL6" s="41">
        <f t="shared" si="4"/>
        <v>0</v>
      </c>
      <c r="EM6" s="40">
        <f t="shared" si="4"/>
        <v>0</v>
      </c>
      <c r="EN6" s="41">
        <f t="shared" si="4"/>
        <v>0</v>
      </c>
      <c r="EO6" s="40">
        <f t="shared" si="4"/>
        <v>0</v>
      </c>
      <c r="EP6" s="41">
        <f t="shared" si="4"/>
        <v>0</v>
      </c>
    </row>
    <row r="7" ht="15.75" customHeight="1">
      <c r="A7" s="42" t="s">
        <v>16</v>
      </c>
      <c r="B7" s="43">
        <f t="shared" ref="B7:B8" si="6">SUMIF($E$2:$EP$2, $C$2, D7:EP7
)</f>
        <v>0</v>
      </c>
      <c r="C7" s="44" t="str">
        <f t="shared" ref="C7:EP7" si="5">IFERROR(
  LET(
    resultado,
      INDEX(
        INDIRECT($B$1),
        MATCH(RIGHT($A7, LEN($A7)-4), INDIRECT($B$3), 0),
        MATCH(C$1, INDIRECT($B$5), 0)
      ),
    IF(resultado="-", "", resultado) 
  ),
"")
</f>
        <v/>
      </c>
      <c r="D7" s="45" t="str">
        <f t="shared" si="5"/>
        <v/>
      </c>
      <c r="E7" s="46" t="str">
        <f t="shared" si="5"/>
        <v/>
      </c>
      <c r="F7" s="47" t="str">
        <f t="shared" si="5"/>
        <v/>
      </c>
      <c r="G7" s="46" t="str">
        <f t="shared" si="5"/>
        <v/>
      </c>
      <c r="H7" s="47" t="str">
        <f t="shared" si="5"/>
        <v/>
      </c>
      <c r="I7" s="46" t="str">
        <f t="shared" si="5"/>
        <v/>
      </c>
      <c r="J7" s="47" t="str">
        <f t="shared" si="5"/>
        <v/>
      </c>
      <c r="K7" s="46" t="str">
        <f t="shared" si="5"/>
        <v/>
      </c>
      <c r="L7" s="47" t="str">
        <f t="shared" si="5"/>
        <v/>
      </c>
      <c r="M7" s="46" t="str">
        <f t="shared" si="5"/>
        <v/>
      </c>
      <c r="N7" s="47" t="str">
        <f t="shared" si="5"/>
        <v/>
      </c>
      <c r="O7" s="46" t="str">
        <f t="shared" si="5"/>
        <v/>
      </c>
      <c r="P7" s="47" t="str">
        <f t="shared" si="5"/>
        <v/>
      </c>
      <c r="Q7" s="46" t="str">
        <f t="shared" si="5"/>
        <v/>
      </c>
      <c r="R7" s="47" t="str">
        <f t="shared" si="5"/>
        <v/>
      </c>
      <c r="S7" s="46" t="str">
        <f t="shared" si="5"/>
        <v/>
      </c>
      <c r="T7" s="47" t="str">
        <f t="shared" si="5"/>
        <v/>
      </c>
      <c r="U7" s="46" t="str">
        <f t="shared" si="5"/>
        <v/>
      </c>
      <c r="V7" s="47" t="str">
        <f t="shared" si="5"/>
        <v/>
      </c>
      <c r="W7" s="46" t="str">
        <f t="shared" si="5"/>
        <v/>
      </c>
      <c r="X7" s="47" t="str">
        <f t="shared" si="5"/>
        <v/>
      </c>
      <c r="Y7" s="46" t="str">
        <f t="shared" si="5"/>
        <v/>
      </c>
      <c r="Z7" s="47" t="str">
        <f t="shared" si="5"/>
        <v/>
      </c>
      <c r="AA7" s="46" t="str">
        <f t="shared" si="5"/>
        <v/>
      </c>
      <c r="AB7" s="47" t="str">
        <f t="shared" si="5"/>
        <v/>
      </c>
      <c r="AC7" s="46" t="str">
        <f t="shared" si="5"/>
        <v/>
      </c>
      <c r="AD7" s="47" t="str">
        <f t="shared" si="5"/>
        <v/>
      </c>
      <c r="AE7" s="46" t="str">
        <f t="shared" si="5"/>
        <v/>
      </c>
      <c r="AF7" s="47" t="str">
        <f t="shared" si="5"/>
        <v/>
      </c>
      <c r="AG7" s="46" t="str">
        <f t="shared" si="5"/>
        <v/>
      </c>
      <c r="AH7" s="47" t="str">
        <f t="shared" si="5"/>
        <v/>
      </c>
      <c r="AI7" s="46" t="str">
        <f t="shared" si="5"/>
        <v/>
      </c>
      <c r="AJ7" s="47" t="str">
        <f t="shared" si="5"/>
        <v/>
      </c>
      <c r="AK7" s="46" t="str">
        <f t="shared" si="5"/>
        <v/>
      </c>
      <c r="AL7" s="47" t="str">
        <f t="shared" si="5"/>
        <v/>
      </c>
      <c r="AM7" s="46" t="str">
        <f t="shared" si="5"/>
        <v/>
      </c>
      <c r="AN7" s="47" t="str">
        <f t="shared" si="5"/>
        <v/>
      </c>
      <c r="AO7" s="46" t="str">
        <f t="shared" si="5"/>
        <v/>
      </c>
      <c r="AP7" s="47" t="str">
        <f t="shared" si="5"/>
        <v/>
      </c>
      <c r="AQ7" s="46" t="str">
        <f t="shared" si="5"/>
        <v/>
      </c>
      <c r="AR7" s="47" t="str">
        <f t="shared" si="5"/>
        <v/>
      </c>
      <c r="AS7" s="46" t="str">
        <f t="shared" si="5"/>
        <v/>
      </c>
      <c r="AT7" s="47" t="str">
        <f t="shared" si="5"/>
        <v/>
      </c>
      <c r="AU7" s="46" t="str">
        <f t="shared" si="5"/>
        <v/>
      </c>
      <c r="AV7" s="47" t="str">
        <f t="shared" si="5"/>
        <v/>
      </c>
      <c r="AW7" s="46" t="str">
        <f t="shared" si="5"/>
        <v/>
      </c>
      <c r="AX7" s="47" t="str">
        <f t="shared" si="5"/>
        <v/>
      </c>
      <c r="AY7" s="46" t="str">
        <f t="shared" si="5"/>
        <v/>
      </c>
      <c r="AZ7" s="47" t="str">
        <f t="shared" si="5"/>
        <v/>
      </c>
      <c r="BA7" s="46" t="str">
        <f t="shared" si="5"/>
        <v/>
      </c>
      <c r="BB7" s="47" t="str">
        <f t="shared" si="5"/>
        <v/>
      </c>
      <c r="BC7" s="46" t="str">
        <f t="shared" si="5"/>
        <v/>
      </c>
      <c r="BD7" s="47" t="str">
        <f t="shared" si="5"/>
        <v/>
      </c>
      <c r="BE7" s="46" t="str">
        <f t="shared" si="5"/>
        <v/>
      </c>
      <c r="BF7" s="47" t="str">
        <f t="shared" si="5"/>
        <v/>
      </c>
      <c r="BG7" s="46" t="str">
        <f t="shared" si="5"/>
        <v/>
      </c>
      <c r="BH7" s="47" t="str">
        <f t="shared" si="5"/>
        <v/>
      </c>
      <c r="BI7" s="46" t="str">
        <f t="shared" si="5"/>
        <v/>
      </c>
      <c r="BJ7" s="47" t="str">
        <f t="shared" si="5"/>
        <v/>
      </c>
      <c r="BK7" s="46" t="str">
        <f t="shared" si="5"/>
        <v/>
      </c>
      <c r="BL7" s="47" t="str">
        <f t="shared" si="5"/>
        <v/>
      </c>
      <c r="BM7" s="46" t="str">
        <f t="shared" si="5"/>
        <v/>
      </c>
      <c r="BN7" s="47" t="str">
        <f t="shared" si="5"/>
        <v/>
      </c>
      <c r="BO7" s="46" t="str">
        <f t="shared" si="5"/>
        <v/>
      </c>
      <c r="BP7" s="47" t="str">
        <f t="shared" si="5"/>
        <v/>
      </c>
      <c r="BQ7" s="46" t="str">
        <f t="shared" si="5"/>
        <v/>
      </c>
      <c r="BR7" s="47" t="str">
        <f t="shared" si="5"/>
        <v/>
      </c>
      <c r="BS7" s="46" t="str">
        <f t="shared" si="5"/>
        <v/>
      </c>
      <c r="BT7" s="47" t="str">
        <f t="shared" si="5"/>
        <v/>
      </c>
      <c r="BU7" s="46" t="str">
        <f t="shared" si="5"/>
        <v/>
      </c>
      <c r="BV7" s="47" t="str">
        <f t="shared" si="5"/>
        <v/>
      </c>
      <c r="BW7" s="46" t="str">
        <f t="shared" si="5"/>
        <v/>
      </c>
      <c r="BX7" s="47" t="str">
        <f t="shared" si="5"/>
        <v/>
      </c>
      <c r="BY7" s="46" t="str">
        <f t="shared" si="5"/>
        <v/>
      </c>
      <c r="BZ7" s="47" t="str">
        <f t="shared" si="5"/>
        <v/>
      </c>
      <c r="CA7" s="46" t="str">
        <f t="shared" si="5"/>
        <v/>
      </c>
      <c r="CB7" s="47" t="str">
        <f t="shared" si="5"/>
        <v/>
      </c>
      <c r="CC7" s="46" t="str">
        <f t="shared" si="5"/>
        <v/>
      </c>
      <c r="CD7" s="47" t="str">
        <f t="shared" si="5"/>
        <v/>
      </c>
      <c r="CE7" s="46" t="str">
        <f t="shared" si="5"/>
        <v/>
      </c>
      <c r="CF7" s="47" t="str">
        <f t="shared" si="5"/>
        <v/>
      </c>
      <c r="CG7" s="46" t="str">
        <f t="shared" si="5"/>
        <v/>
      </c>
      <c r="CH7" s="47" t="str">
        <f t="shared" si="5"/>
        <v/>
      </c>
      <c r="CI7" s="46" t="str">
        <f t="shared" si="5"/>
        <v/>
      </c>
      <c r="CJ7" s="47" t="str">
        <f t="shared" si="5"/>
        <v/>
      </c>
      <c r="CK7" s="46" t="str">
        <f t="shared" si="5"/>
        <v/>
      </c>
      <c r="CL7" s="47" t="str">
        <f t="shared" si="5"/>
        <v/>
      </c>
      <c r="CM7" s="46" t="str">
        <f t="shared" si="5"/>
        <v/>
      </c>
      <c r="CN7" s="47" t="str">
        <f t="shared" si="5"/>
        <v/>
      </c>
      <c r="CO7" s="46" t="str">
        <f t="shared" si="5"/>
        <v/>
      </c>
      <c r="CP7" s="47" t="str">
        <f t="shared" si="5"/>
        <v/>
      </c>
      <c r="CQ7" s="46" t="str">
        <f t="shared" si="5"/>
        <v/>
      </c>
      <c r="CR7" s="47" t="str">
        <f t="shared" si="5"/>
        <v/>
      </c>
      <c r="CS7" s="46" t="str">
        <f t="shared" si="5"/>
        <v/>
      </c>
      <c r="CT7" s="47" t="str">
        <f t="shared" si="5"/>
        <v/>
      </c>
      <c r="CU7" s="46" t="str">
        <f t="shared" si="5"/>
        <v/>
      </c>
      <c r="CV7" s="47" t="str">
        <f t="shared" si="5"/>
        <v/>
      </c>
      <c r="CW7" s="46" t="str">
        <f t="shared" si="5"/>
        <v/>
      </c>
      <c r="CX7" s="47" t="str">
        <f t="shared" si="5"/>
        <v/>
      </c>
      <c r="CY7" s="46" t="str">
        <f t="shared" si="5"/>
        <v/>
      </c>
      <c r="CZ7" s="47" t="str">
        <f t="shared" si="5"/>
        <v/>
      </c>
      <c r="DA7" s="46" t="str">
        <f t="shared" si="5"/>
        <v/>
      </c>
      <c r="DB7" s="47" t="str">
        <f t="shared" si="5"/>
        <v/>
      </c>
      <c r="DC7" s="46" t="str">
        <f t="shared" si="5"/>
        <v/>
      </c>
      <c r="DD7" s="47" t="str">
        <f t="shared" si="5"/>
        <v/>
      </c>
      <c r="DE7" s="46" t="str">
        <f t="shared" si="5"/>
        <v/>
      </c>
      <c r="DF7" s="47" t="str">
        <f t="shared" si="5"/>
        <v/>
      </c>
      <c r="DG7" s="46" t="str">
        <f t="shared" si="5"/>
        <v/>
      </c>
      <c r="DH7" s="47" t="str">
        <f t="shared" si="5"/>
        <v/>
      </c>
      <c r="DI7" s="46" t="str">
        <f t="shared" si="5"/>
        <v/>
      </c>
      <c r="DJ7" s="47" t="str">
        <f t="shared" si="5"/>
        <v/>
      </c>
      <c r="DK7" s="46" t="str">
        <f t="shared" si="5"/>
        <v/>
      </c>
      <c r="DL7" s="47" t="str">
        <f t="shared" si="5"/>
        <v/>
      </c>
      <c r="DM7" s="46" t="str">
        <f t="shared" si="5"/>
        <v/>
      </c>
      <c r="DN7" s="47" t="str">
        <f t="shared" si="5"/>
        <v/>
      </c>
      <c r="DO7" s="46" t="str">
        <f t="shared" si="5"/>
        <v/>
      </c>
      <c r="DP7" s="47" t="str">
        <f t="shared" si="5"/>
        <v/>
      </c>
      <c r="DQ7" s="46" t="str">
        <f t="shared" si="5"/>
        <v/>
      </c>
      <c r="DR7" s="47" t="str">
        <f t="shared" si="5"/>
        <v/>
      </c>
      <c r="DS7" s="46" t="str">
        <f t="shared" si="5"/>
        <v/>
      </c>
      <c r="DT7" s="47" t="str">
        <f t="shared" si="5"/>
        <v/>
      </c>
      <c r="DU7" s="46" t="str">
        <f t="shared" si="5"/>
        <v/>
      </c>
      <c r="DV7" s="47" t="str">
        <f t="shared" si="5"/>
        <v/>
      </c>
      <c r="DW7" s="46" t="str">
        <f t="shared" si="5"/>
        <v/>
      </c>
      <c r="DX7" s="47" t="str">
        <f t="shared" si="5"/>
        <v/>
      </c>
      <c r="DY7" s="46" t="str">
        <f t="shared" si="5"/>
        <v/>
      </c>
      <c r="DZ7" s="47" t="str">
        <f t="shared" si="5"/>
        <v/>
      </c>
      <c r="EA7" s="46" t="str">
        <f t="shared" si="5"/>
        <v/>
      </c>
      <c r="EB7" s="47" t="str">
        <f t="shared" si="5"/>
        <v/>
      </c>
      <c r="EC7" s="46" t="str">
        <f t="shared" si="5"/>
        <v/>
      </c>
      <c r="ED7" s="47" t="str">
        <f t="shared" si="5"/>
        <v/>
      </c>
      <c r="EE7" s="46" t="str">
        <f t="shared" si="5"/>
        <v/>
      </c>
      <c r="EF7" s="47" t="str">
        <f t="shared" si="5"/>
        <v/>
      </c>
      <c r="EG7" s="46" t="str">
        <f t="shared" si="5"/>
        <v/>
      </c>
      <c r="EH7" s="47" t="str">
        <f t="shared" si="5"/>
        <v/>
      </c>
      <c r="EI7" s="46" t="str">
        <f t="shared" si="5"/>
        <v/>
      </c>
      <c r="EJ7" s="47" t="str">
        <f t="shared" si="5"/>
        <v/>
      </c>
      <c r="EK7" s="46" t="str">
        <f t="shared" si="5"/>
        <v/>
      </c>
      <c r="EL7" s="47" t="str">
        <f t="shared" si="5"/>
        <v/>
      </c>
      <c r="EM7" s="46" t="str">
        <f t="shared" si="5"/>
        <v/>
      </c>
      <c r="EN7" s="47" t="str">
        <f t="shared" si="5"/>
        <v/>
      </c>
      <c r="EO7" s="46" t="str">
        <f t="shared" si="5"/>
        <v/>
      </c>
      <c r="EP7" s="47" t="str">
        <f t="shared" si="5"/>
        <v/>
      </c>
    </row>
    <row r="8" ht="15.75" customHeight="1">
      <c r="A8" s="42" t="s">
        <v>17</v>
      </c>
      <c r="B8" s="43">
        <f t="shared" si="6"/>
        <v>0</v>
      </c>
      <c r="C8" s="44" t="str">
        <f t="shared" ref="C8:EP8" si="7">IFERROR(
  LET(
    resultado,
      INDEX(
        INDIRECT($B$1),
        MATCH(RIGHT($A8, LEN($A8)-4), INDIRECT($B$3), 0),
        MATCH(C$1, INDIRECT($B$5), 0)
      ),
    IF(resultado="-", "", resultado) 
  ),
"")
</f>
        <v/>
      </c>
      <c r="D8" s="45" t="str">
        <f t="shared" si="7"/>
        <v/>
      </c>
      <c r="E8" s="46" t="str">
        <f t="shared" si="7"/>
        <v/>
      </c>
      <c r="F8" s="47" t="str">
        <f t="shared" si="7"/>
        <v/>
      </c>
      <c r="G8" s="46" t="str">
        <f t="shared" si="7"/>
        <v/>
      </c>
      <c r="H8" s="47" t="str">
        <f t="shared" si="7"/>
        <v/>
      </c>
      <c r="I8" s="46" t="str">
        <f t="shared" si="7"/>
        <v/>
      </c>
      <c r="J8" s="47" t="str">
        <f t="shared" si="7"/>
        <v/>
      </c>
      <c r="K8" s="46" t="str">
        <f t="shared" si="7"/>
        <v/>
      </c>
      <c r="L8" s="47" t="str">
        <f t="shared" si="7"/>
        <v/>
      </c>
      <c r="M8" s="46" t="str">
        <f t="shared" si="7"/>
        <v/>
      </c>
      <c r="N8" s="47" t="str">
        <f t="shared" si="7"/>
        <v/>
      </c>
      <c r="O8" s="46" t="str">
        <f t="shared" si="7"/>
        <v/>
      </c>
      <c r="P8" s="47" t="str">
        <f t="shared" si="7"/>
        <v/>
      </c>
      <c r="Q8" s="46" t="str">
        <f t="shared" si="7"/>
        <v/>
      </c>
      <c r="R8" s="47" t="str">
        <f t="shared" si="7"/>
        <v/>
      </c>
      <c r="S8" s="46" t="str">
        <f t="shared" si="7"/>
        <v/>
      </c>
      <c r="T8" s="47" t="str">
        <f t="shared" si="7"/>
        <v/>
      </c>
      <c r="U8" s="46" t="str">
        <f t="shared" si="7"/>
        <v/>
      </c>
      <c r="V8" s="47" t="str">
        <f t="shared" si="7"/>
        <v/>
      </c>
      <c r="W8" s="46" t="str">
        <f t="shared" si="7"/>
        <v/>
      </c>
      <c r="X8" s="47" t="str">
        <f t="shared" si="7"/>
        <v/>
      </c>
      <c r="Y8" s="46" t="str">
        <f t="shared" si="7"/>
        <v/>
      </c>
      <c r="Z8" s="47" t="str">
        <f t="shared" si="7"/>
        <v/>
      </c>
      <c r="AA8" s="46" t="str">
        <f t="shared" si="7"/>
        <v/>
      </c>
      <c r="AB8" s="47" t="str">
        <f t="shared" si="7"/>
        <v/>
      </c>
      <c r="AC8" s="46" t="str">
        <f t="shared" si="7"/>
        <v/>
      </c>
      <c r="AD8" s="47" t="str">
        <f t="shared" si="7"/>
        <v/>
      </c>
      <c r="AE8" s="46" t="str">
        <f t="shared" si="7"/>
        <v/>
      </c>
      <c r="AF8" s="47" t="str">
        <f t="shared" si="7"/>
        <v/>
      </c>
      <c r="AG8" s="46" t="str">
        <f t="shared" si="7"/>
        <v/>
      </c>
      <c r="AH8" s="47" t="str">
        <f t="shared" si="7"/>
        <v/>
      </c>
      <c r="AI8" s="46" t="str">
        <f t="shared" si="7"/>
        <v/>
      </c>
      <c r="AJ8" s="47" t="str">
        <f t="shared" si="7"/>
        <v/>
      </c>
      <c r="AK8" s="46" t="str">
        <f t="shared" si="7"/>
        <v/>
      </c>
      <c r="AL8" s="47" t="str">
        <f t="shared" si="7"/>
        <v/>
      </c>
      <c r="AM8" s="46" t="str">
        <f t="shared" si="7"/>
        <v/>
      </c>
      <c r="AN8" s="47" t="str">
        <f t="shared" si="7"/>
        <v/>
      </c>
      <c r="AO8" s="46" t="str">
        <f t="shared" si="7"/>
        <v/>
      </c>
      <c r="AP8" s="47" t="str">
        <f t="shared" si="7"/>
        <v/>
      </c>
      <c r="AQ8" s="46" t="str">
        <f t="shared" si="7"/>
        <v/>
      </c>
      <c r="AR8" s="47" t="str">
        <f t="shared" si="7"/>
        <v/>
      </c>
      <c r="AS8" s="46" t="str">
        <f t="shared" si="7"/>
        <v/>
      </c>
      <c r="AT8" s="47" t="str">
        <f t="shared" si="7"/>
        <v/>
      </c>
      <c r="AU8" s="46" t="str">
        <f t="shared" si="7"/>
        <v/>
      </c>
      <c r="AV8" s="47" t="str">
        <f t="shared" si="7"/>
        <v/>
      </c>
      <c r="AW8" s="46" t="str">
        <f t="shared" si="7"/>
        <v/>
      </c>
      <c r="AX8" s="47" t="str">
        <f t="shared" si="7"/>
        <v/>
      </c>
      <c r="AY8" s="46" t="str">
        <f t="shared" si="7"/>
        <v/>
      </c>
      <c r="AZ8" s="47" t="str">
        <f t="shared" si="7"/>
        <v/>
      </c>
      <c r="BA8" s="46" t="str">
        <f t="shared" si="7"/>
        <v/>
      </c>
      <c r="BB8" s="47" t="str">
        <f t="shared" si="7"/>
        <v/>
      </c>
      <c r="BC8" s="46" t="str">
        <f t="shared" si="7"/>
        <v/>
      </c>
      <c r="BD8" s="47" t="str">
        <f t="shared" si="7"/>
        <v/>
      </c>
      <c r="BE8" s="46" t="str">
        <f t="shared" si="7"/>
        <v/>
      </c>
      <c r="BF8" s="47" t="str">
        <f t="shared" si="7"/>
        <v/>
      </c>
      <c r="BG8" s="46" t="str">
        <f t="shared" si="7"/>
        <v/>
      </c>
      <c r="BH8" s="47" t="str">
        <f t="shared" si="7"/>
        <v/>
      </c>
      <c r="BI8" s="46" t="str">
        <f t="shared" si="7"/>
        <v/>
      </c>
      <c r="BJ8" s="47" t="str">
        <f t="shared" si="7"/>
        <v/>
      </c>
      <c r="BK8" s="46" t="str">
        <f t="shared" si="7"/>
        <v/>
      </c>
      <c r="BL8" s="47" t="str">
        <f t="shared" si="7"/>
        <v/>
      </c>
      <c r="BM8" s="46" t="str">
        <f t="shared" si="7"/>
        <v/>
      </c>
      <c r="BN8" s="47" t="str">
        <f t="shared" si="7"/>
        <v/>
      </c>
      <c r="BO8" s="46" t="str">
        <f t="shared" si="7"/>
        <v/>
      </c>
      <c r="BP8" s="47" t="str">
        <f t="shared" si="7"/>
        <v/>
      </c>
      <c r="BQ8" s="46" t="str">
        <f t="shared" si="7"/>
        <v/>
      </c>
      <c r="BR8" s="47" t="str">
        <f t="shared" si="7"/>
        <v/>
      </c>
      <c r="BS8" s="46" t="str">
        <f t="shared" si="7"/>
        <v/>
      </c>
      <c r="BT8" s="47" t="str">
        <f t="shared" si="7"/>
        <v/>
      </c>
      <c r="BU8" s="46" t="str">
        <f t="shared" si="7"/>
        <v/>
      </c>
      <c r="BV8" s="47" t="str">
        <f t="shared" si="7"/>
        <v/>
      </c>
      <c r="BW8" s="46" t="str">
        <f t="shared" si="7"/>
        <v/>
      </c>
      <c r="BX8" s="47" t="str">
        <f t="shared" si="7"/>
        <v/>
      </c>
      <c r="BY8" s="46" t="str">
        <f t="shared" si="7"/>
        <v/>
      </c>
      <c r="BZ8" s="47" t="str">
        <f t="shared" si="7"/>
        <v/>
      </c>
      <c r="CA8" s="46" t="str">
        <f t="shared" si="7"/>
        <v/>
      </c>
      <c r="CB8" s="47" t="str">
        <f t="shared" si="7"/>
        <v/>
      </c>
      <c r="CC8" s="46" t="str">
        <f t="shared" si="7"/>
        <v/>
      </c>
      <c r="CD8" s="47" t="str">
        <f t="shared" si="7"/>
        <v/>
      </c>
      <c r="CE8" s="46" t="str">
        <f t="shared" si="7"/>
        <v/>
      </c>
      <c r="CF8" s="47" t="str">
        <f t="shared" si="7"/>
        <v/>
      </c>
      <c r="CG8" s="46" t="str">
        <f t="shared" si="7"/>
        <v/>
      </c>
      <c r="CH8" s="47" t="str">
        <f t="shared" si="7"/>
        <v/>
      </c>
      <c r="CI8" s="46" t="str">
        <f t="shared" si="7"/>
        <v/>
      </c>
      <c r="CJ8" s="47" t="str">
        <f t="shared" si="7"/>
        <v/>
      </c>
      <c r="CK8" s="46" t="str">
        <f t="shared" si="7"/>
        <v/>
      </c>
      <c r="CL8" s="47" t="str">
        <f t="shared" si="7"/>
        <v/>
      </c>
      <c r="CM8" s="46" t="str">
        <f t="shared" si="7"/>
        <v/>
      </c>
      <c r="CN8" s="47" t="str">
        <f t="shared" si="7"/>
        <v/>
      </c>
      <c r="CO8" s="46" t="str">
        <f t="shared" si="7"/>
        <v/>
      </c>
      <c r="CP8" s="47" t="str">
        <f t="shared" si="7"/>
        <v/>
      </c>
      <c r="CQ8" s="46" t="str">
        <f t="shared" si="7"/>
        <v/>
      </c>
      <c r="CR8" s="47" t="str">
        <f t="shared" si="7"/>
        <v/>
      </c>
      <c r="CS8" s="46" t="str">
        <f t="shared" si="7"/>
        <v/>
      </c>
      <c r="CT8" s="47" t="str">
        <f t="shared" si="7"/>
        <v/>
      </c>
      <c r="CU8" s="46" t="str">
        <f t="shared" si="7"/>
        <v/>
      </c>
      <c r="CV8" s="47" t="str">
        <f t="shared" si="7"/>
        <v/>
      </c>
      <c r="CW8" s="46" t="str">
        <f t="shared" si="7"/>
        <v/>
      </c>
      <c r="CX8" s="47" t="str">
        <f t="shared" si="7"/>
        <v/>
      </c>
      <c r="CY8" s="46" t="str">
        <f t="shared" si="7"/>
        <v/>
      </c>
      <c r="CZ8" s="47" t="str">
        <f t="shared" si="7"/>
        <v/>
      </c>
      <c r="DA8" s="46" t="str">
        <f t="shared" si="7"/>
        <v/>
      </c>
      <c r="DB8" s="47" t="str">
        <f t="shared" si="7"/>
        <v/>
      </c>
      <c r="DC8" s="46" t="str">
        <f t="shared" si="7"/>
        <v/>
      </c>
      <c r="DD8" s="47" t="str">
        <f t="shared" si="7"/>
        <v/>
      </c>
      <c r="DE8" s="46" t="str">
        <f t="shared" si="7"/>
        <v/>
      </c>
      <c r="DF8" s="47" t="str">
        <f t="shared" si="7"/>
        <v/>
      </c>
      <c r="DG8" s="46" t="str">
        <f t="shared" si="7"/>
        <v/>
      </c>
      <c r="DH8" s="47" t="str">
        <f t="shared" si="7"/>
        <v/>
      </c>
      <c r="DI8" s="46" t="str">
        <f t="shared" si="7"/>
        <v/>
      </c>
      <c r="DJ8" s="47" t="str">
        <f t="shared" si="7"/>
        <v/>
      </c>
      <c r="DK8" s="46" t="str">
        <f t="shared" si="7"/>
        <v/>
      </c>
      <c r="DL8" s="47" t="str">
        <f t="shared" si="7"/>
        <v/>
      </c>
      <c r="DM8" s="46" t="str">
        <f t="shared" si="7"/>
        <v/>
      </c>
      <c r="DN8" s="47" t="str">
        <f t="shared" si="7"/>
        <v/>
      </c>
      <c r="DO8" s="46" t="str">
        <f t="shared" si="7"/>
        <v/>
      </c>
      <c r="DP8" s="47" t="str">
        <f t="shared" si="7"/>
        <v/>
      </c>
      <c r="DQ8" s="46" t="str">
        <f t="shared" si="7"/>
        <v/>
      </c>
      <c r="DR8" s="47" t="str">
        <f t="shared" si="7"/>
        <v/>
      </c>
      <c r="DS8" s="46" t="str">
        <f t="shared" si="7"/>
        <v/>
      </c>
      <c r="DT8" s="47" t="str">
        <f t="shared" si="7"/>
        <v/>
      </c>
      <c r="DU8" s="46" t="str">
        <f t="shared" si="7"/>
        <v/>
      </c>
      <c r="DV8" s="47" t="str">
        <f t="shared" si="7"/>
        <v/>
      </c>
      <c r="DW8" s="46" t="str">
        <f t="shared" si="7"/>
        <v/>
      </c>
      <c r="DX8" s="47" t="str">
        <f t="shared" si="7"/>
        <v/>
      </c>
      <c r="DY8" s="46" t="str">
        <f t="shared" si="7"/>
        <v/>
      </c>
      <c r="DZ8" s="47" t="str">
        <f t="shared" si="7"/>
        <v/>
      </c>
      <c r="EA8" s="46" t="str">
        <f t="shared" si="7"/>
        <v/>
      </c>
      <c r="EB8" s="47" t="str">
        <f t="shared" si="7"/>
        <v/>
      </c>
      <c r="EC8" s="46" t="str">
        <f t="shared" si="7"/>
        <v/>
      </c>
      <c r="ED8" s="47" t="str">
        <f t="shared" si="7"/>
        <v/>
      </c>
      <c r="EE8" s="46" t="str">
        <f t="shared" si="7"/>
        <v/>
      </c>
      <c r="EF8" s="47" t="str">
        <f t="shared" si="7"/>
        <v/>
      </c>
      <c r="EG8" s="46" t="str">
        <f t="shared" si="7"/>
        <v/>
      </c>
      <c r="EH8" s="47" t="str">
        <f t="shared" si="7"/>
        <v/>
      </c>
      <c r="EI8" s="46" t="str">
        <f t="shared" si="7"/>
        <v/>
      </c>
      <c r="EJ8" s="47" t="str">
        <f t="shared" si="7"/>
        <v/>
      </c>
      <c r="EK8" s="46" t="str">
        <f t="shared" si="7"/>
        <v/>
      </c>
      <c r="EL8" s="47" t="str">
        <f t="shared" si="7"/>
        <v/>
      </c>
      <c r="EM8" s="46" t="str">
        <f t="shared" si="7"/>
        <v/>
      </c>
      <c r="EN8" s="47" t="str">
        <f t="shared" si="7"/>
        <v/>
      </c>
      <c r="EO8" s="46" t="str">
        <f t="shared" si="7"/>
        <v/>
      </c>
      <c r="EP8" s="47" t="str">
        <f t="shared" si="7"/>
        <v/>
      </c>
    </row>
    <row r="9" ht="15.75" hidden="1" customHeight="1">
      <c r="A9" s="42"/>
      <c r="B9" s="43">
        <f>SUMIF($D$2:$EP$2, $C$2, E9:EP9
)</f>
        <v>0</v>
      </c>
      <c r="C9" s="44" t="str">
        <f t="shared" ref="C9:EP9" si="8">IFERROR(
  LET(
    resultado,
      INDEX(
        INDIRECT($B$1),
        MATCH(RIGHT($A9, LEN($A9)-4), INDIRECT($B$3), 0),
        MATCH(C$1, INDIRECT($B$5), 0)
      ),
    IF(resultado="-", "", resultado) 
  ),
"")
</f>
        <v/>
      </c>
      <c r="D9" s="45" t="str">
        <f t="shared" si="8"/>
        <v/>
      </c>
      <c r="E9" s="46" t="str">
        <f t="shared" si="8"/>
        <v/>
      </c>
      <c r="F9" s="47" t="str">
        <f t="shared" si="8"/>
        <v/>
      </c>
      <c r="G9" s="46" t="str">
        <f t="shared" si="8"/>
        <v/>
      </c>
      <c r="H9" s="47" t="str">
        <f t="shared" si="8"/>
        <v/>
      </c>
      <c r="I9" s="46" t="str">
        <f t="shared" si="8"/>
        <v/>
      </c>
      <c r="J9" s="47" t="str">
        <f t="shared" si="8"/>
        <v/>
      </c>
      <c r="K9" s="46" t="str">
        <f t="shared" si="8"/>
        <v/>
      </c>
      <c r="L9" s="47" t="str">
        <f t="shared" si="8"/>
        <v/>
      </c>
      <c r="M9" s="46" t="str">
        <f t="shared" si="8"/>
        <v/>
      </c>
      <c r="N9" s="47" t="str">
        <f t="shared" si="8"/>
        <v/>
      </c>
      <c r="O9" s="46" t="str">
        <f t="shared" si="8"/>
        <v/>
      </c>
      <c r="P9" s="47" t="str">
        <f t="shared" si="8"/>
        <v/>
      </c>
      <c r="Q9" s="46" t="str">
        <f t="shared" si="8"/>
        <v/>
      </c>
      <c r="R9" s="47" t="str">
        <f t="shared" si="8"/>
        <v/>
      </c>
      <c r="S9" s="46" t="str">
        <f t="shared" si="8"/>
        <v/>
      </c>
      <c r="T9" s="47" t="str">
        <f t="shared" si="8"/>
        <v/>
      </c>
      <c r="U9" s="46" t="str">
        <f t="shared" si="8"/>
        <v/>
      </c>
      <c r="V9" s="47" t="str">
        <f t="shared" si="8"/>
        <v/>
      </c>
      <c r="W9" s="46" t="str">
        <f t="shared" si="8"/>
        <v/>
      </c>
      <c r="X9" s="47" t="str">
        <f t="shared" si="8"/>
        <v/>
      </c>
      <c r="Y9" s="46" t="str">
        <f t="shared" si="8"/>
        <v/>
      </c>
      <c r="Z9" s="47" t="str">
        <f t="shared" si="8"/>
        <v/>
      </c>
      <c r="AA9" s="46" t="str">
        <f t="shared" si="8"/>
        <v/>
      </c>
      <c r="AB9" s="47" t="str">
        <f t="shared" si="8"/>
        <v/>
      </c>
      <c r="AC9" s="46" t="str">
        <f t="shared" si="8"/>
        <v/>
      </c>
      <c r="AD9" s="47" t="str">
        <f t="shared" si="8"/>
        <v/>
      </c>
      <c r="AE9" s="46" t="str">
        <f t="shared" si="8"/>
        <v/>
      </c>
      <c r="AF9" s="47" t="str">
        <f t="shared" si="8"/>
        <v/>
      </c>
      <c r="AG9" s="46" t="str">
        <f t="shared" si="8"/>
        <v/>
      </c>
      <c r="AH9" s="47" t="str">
        <f t="shared" si="8"/>
        <v/>
      </c>
      <c r="AI9" s="46" t="str">
        <f t="shared" si="8"/>
        <v/>
      </c>
      <c r="AJ9" s="47" t="str">
        <f t="shared" si="8"/>
        <v/>
      </c>
      <c r="AK9" s="46" t="str">
        <f t="shared" si="8"/>
        <v/>
      </c>
      <c r="AL9" s="47" t="str">
        <f t="shared" si="8"/>
        <v/>
      </c>
      <c r="AM9" s="46" t="str">
        <f t="shared" si="8"/>
        <v/>
      </c>
      <c r="AN9" s="47" t="str">
        <f t="shared" si="8"/>
        <v/>
      </c>
      <c r="AO9" s="46" t="str">
        <f t="shared" si="8"/>
        <v/>
      </c>
      <c r="AP9" s="47" t="str">
        <f t="shared" si="8"/>
        <v/>
      </c>
      <c r="AQ9" s="46" t="str">
        <f t="shared" si="8"/>
        <v/>
      </c>
      <c r="AR9" s="47" t="str">
        <f t="shared" si="8"/>
        <v/>
      </c>
      <c r="AS9" s="46" t="str">
        <f t="shared" si="8"/>
        <v/>
      </c>
      <c r="AT9" s="47" t="str">
        <f t="shared" si="8"/>
        <v/>
      </c>
      <c r="AU9" s="46" t="str">
        <f t="shared" si="8"/>
        <v/>
      </c>
      <c r="AV9" s="47" t="str">
        <f t="shared" si="8"/>
        <v/>
      </c>
      <c r="AW9" s="46" t="str">
        <f t="shared" si="8"/>
        <v/>
      </c>
      <c r="AX9" s="47" t="str">
        <f t="shared" si="8"/>
        <v/>
      </c>
      <c r="AY9" s="46" t="str">
        <f t="shared" si="8"/>
        <v/>
      </c>
      <c r="AZ9" s="47" t="str">
        <f t="shared" si="8"/>
        <v/>
      </c>
      <c r="BA9" s="46" t="str">
        <f t="shared" si="8"/>
        <v/>
      </c>
      <c r="BB9" s="47" t="str">
        <f t="shared" si="8"/>
        <v/>
      </c>
      <c r="BC9" s="46" t="str">
        <f t="shared" si="8"/>
        <v/>
      </c>
      <c r="BD9" s="47" t="str">
        <f t="shared" si="8"/>
        <v/>
      </c>
      <c r="BE9" s="46" t="str">
        <f t="shared" si="8"/>
        <v/>
      </c>
      <c r="BF9" s="47" t="str">
        <f t="shared" si="8"/>
        <v/>
      </c>
      <c r="BG9" s="46" t="str">
        <f t="shared" si="8"/>
        <v/>
      </c>
      <c r="BH9" s="47" t="str">
        <f t="shared" si="8"/>
        <v/>
      </c>
      <c r="BI9" s="46" t="str">
        <f t="shared" si="8"/>
        <v/>
      </c>
      <c r="BJ9" s="47" t="str">
        <f t="shared" si="8"/>
        <v/>
      </c>
      <c r="BK9" s="46" t="str">
        <f t="shared" si="8"/>
        <v/>
      </c>
      <c r="BL9" s="47" t="str">
        <f t="shared" si="8"/>
        <v/>
      </c>
      <c r="BM9" s="46" t="str">
        <f t="shared" si="8"/>
        <v/>
      </c>
      <c r="BN9" s="47" t="str">
        <f t="shared" si="8"/>
        <v/>
      </c>
      <c r="BO9" s="46" t="str">
        <f t="shared" si="8"/>
        <v/>
      </c>
      <c r="BP9" s="47" t="str">
        <f t="shared" si="8"/>
        <v/>
      </c>
      <c r="BQ9" s="46" t="str">
        <f t="shared" si="8"/>
        <v/>
      </c>
      <c r="BR9" s="47" t="str">
        <f t="shared" si="8"/>
        <v/>
      </c>
      <c r="BS9" s="46" t="str">
        <f t="shared" si="8"/>
        <v/>
      </c>
      <c r="BT9" s="47" t="str">
        <f t="shared" si="8"/>
        <v/>
      </c>
      <c r="BU9" s="46" t="str">
        <f t="shared" si="8"/>
        <v/>
      </c>
      <c r="BV9" s="47" t="str">
        <f t="shared" si="8"/>
        <v/>
      </c>
      <c r="BW9" s="46" t="str">
        <f t="shared" si="8"/>
        <v/>
      </c>
      <c r="BX9" s="47" t="str">
        <f t="shared" si="8"/>
        <v/>
      </c>
      <c r="BY9" s="46" t="str">
        <f t="shared" si="8"/>
        <v/>
      </c>
      <c r="BZ9" s="47" t="str">
        <f t="shared" si="8"/>
        <v/>
      </c>
      <c r="CA9" s="46" t="str">
        <f t="shared" si="8"/>
        <v/>
      </c>
      <c r="CB9" s="47" t="str">
        <f t="shared" si="8"/>
        <v/>
      </c>
      <c r="CC9" s="46" t="str">
        <f t="shared" si="8"/>
        <v/>
      </c>
      <c r="CD9" s="47" t="str">
        <f t="shared" si="8"/>
        <v/>
      </c>
      <c r="CE9" s="46" t="str">
        <f t="shared" si="8"/>
        <v/>
      </c>
      <c r="CF9" s="47" t="str">
        <f t="shared" si="8"/>
        <v/>
      </c>
      <c r="CG9" s="46" t="str">
        <f t="shared" si="8"/>
        <v/>
      </c>
      <c r="CH9" s="47" t="str">
        <f t="shared" si="8"/>
        <v/>
      </c>
      <c r="CI9" s="46" t="str">
        <f t="shared" si="8"/>
        <v/>
      </c>
      <c r="CJ9" s="47" t="str">
        <f t="shared" si="8"/>
        <v/>
      </c>
      <c r="CK9" s="46" t="str">
        <f t="shared" si="8"/>
        <v/>
      </c>
      <c r="CL9" s="47" t="str">
        <f t="shared" si="8"/>
        <v/>
      </c>
      <c r="CM9" s="46" t="str">
        <f t="shared" si="8"/>
        <v/>
      </c>
      <c r="CN9" s="47" t="str">
        <f t="shared" si="8"/>
        <v/>
      </c>
      <c r="CO9" s="46" t="str">
        <f t="shared" si="8"/>
        <v/>
      </c>
      <c r="CP9" s="47" t="str">
        <f t="shared" si="8"/>
        <v/>
      </c>
      <c r="CQ9" s="46" t="str">
        <f t="shared" si="8"/>
        <v/>
      </c>
      <c r="CR9" s="47" t="str">
        <f t="shared" si="8"/>
        <v/>
      </c>
      <c r="CS9" s="46" t="str">
        <f t="shared" si="8"/>
        <v/>
      </c>
      <c r="CT9" s="47" t="str">
        <f t="shared" si="8"/>
        <v/>
      </c>
      <c r="CU9" s="46" t="str">
        <f t="shared" si="8"/>
        <v/>
      </c>
      <c r="CV9" s="47" t="str">
        <f t="shared" si="8"/>
        <v/>
      </c>
      <c r="CW9" s="46" t="str">
        <f t="shared" si="8"/>
        <v/>
      </c>
      <c r="CX9" s="47" t="str">
        <f t="shared" si="8"/>
        <v/>
      </c>
      <c r="CY9" s="46" t="str">
        <f t="shared" si="8"/>
        <v/>
      </c>
      <c r="CZ9" s="47" t="str">
        <f t="shared" si="8"/>
        <v/>
      </c>
      <c r="DA9" s="46" t="str">
        <f t="shared" si="8"/>
        <v/>
      </c>
      <c r="DB9" s="47" t="str">
        <f t="shared" si="8"/>
        <v/>
      </c>
      <c r="DC9" s="46" t="str">
        <f t="shared" si="8"/>
        <v/>
      </c>
      <c r="DD9" s="47" t="str">
        <f t="shared" si="8"/>
        <v/>
      </c>
      <c r="DE9" s="46" t="str">
        <f t="shared" si="8"/>
        <v/>
      </c>
      <c r="DF9" s="47" t="str">
        <f t="shared" si="8"/>
        <v/>
      </c>
      <c r="DG9" s="46" t="str">
        <f t="shared" si="8"/>
        <v/>
      </c>
      <c r="DH9" s="47" t="str">
        <f t="shared" si="8"/>
        <v/>
      </c>
      <c r="DI9" s="46" t="str">
        <f t="shared" si="8"/>
        <v/>
      </c>
      <c r="DJ9" s="47" t="str">
        <f t="shared" si="8"/>
        <v/>
      </c>
      <c r="DK9" s="46" t="str">
        <f t="shared" si="8"/>
        <v/>
      </c>
      <c r="DL9" s="47" t="str">
        <f t="shared" si="8"/>
        <v/>
      </c>
      <c r="DM9" s="46" t="str">
        <f t="shared" si="8"/>
        <v/>
      </c>
      <c r="DN9" s="47" t="str">
        <f t="shared" si="8"/>
        <v/>
      </c>
      <c r="DO9" s="46" t="str">
        <f t="shared" si="8"/>
        <v/>
      </c>
      <c r="DP9" s="47" t="str">
        <f t="shared" si="8"/>
        <v/>
      </c>
      <c r="DQ9" s="46" t="str">
        <f t="shared" si="8"/>
        <v/>
      </c>
      <c r="DR9" s="47" t="str">
        <f t="shared" si="8"/>
        <v/>
      </c>
      <c r="DS9" s="46" t="str">
        <f t="shared" si="8"/>
        <v/>
      </c>
      <c r="DT9" s="47" t="str">
        <f t="shared" si="8"/>
        <v/>
      </c>
      <c r="DU9" s="46" t="str">
        <f t="shared" si="8"/>
        <v/>
      </c>
      <c r="DV9" s="47" t="str">
        <f t="shared" si="8"/>
        <v/>
      </c>
      <c r="DW9" s="46" t="str">
        <f t="shared" si="8"/>
        <v/>
      </c>
      <c r="DX9" s="47" t="str">
        <f t="shared" si="8"/>
        <v/>
      </c>
      <c r="DY9" s="46" t="str">
        <f t="shared" si="8"/>
        <v/>
      </c>
      <c r="DZ9" s="47" t="str">
        <f t="shared" si="8"/>
        <v/>
      </c>
      <c r="EA9" s="46" t="str">
        <f t="shared" si="8"/>
        <v/>
      </c>
      <c r="EB9" s="47" t="str">
        <f t="shared" si="8"/>
        <v/>
      </c>
      <c r="EC9" s="46" t="str">
        <f t="shared" si="8"/>
        <v/>
      </c>
      <c r="ED9" s="47" t="str">
        <f t="shared" si="8"/>
        <v/>
      </c>
      <c r="EE9" s="46" t="str">
        <f t="shared" si="8"/>
        <v/>
      </c>
      <c r="EF9" s="47" t="str">
        <f t="shared" si="8"/>
        <v/>
      </c>
      <c r="EG9" s="46" t="str">
        <f t="shared" si="8"/>
        <v/>
      </c>
      <c r="EH9" s="47" t="str">
        <f t="shared" si="8"/>
        <v/>
      </c>
      <c r="EI9" s="46" t="str">
        <f t="shared" si="8"/>
        <v/>
      </c>
      <c r="EJ9" s="47" t="str">
        <f t="shared" si="8"/>
        <v/>
      </c>
      <c r="EK9" s="46" t="str">
        <f t="shared" si="8"/>
        <v/>
      </c>
      <c r="EL9" s="47" t="str">
        <f t="shared" si="8"/>
        <v/>
      </c>
      <c r="EM9" s="46" t="str">
        <f t="shared" si="8"/>
        <v/>
      </c>
      <c r="EN9" s="47" t="str">
        <f t="shared" si="8"/>
        <v/>
      </c>
      <c r="EO9" s="46" t="str">
        <f t="shared" si="8"/>
        <v/>
      </c>
      <c r="EP9" s="47" t="str">
        <f t="shared" si="8"/>
        <v/>
      </c>
    </row>
    <row r="10" ht="9.0" customHeight="1">
      <c r="A10" s="5"/>
      <c r="B10" s="48"/>
      <c r="C10" s="4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</row>
    <row r="11" ht="15.75" customHeight="1">
      <c r="A11" s="50" t="s">
        <v>18</v>
      </c>
      <c r="B11" s="51">
        <f t="shared" ref="B11:EP11" si="9">SUM(B12:B49)</f>
        <v>0</v>
      </c>
      <c r="C11" s="52">
        <f t="shared" si="9"/>
        <v>0</v>
      </c>
      <c r="D11" s="53">
        <f t="shared" si="9"/>
        <v>0</v>
      </c>
      <c r="E11" s="13">
        <f t="shared" si="9"/>
        <v>0</v>
      </c>
      <c r="F11" s="14">
        <f t="shared" si="9"/>
        <v>0</v>
      </c>
      <c r="G11" s="13">
        <f t="shared" si="9"/>
        <v>0</v>
      </c>
      <c r="H11" s="14">
        <f t="shared" si="9"/>
        <v>0</v>
      </c>
      <c r="I11" s="13">
        <f t="shared" si="9"/>
        <v>0</v>
      </c>
      <c r="J11" s="14">
        <f t="shared" si="9"/>
        <v>0</v>
      </c>
      <c r="K11" s="13">
        <f t="shared" si="9"/>
        <v>0</v>
      </c>
      <c r="L11" s="14">
        <f t="shared" si="9"/>
        <v>0</v>
      </c>
      <c r="M11" s="13">
        <f t="shared" si="9"/>
        <v>0</v>
      </c>
      <c r="N11" s="14">
        <f t="shared" si="9"/>
        <v>0</v>
      </c>
      <c r="O11" s="13">
        <f t="shared" si="9"/>
        <v>0</v>
      </c>
      <c r="P11" s="14">
        <f t="shared" si="9"/>
        <v>0</v>
      </c>
      <c r="Q11" s="13">
        <f t="shared" si="9"/>
        <v>0</v>
      </c>
      <c r="R11" s="14">
        <f t="shared" si="9"/>
        <v>0</v>
      </c>
      <c r="S11" s="13">
        <f t="shared" si="9"/>
        <v>0</v>
      </c>
      <c r="T11" s="14">
        <f t="shared" si="9"/>
        <v>0</v>
      </c>
      <c r="U11" s="13">
        <f t="shared" si="9"/>
        <v>0</v>
      </c>
      <c r="V11" s="14">
        <f t="shared" si="9"/>
        <v>0</v>
      </c>
      <c r="W11" s="13">
        <f t="shared" si="9"/>
        <v>0</v>
      </c>
      <c r="X11" s="14">
        <f t="shared" si="9"/>
        <v>0</v>
      </c>
      <c r="Y11" s="13">
        <f t="shared" si="9"/>
        <v>0</v>
      </c>
      <c r="Z11" s="14">
        <f t="shared" si="9"/>
        <v>0</v>
      </c>
      <c r="AA11" s="13">
        <f t="shared" si="9"/>
        <v>0</v>
      </c>
      <c r="AB11" s="14">
        <f t="shared" si="9"/>
        <v>0</v>
      </c>
      <c r="AC11" s="13">
        <f t="shared" si="9"/>
        <v>0</v>
      </c>
      <c r="AD11" s="14">
        <f t="shared" si="9"/>
        <v>0</v>
      </c>
      <c r="AE11" s="13">
        <f t="shared" si="9"/>
        <v>0</v>
      </c>
      <c r="AF11" s="14">
        <f t="shared" si="9"/>
        <v>0</v>
      </c>
      <c r="AG11" s="13">
        <f t="shared" si="9"/>
        <v>0</v>
      </c>
      <c r="AH11" s="14">
        <f t="shared" si="9"/>
        <v>0</v>
      </c>
      <c r="AI11" s="13">
        <f t="shared" si="9"/>
        <v>0</v>
      </c>
      <c r="AJ11" s="14">
        <f t="shared" si="9"/>
        <v>0</v>
      </c>
      <c r="AK11" s="13">
        <f t="shared" si="9"/>
        <v>0</v>
      </c>
      <c r="AL11" s="14">
        <f t="shared" si="9"/>
        <v>0</v>
      </c>
      <c r="AM11" s="13">
        <f t="shared" si="9"/>
        <v>0</v>
      </c>
      <c r="AN11" s="14">
        <f t="shared" si="9"/>
        <v>0</v>
      </c>
      <c r="AO11" s="13">
        <f t="shared" si="9"/>
        <v>0</v>
      </c>
      <c r="AP11" s="14">
        <f t="shared" si="9"/>
        <v>0</v>
      </c>
      <c r="AQ11" s="13">
        <f t="shared" si="9"/>
        <v>0</v>
      </c>
      <c r="AR11" s="14">
        <f t="shared" si="9"/>
        <v>0</v>
      </c>
      <c r="AS11" s="13">
        <f t="shared" si="9"/>
        <v>0</v>
      </c>
      <c r="AT11" s="14">
        <f t="shared" si="9"/>
        <v>0</v>
      </c>
      <c r="AU11" s="13">
        <f t="shared" si="9"/>
        <v>0</v>
      </c>
      <c r="AV11" s="14">
        <f t="shared" si="9"/>
        <v>0</v>
      </c>
      <c r="AW11" s="13">
        <f t="shared" si="9"/>
        <v>0</v>
      </c>
      <c r="AX11" s="14">
        <f t="shared" si="9"/>
        <v>0</v>
      </c>
      <c r="AY11" s="13">
        <f t="shared" si="9"/>
        <v>0</v>
      </c>
      <c r="AZ11" s="14">
        <f t="shared" si="9"/>
        <v>0</v>
      </c>
      <c r="BA11" s="13">
        <f t="shared" si="9"/>
        <v>0</v>
      </c>
      <c r="BB11" s="14">
        <f t="shared" si="9"/>
        <v>0</v>
      </c>
      <c r="BC11" s="13">
        <f t="shared" si="9"/>
        <v>0</v>
      </c>
      <c r="BD11" s="14">
        <f t="shared" si="9"/>
        <v>0</v>
      </c>
      <c r="BE11" s="13">
        <f t="shared" si="9"/>
        <v>0</v>
      </c>
      <c r="BF11" s="14">
        <f t="shared" si="9"/>
        <v>0</v>
      </c>
      <c r="BG11" s="13">
        <f t="shared" si="9"/>
        <v>0</v>
      </c>
      <c r="BH11" s="14">
        <f t="shared" si="9"/>
        <v>0</v>
      </c>
      <c r="BI11" s="13">
        <f t="shared" si="9"/>
        <v>0</v>
      </c>
      <c r="BJ11" s="14">
        <f t="shared" si="9"/>
        <v>0</v>
      </c>
      <c r="BK11" s="13">
        <f t="shared" si="9"/>
        <v>0</v>
      </c>
      <c r="BL11" s="14">
        <f t="shared" si="9"/>
        <v>0</v>
      </c>
      <c r="BM11" s="13">
        <f t="shared" si="9"/>
        <v>0</v>
      </c>
      <c r="BN11" s="14">
        <f t="shared" si="9"/>
        <v>0</v>
      </c>
      <c r="BO11" s="13">
        <f t="shared" si="9"/>
        <v>0</v>
      </c>
      <c r="BP11" s="14">
        <f t="shared" si="9"/>
        <v>0</v>
      </c>
      <c r="BQ11" s="13">
        <f t="shared" si="9"/>
        <v>0</v>
      </c>
      <c r="BR11" s="14">
        <f t="shared" si="9"/>
        <v>0</v>
      </c>
      <c r="BS11" s="13">
        <f t="shared" si="9"/>
        <v>0</v>
      </c>
      <c r="BT11" s="14">
        <f t="shared" si="9"/>
        <v>0</v>
      </c>
      <c r="BU11" s="13">
        <f t="shared" si="9"/>
        <v>0</v>
      </c>
      <c r="BV11" s="14">
        <f t="shared" si="9"/>
        <v>0</v>
      </c>
      <c r="BW11" s="13">
        <f t="shared" si="9"/>
        <v>0</v>
      </c>
      <c r="BX11" s="14">
        <f t="shared" si="9"/>
        <v>0</v>
      </c>
      <c r="BY11" s="13">
        <f t="shared" si="9"/>
        <v>0</v>
      </c>
      <c r="BZ11" s="14">
        <f t="shared" si="9"/>
        <v>0</v>
      </c>
      <c r="CA11" s="13">
        <f t="shared" si="9"/>
        <v>0</v>
      </c>
      <c r="CB11" s="14">
        <f t="shared" si="9"/>
        <v>0</v>
      </c>
      <c r="CC11" s="13">
        <f t="shared" si="9"/>
        <v>0</v>
      </c>
      <c r="CD11" s="14">
        <f t="shared" si="9"/>
        <v>0</v>
      </c>
      <c r="CE11" s="13">
        <f t="shared" si="9"/>
        <v>0</v>
      </c>
      <c r="CF11" s="14">
        <f t="shared" si="9"/>
        <v>0</v>
      </c>
      <c r="CG11" s="13">
        <f t="shared" si="9"/>
        <v>0</v>
      </c>
      <c r="CH11" s="14">
        <f t="shared" si="9"/>
        <v>0</v>
      </c>
      <c r="CI11" s="13">
        <f t="shared" si="9"/>
        <v>0</v>
      </c>
      <c r="CJ11" s="14">
        <f t="shared" si="9"/>
        <v>0</v>
      </c>
      <c r="CK11" s="13">
        <f t="shared" si="9"/>
        <v>0</v>
      </c>
      <c r="CL11" s="14">
        <f t="shared" si="9"/>
        <v>0</v>
      </c>
      <c r="CM11" s="13">
        <f t="shared" si="9"/>
        <v>0</v>
      </c>
      <c r="CN11" s="14">
        <f t="shared" si="9"/>
        <v>0</v>
      </c>
      <c r="CO11" s="13">
        <f t="shared" si="9"/>
        <v>0</v>
      </c>
      <c r="CP11" s="14">
        <f t="shared" si="9"/>
        <v>0</v>
      </c>
      <c r="CQ11" s="13">
        <f t="shared" si="9"/>
        <v>0</v>
      </c>
      <c r="CR11" s="14">
        <f t="shared" si="9"/>
        <v>0</v>
      </c>
      <c r="CS11" s="13">
        <f t="shared" si="9"/>
        <v>0</v>
      </c>
      <c r="CT11" s="14">
        <f t="shared" si="9"/>
        <v>0</v>
      </c>
      <c r="CU11" s="13">
        <f t="shared" si="9"/>
        <v>0</v>
      </c>
      <c r="CV11" s="14">
        <f t="shared" si="9"/>
        <v>0</v>
      </c>
      <c r="CW11" s="13">
        <f t="shared" si="9"/>
        <v>0</v>
      </c>
      <c r="CX11" s="14">
        <f t="shared" si="9"/>
        <v>0</v>
      </c>
      <c r="CY11" s="13">
        <f t="shared" si="9"/>
        <v>0</v>
      </c>
      <c r="CZ11" s="14">
        <f t="shared" si="9"/>
        <v>0</v>
      </c>
      <c r="DA11" s="13">
        <f t="shared" si="9"/>
        <v>0</v>
      </c>
      <c r="DB11" s="14">
        <f t="shared" si="9"/>
        <v>0</v>
      </c>
      <c r="DC11" s="13">
        <f t="shared" si="9"/>
        <v>0</v>
      </c>
      <c r="DD11" s="14">
        <f t="shared" si="9"/>
        <v>0</v>
      </c>
      <c r="DE11" s="13">
        <f t="shared" si="9"/>
        <v>0</v>
      </c>
      <c r="DF11" s="14">
        <f t="shared" si="9"/>
        <v>0</v>
      </c>
      <c r="DG11" s="13">
        <f t="shared" si="9"/>
        <v>0</v>
      </c>
      <c r="DH11" s="14">
        <f t="shared" si="9"/>
        <v>0</v>
      </c>
      <c r="DI11" s="13">
        <f t="shared" si="9"/>
        <v>0</v>
      </c>
      <c r="DJ11" s="14">
        <f t="shared" si="9"/>
        <v>0</v>
      </c>
      <c r="DK11" s="13">
        <f t="shared" si="9"/>
        <v>0</v>
      </c>
      <c r="DL11" s="14">
        <f t="shared" si="9"/>
        <v>0</v>
      </c>
      <c r="DM11" s="13">
        <f t="shared" si="9"/>
        <v>0</v>
      </c>
      <c r="DN11" s="14">
        <f t="shared" si="9"/>
        <v>0</v>
      </c>
      <c r="DO11" s="13">
        <f t="shared" si="9"/>
        <v>0</v>
      </c>
      <c r="DP11" s="14">
        <f t="shared" si="9"/>
        <v>0</v>
      </c>
      <c r="DQ11" s="13">
        <f t="shared" si="9"/>
        <v>0</v>
      </c>
      <c r="DR11" s="14">
        <f t="shared" si="9"/>
        <v>0</v>
      </c>
      <c r="DS11" s="13">
        <f t="shared" si="9"/>
        <v>0</v>
      </c>
      <c r="DT11" s="14">
        <f t="shared" si="9"/>
        <v>0</v>
      </c>
      <c r="DU11" s="13">
        <f t="shared" si="9"/>
        <v>0</v>
      </c>
      <c r="DV11" s="14">
        <f t="shared" si="9"/>
        <v>0</v>
      </c>
      <c r="DW11" s="13">
        <f t="shared" si="9"/>
        <v>0</v>
      </c>
      <c r="DX11" s="14">
        <f t="shared" si="9"/>
        <v>0</v>
      </c>
      <c r="DY11" s="13">
        <f t="shared" si="9"/>
        <v>0</v>
      </c>
      <c r="DZ11" s="14">
        <f t="shared" si="9"/>
        <v>0</v>
      </c>
      <c r="EA11" s="13">
        <f t="shared" si="9"/>
        <v>0</v>
      </c>
      <c r="EB11" s="14">
        <f t="shared" si="9"/>
        <v>0</v>
      </c>
      <c r="EC11" s="13">
        <f t="shared" si="9"/>
        <v>0</v>
      </c>
      <c r="ED11" s="14">
        <f t="shared" si="9"/>
        <v>0</v>
      </c>
      <c r="EE11" s="13">
        <f t="shared" si="9"/>
        <v>0</v>
      </c>
      <c r="EF11" s="14">
        <f t="shared" si="9"/>
        <v>0</v>
      </c>
      <c r="EG11" s="13">
        <f t="shared" si="9"/>
        <v>0</v>
      </c>
      <c r="EH11" s="14">
        <f t="shared" si="9"/>
        <v>0</v>
      </c>
      <c r="EI11" s="13">
        <f t="shared" si="9"/>
        <v>0</v>
      </c>
      <c r="EJ11" s="14">
        <f t="shared" si="9"/>
        <v>0</v>
      </c>
      <c r="EK11" s="13">
        <f t="shared" si="9"/>
        <v>0</v>
      </c>
      <c r="EL11" s="14">
        <f t="shared" si="9"/>
        <v>0</v>
      </c>
      <c r="EM11" s="13">
        <f t="shared" si="9"/>
        <v>0</v>
      </c>
      <c r="EN11" s="14">
        <f t="shared" si="9"/>
        <v>0</v>
      </c>
      <c r="EO11" s="13">
        <f t="shared" si="9"/>
        <v>0</v>
      </c>
      <c r="EP11" s="14">
        <f t="shared" si="9"/>
        <v>0</v>
      </c>
    </row>
    <row r="12" ht="15.75" customHeight="1">
      <c r="A12" s="6" t="str">
        <f>Menus!B4</f>
        <v/>
      </c>
      <c r="B12" s="43">
        <f t="shared" ref="B12:B49" si="11">SUMIF($E$2:$EP$2, $C$2, D12:EP12
)</f>
        <v>0</v>
      </c>
      <c r="C12" s="54" t="str">
        <f t="shared" ref="C12:EP12" si="10">IFERROR(
  LET(
    resultado,
      INDEX(
        INDIRECT($B$1),
        MATCH(RIGHT($A12, LEN($A12)-4), INDIRECT($B$3), 0),
        MATCH(C$1, INDIRECT($B$5), 0)
      ),
    IF(resultado="-", "", resultado) 
  ),
"")
</f>
        <v/>
      </c>
      <c r="D12" s="55" t="str">
        <f t="shared" si="10"/>
        <v/>
      </c>
      <c r="E12" s="46" t="str">
        <f t="shared" si="10"/>
        <v/>
      </c>
      <c r="F12" s="17" t="str">
        <f t="shared" si="10"/>
        <v/>
      </c>
      <c r="G12" s="46" t="str">
        <f t="shared" si="10"/>
        <v/>
      </c>
      <c r="H12" s="17" t="str">
        <f t="shared" si="10"/>
        <v/>
      </c>
      <c r="I12" s="46" t="str">
        <f t="shared" si="10"/>
        <v/>
      </c>
      <c r="J12" s="17" t="str">
        <f t="shared" si="10"/>
        <v/>
      </c>
      <c r="K12" s="46" t="str">
        <f t="shared" si="10"/>
        <v/>
      </c>
      <c r="L12" s="17" t="str">
        <f t="shared" si="10"/>
        <v/>
      </c>
      <c r="M12" s="46" t="str">
        <f t="shared" si="10"/>
        <v/>
      </c>
      <c r="N12" s="17" t="str">
        <f t="shared" si="10"/>
        <v/>
      </c>
      <c r="O12" s="46" t="str">
        <f t="shared" si="10"/>
        <v/>
      </c>
      <c r="P12" s="17" t="str">
        <f t="shared" si="10"/>
        <v/>
      </c>
      <c r="Q12" s="46" t="str">
        <f t="shared" si="10"/>
        <v/>
      </c>
      <c r="R12" s="17" t="str">
        <f t="shared" si="10"/>
        <v/>
      </c>
      <c r="S12" s="46" t="str">
        <f t="shared" si="10"/>
        <v/>
      </c>
      <c r="T12" s="17" t="str">
        <f t="shared" si="10"/>
        <v/>
      </c>
      <c r="U12" s="46" t="str">
        <f t="shared" si="10"/>
        <v/>
      </c>
      <c r="V12" s="17" t="str">
        <f t="shared" si="10"/>
        <v/>
      </c>
      <c r="W12" s="46" t="str">
        <f t="shared" si="10"/>
        <v/>
      </c>
      <c r="X12" s="17" t="str">
        <f t="shared" si="10"/>
        <v/>
      </c>
      <c r="Y12" s="46" t="str">
        <f t="shared" si="10"/>
        <v/>
      </c>
      <c r="Z12" s="17" t="str">
        <f t="shared" si="10"/>
        <v/>
      </c>
      <c r="AA12" s="46" t="str">
        <f t="shared" si="10"/>
        <v/>
      </c>
      <c r="AB12" s="17" t="str">
        <f t="shared" si="10"/>
        <v/>
      </c>
      <c r="AC12" s="46" t="str">
        <f t="shared" si="10"/>
        <v/>
      </c>
      <c r="AD12" s="17" t="str">
        <f t="shared" si="10"/>
        <v/>
      </c>
      <c r="AE12" s="46" t="str">
        <f t="shared" si="10"/>
        <v/>
      </c>
      <c r="AF12" s="17" t="str">
        <f t="shared" si="10"/>
        <v/>
      </c>
      <c r="AG12" s="46" t="str">
        <f t="shared" si="10"/>
        <v/>
      </c>
      <c r="AH12" s="17" t="str">
        <f t="shared" si="10"/>
        <v/>
      </c>
      <c r="AI12" s="46" t="str">
        <f t="shared" si="10"/>
        <v/>
      </c>
      <c r="AJ12" s="17" t="str">
        <f t="shared" si="10"/>
        <v/>
      </c>
      <c r="AK12" s="46" t="str">
        <f t="shared" si="10"/>
        <v/>
      </c>
      <c r="AL12" s="17" t="str">
        <f t="shared" si="10"/>
        <v/>
      </c>
      <c r="AM12" s="46" t="str">
        <f t="shared" si="10"/>
        <v/>
      </c>
      <c r="AN12" s="17" t="str">
        <f t="shared" si="10"/>
        <v/>
      </c>
      <c r="AO12" s="46" t="str">
        <f t="shared" si="10"/>
        <v/>
      </c>
      <c r="AP12" s="17" t="str">
        <f t="shared" si="10"/>
        <v/>
      </c>
      <c r="AQ12" s="46" t="str">
        <f t="shared" si="10"/>
        <v/>
      </c>
      <c r="AR12" s="17" t="str">
        <f t="shared" si="10"/>
        <v/>
      </c>
      <c r="AS12" s="46" t="str">
        <f t="shared" si="10"/>
        <v/>
      </c>
      <c r="AT12" s="17" t="str">
        <f t="shared" si="10"/>
        <v/>
      </c>
      <c r="AU12" s="46" t="str">
        <f t="shared" si="10"/>
        <v/>
      </c>
      <c r="AV12" s="17" t="str">
        <f t="shared" si="10"/>
        <v/>
      </c>
      <c r="AW12" s="46" t="str">
        <f t="shared" si="10"/>
        <v/>
      </c>
      <c r="AX12" s="17" t="str">
        <f t="shared" si="10"/>
        <v/>
      </c>
      <c r="AY12" s="46" t="str">
        <f t="shared" si="10"/>
        <v/>
      </c>
      <c r="AZ12" s="17" t="str">
        <f t="shared" si="10"/>
        <v/>
      </c>
      <c r="BA12" s="46" t="str">
        <f t="shared" si="10"/>
        <v/>
      </c>
      <c r="BB12" s="17" t="str">
        <f t="shared" si="10"/>
        <v/>
      </c>
      <c r="BC12" s="46" t="str">
        <f t="shared" si="10"/>
        <v/>
      </c>
      <c r="BD12" s="17" t="str">
        <f t="shared" si="10"/>
        <v/>
      </c>
      <c r="BE12" s="46" t="str">
        <f t="shared" si="10"/>
        <v/>
      </c>
      <c r="BF12" s="17" t="str">
        <f t="shared" si="10"/>
        <v/>
      </c>
      <c r="BG12" s="46" t="str">
        <f t="shared" si="10"/>
        <v/>
      </c>
      <c r="BH12" s="17" t="str">
        <f t="shared" si="10"/>
        <v/>
      </c>
      <c r="BI12" s="46" t="str">
        <f t="shared" si="10"/>
        <v/>
      </c>
      <c r="BJ12" s="17" t="str">
        <f t="shared" si="10"/>
        <v/>
      </c>
      <c r="BK12" s="46" t="str">
        <f t="shared" si="10"/>
        <v/>
      </c>
      <c r="BL12" s="17" t="str">
        <f t="shared" si="10"/>
        <v/>
      </c>
      <c r="BM12" s="46" t="str">
        <f t="shared" si="10"/>
        <v/>
      </c>
      <c r="BN12" s="17" t="str">
        <f t="shared" si="10"/>
        <v/>
      </c>
      <c r="BO12" s="46" t="str">
        <f t="shared" si="10"/>
        <v/>
      </c>
      <c r="BP12" s="17" t="str">
        <f t="shared" si="10"/>
        <v/>
      </c>
      <c r="BQ12" s="46" t="str">
        <f t="shared" si="10"/>
        <v/>
      </c>
      <c r="BR12" s="17" t="str">
        <f t="shared" si="10"/>
        <v/>
      </c>
      <c r="BS12" s="46" t="str">
        <f t="shared" si="10"/>
        <v/>
      </c>
      <c r="BT12" s="17" t="str">
        <f t="shared" si="10"/>
        <v/>
      </c>
      <c r="BU12" s="46" t="str">
        <f t="shared" si="10"/>
        <v/>
      </c>
      <c r="BV12" s="17" t="str">
        <f t="shared" si="10"/>
        <v/>
      </c>
      <c r="BW12" s="46" t="str">
        <f t="shared" si="10"/>
        <v/>
      </c>
      <c r="BX12" s="17" t="str">
        <f t="shared" si="10"/>
        <v/>
      </c>
      <c r="BY12" s="46" t="str">
        <f t="shared" si="10"/>
        <v/>
      </c>
      <c r="BZ12" s="17" t="str">
        <f t="shared" si="10"/>
        <v/>
      </c>
      <c r="CA12" s="46" t="str">
        <f t="shared" si="10"/>
        <v/>
      </c>
      <c r="CB12" s="17" t="str">
        <f t="shared" si="10"/>
        <v/>
      </c>
      <c r="CC12" s="46" t="str">
        <f t="shared" si="10"/>
        <v/>
      </c>
      <c r="CD12" s="17" t="str">
        <f t="shared" si="10"/>
        <v/>
      </c>
      <c r="CE12" s="46" t="str">
        <f t="shared" si="10"/>
        <v/>
      </c>
      <c r="CF12" s="17" t="str">
        <f t="shared" si="10"/>
        <v/>
      </c>
      <c r="CG12" s="46" t="str">
        <f t="shared" si="10"/>
        <v/>
      </c>
      <c r="CH12" s="17" t="str">
        <f t="shared" si="10"/>
        <v/>
      </c>
      <c r="CI12" s="46" t="str">
        <f t="shared" si="10"/>
        <v/>
      </c>
      <c r="CJ12" s="17" t="str">
        <f t="shared" si="10"/>
        <v/>
      </c>
      <c r="CK12" s="46" t="str">
        <f t="shared" si="10"/>
        <v/>
      </c>
      <c r="CL12" s="17" t="str">
        <f t="shared" si="10"/>
        <v/>
      </c>
      <c r="CM12" s="46" t="str">
        <f t="shared" si="10"/>
        <v/>
      </c>
      <c r="CN12" s="17" t="str">
        <f t="shared" si="10"/>
        <v/>
      </c>
      <c r="CO12" s="46" t="str">
        <f t="shared" si="10"/>
        <v/>
      </c>
      <c r="CP12" s="17" t="str">
        <f t="shared" si="10"/>
        <v/>
      </c>
      <c r="CQ12" s="46" t="str">
        <f t="shared" si="10"/>
        <v/>
      </c>
      <c r="CR12" s="17" t="str">
        <f t="shared" si="10"/>
        <v/>
      </c>
      <c r="CS12" s="46" t="str">
        <f t="shared" si="10"/>
        <v/>
      </c>
      <c r="CT12" s="17" t="str">
        <f t="shared" si="10"/>
        <v/>
      </c>
      <c r="CU12" s="46" t="str">
        <f t="shared" si="10"/>
        <v/>
      </c>
      <c r="CV12" s="17" t="str">
        <f t="shared" si="10"/>
        <v/>
      </c>
      <c r="CW12" s="46" t="str">
        <f t="shared" si="10"/>
        <v/>
      </c>
      <c r="CX12" s="17" t="str">
        <f t="shared" si="10"/>
        <v/>
      </c>
      <c r="CY12" s="46" t="str">
        <f t="shared" si="10"/>
        <v/>
      </c>
      <c r="CZ12" s="17" t="str">
        <f t="shared" si="10"/>
        <v/>
      </c>
      <c r="DA12" s="46" t="str">
        <f t="shared" si="10"/>
        <v/>
      </c>
      <c r="DB12" s="17" t="str">
        <f t="shared" si="10"/>
        <v/>
      </c>
      <c r="DC12" s="46" t="str">
        <f t="shared" si="10"/>
        <v/>
      </c>
      <c r="DD12" s="17" t="str">
        <f t="shared" si="10"/>
        <v/>
      </c>
      <c r="DE12" s="46" t="str">
        <f t="shared" si="10"/>
        <v/>
      </c>
      <c r="DF12" s="17" t="str">
        <f t="shared" si="10"/>
        <v/>
      </c>
      <c r="DG12" s="46" t="str">
        <f t="shared" si="10"/>
        <v/>
      </c>
      <c r="DH12" s="17" t="str">
        <f t="shared" si="10"/>
        <v/>
      </c>
      <c r="DI12" s="46" t="str">
        <f t="shared" si="10"/>
        <v/>
      </c>
      <c r="DJ12" s="17" t="str">
        <f t="shared" si="10"/>
        <v/>
      </c>
      <c r="DK12" s="46" t="str">
        <f t="shared" si="10"/>
        <v/>
      </c>
      <c r="DL12" s="17" t="str">
        <f t="shared" si="10"/>
        <v/>
      </c>
      <c r="DM12" s="46" t="str">
        <f t="shared" si="10"/>
        <v/>
      </c>
      <c r="DN12" s="17" t="str">
        <f t="shared" si="10"/>
        <v/>
      </c>
      <c r="DO12" s="46" t="str">
        <f t="shared" si="10"/>
        <v/>
      </c>
      <c r="DP12" s="17" t="str">
        <f t="shared" si="10"/>
        <v/>
      </c>
      <c r="DQ12" s="46" t="str">
        <f t="shared" si="10"/>
        <v/>
      </c>
      <c r="DR12" s="17" t="str">
        <f t="shared" si="10"/>
        <v/>
      </c>
      <c r="DS12" s="46" t="str">
        <f t="shared" si="10"/>
        <v/>
      </c>
      <c r="DT12" s="17" t="str">
        <f t="shared" si="10"/>
        <v/>
      </c>
      <c r="DU12" s="46" t="str">
        <f t="shared" si="10"/>
        <v/>
      </c>
      <c r="DV12" s="17" t="str">
        <f t="shared" si="10"/>
        <v/>
      </c>
      <c r="DW12" s="46" t="str">
        <f t="shared" si="10"/>
        <v/>
      </c>
      <c r="DX12" s="17" t="str">
        <f t="shared" si="10"/>
        <v/>
      </c>
      <c r="DY12" s="46" t="str">
        <f t="shared" si="10"/>
        <v/>
      </c>
      <c r="DZ12" s="17" t="str">
        <f t="shared" si="10"/>
        <v/>
      </c>
      <c r="EA12" s="46" t="str">
        <f t="shared" si="10"/>
        <v/>
      </c>
      <c r="EB12" s="17" t="str">
        <f t="shared" si="10"/>
        <v/>
      </c>
      <c r="EC12" s="46" t="str">
        <f t="shared" si="10"/>
        <v/>
      </c>
      <c r="ED12" s="17" t="str">
        <f t="shared" si="10"/>
        <v/>
      </c>
      <c r="EE12" s="46" t="str">
        <f t="shared" si="10"/>
        <v/>
      </c>
      <c r="EF12" s="17" t="str">
        <f t="shared" si="10"/>
        <v/>
      </c>
      <c r="EG12" s="46" t="str">
        <f t="shared" si="10"/>
        <v/>
      </c>
      <c r="EH12" s="17" t="str">
        <f t="shared" si="10"/>
        <v/>
      </c>
      <c r="EI12" s="46" t="str">
        <f t="shared" si="10"/>
        <v/>
      </c>
      <c r="EJ12" s="17" t="str">
        <f t="shared" si="10"/>
        <v/>
      </c>
      <c r="EK12" s="46" t="str">
        <f t="shared" si="10"/>
        <v/>
      </c>
      <c r="EL12" s="17" t="str">
        <f t="shared" si="10"/>
        <v/>
      </c>
      <c r="EM12" s="46" t="str">
        <f t="shared" si="10"/>
        <v/>
      </c>
      <c r="EN12" s="17" t="str">
        <f t="shared" si="10"/>
        <v/>
      </c>
      <c r="EO12" s="46" t="str">
        <f t="shared" si="10"/>
        <v/>
      </c>
      <c r="EP12" s="17" t="str">
        <f t="shared" si="10"/>
        <v/>
      </c>
    </row>
    <row r="13" ht="15.75" customHeight="1">
      <c r="A13" s="6" t="str">
        <f>Menus!B5</f>
        <v/>
      </c>
      <c r="B13" s="43">
        <f t="shared" si="11"/>
        <v>0</v>
      </c>
      <c r="C13" s="54" t="str">
        <f t="shared" ref="C13:EP13" si="12">IFERROR(
  LET(
    resultado,
      INDEX(
        INDIRECT($B$1),
        MATCH(RIGHT($A13, LEN($A13)-4), INDIRECT($B$3), 0),
        MATCH(C$1, INDIRECT($B$5), 0)
      ),
    IF(resultado="-", "", resultado) 
  ),
"")
</f>
        <v/>
      </c>
      <c r="D13" s="55" t="str">
        <f t="shared" si="12"/>
        <v/>
      </c>
      <c r="E13" s="46" t="str">
        <f t="shared" si="12"/>
        <v/>
      </c>
      <c r="F13" s="17" t="str">
        <f t="shared" si="12"/>
        <v/>
      </c>
      <c r="G13" s="46" t="str">
        <f t="shared" si="12"/>
        <v/>
      </c>
      <c r="H13" s="17" t="str">
        <f t="shared" si="12"/>
        <v/>
      </c>
      <c r="I13" s="46" t="str">
        <f t="shared" si="12"/>
        <v/>
      </c>
      <c r="J13" s="17" t="str">
        <f t="shared" si="12"/>
        <v/>
      </c>
      <c r="K13" s="46" t="str">
        <f t="shared" si="12"/>
        <v/>
      </c>
      <c r="L13" s="17" t="str">
        <f t="shared" si="12"/>
        <v/>
      </c>
      <c r="M13" s="46" t="str">
        <f t="shared" si="12"/>
        <v/>
      </c>
      <c r="N13" s="17" t="str">
        <f t="shared" si="12"/>
        <v/>
      </c>
      <c r="O13" s="46" t="str">
        <f t="shared" si="12"/>
        <v/>
      </c>
      <c r="P13" s="17" t="str">
        <f t="shared" si="12"/>
        <v/>
      </c>
      <c r="Q13" s="46" t="str">
        <f t="shared" si="12"/>
        <v/>
      </c>
      <c r="R13" s="17" t="str">
        <f t="shared" si="12"/>
        <v/>
      </c>
      <c r="S13" s="46" t="str">
        <f t="shared" si="12"/>
        <v/>
      </c>
      <c r="T13" s="17" t="str">
        <f t="shared" si="12"/>
        <v/>
      </c>
      <c r="U13" s="46" t="str">
        <f t="shared" si="12"/>
        <v/>
      </c>
      <c r="V13" s="17" t="str">
        <f t="shared" si="12"/>
        <v/>
      </c>
      <c r="W13" s="46" t="str">
        <f t="shared" si="12"/>
        <v/>
      </c>
      <c r="X13" s="17" t="str">
        <f t="shared" si="12"/>
        <v/>
      </c>
      <c r="Y13" s="46" t="str">
        <f t="shared" si="12"/>
        <v/>
      </c>
      <c r="Z13" s="17" t="str">
        <f t="shared" si="12"/>
        <v/>
      </c>
      <c r="AA13" s="46" t="str">
        <f t="shared" si="12"/>
        <v/>
      </c>
      <c r="AB13" s="17" t="str">
        <f t="shared" si="12"/>
        <v/>
      </c>
      <c r="AC13" s="46" t="str">
        <f t="shared" si="12"/>
        <v/>
      </c>
      <c r="AD13" s="17" t="str">
        <f t="shared" si="12"/>
        <v/>
      </c>
      <c r="AE13" s="46" t="str">
        <f t="shared" si="12"/>
        <v/>
      </c>
      <c r="AF13" s="17" t="str">
        <f t="shared" si="12"/>
        <v/>
      </c>
      <c r="AG13" s="46" t="str">
        <f t="shared" si="12"/>
        <v/>
      </c>
      <c r="AH13" s="17" t="str">
        <f t="shared" si="12"/>
        <v/>
      </c>
      <c r="AI13" s="46" t="str">
        <f t="shared" si="12"/>
        <v/>
      </c>
      <c r="AJ13" s="17" t="str">
        <f t="shared" si="12"/>
        <v/>
      </c>
      <c r="AK13" s="46" t="str">
        <f t="shared" si="12"/>
        <v/>
      </c>
      <c r="AL13" s="17" t="str">
        <f t="shared" si="12"/>
        <v/>
      </c>
      <c r="AM13" s="46" t="str">
        <f t="shared" si="12"/>
        <v/>
      </c>
      <c r="AN13" s="17" t="str">
        <f t="shared" si="12"/>
        <v/>
      </c>
      <c r="AO13" s="46" t="str">
        <f t="shared" si="12"/>
        <v/>
      </c>
      <c r="AP13" s="17" t="str">
        <f t="shared" si="12"/>
        <v/>
      </c>
      <c r="AQ13" s="46" t="str">
        <f t="shared" si="12"/>
        <v/>
      </c>
      <c r="AR13" s="17" t="str">
        <f t="shared" si="12"/>
        <v/>
      </c>
      <c r="AS13" s="46" t="str">
        <f t="shared" si="12"/>
        <v/>
      </c>
      <c r="AT13" s="17" t="str">
        <f t="shared" si="12"/>
        <v/>
      </c>
      <c r="AU13" s="46" t="str">
        <f t="shared" si="12"/>
        <v/>
      </c>
      <c r="AV13" s="17" t="str">
        <f t="shared" si="12"/>
        <v/>
      </c>
      <c r="AW13" s="46" t="str">
        <f t="shared" si="12"/>
        <v/>
      </c>
      <c r="AX13" s="17" t="str">
        <f t="shared" si="12"/>
        <v/>
      </c>
      <c r="AY13" s="46" t="str">
        <f t="shared" si="12"/>
        <v/>
      </c>
      <c r="AZ13" s="17" t="str">
        <f t="shared" si="12"/>
        <v/>
      </c>
      <c r="BA13" s="46" t="str">
        <f t="shared" si="12"/>
        <v/>
      </c>
      <c r="BB13" s="17" t="str">
        <f t="shared" si="12"/>
        <v/>
      </c>
      <c r="BC13" s="46" t="str">
        <f t="shared" si="12"/>
        <v/>
      </c>
      <c r="BD13" s="17" t="str">
        <f t="shared" si="12"/>
        <v/>
      </c>
      <c r="BE13" s="46" t="str">
        <f t="shared" si="12"/>
        <v/>
      </c>
      <c r="BF13" s="17" t="str">
        <f t="shared" si="12"/>
        <v/>
      </c>
      <c r="BG13" s="46" t="str">
        <f t="shared" si="12"/>
        <v/>
      </c>
      <c r="BH13" s="17" t="str">
        <f t="shared" si="12"/>
        <v/>
      </c>
      <c r="BI13" s="46" t="str">
        <f t="shared" si="12"/>
        <v/>
      </c>
      <c r="BJ13" s="17" t="str">
        <f t="shared" si="12"/>
        <v/>
      </c>
      <c r="BK13" s="46" t="str">
        <f t="shared" si="12"/>
        <v/>
      </c>
      <c r="BL13" s="17" t="str">
        <f t="shared" si="12"/>
        <v/>
      </c>
      <c r="BM13" s="46" t="str">
        <f t="shared" si="12"/>
        <v/>
      </c>
      <c r="BN13" s="17" t="str">
        <f t="shared" si="12"/>
        <v/>
      </c>
      <c r="BO13" s="46" t="str">
        <f t="shared" si="12"/>
        <v/>
      </c>
      <c r="BP13" s="17" t="str">
        <f t="shared" si="12"/>
        <v/>
      </c>
      <c r="BQ13" s="46" t="str">
        <f t="shared" si="12"/>
        <v/>
      </c>
      <c r="BR13" s="17" t="str">
        <f t="shared" si="12"/>
        <v/>
      </c>
      <c r="BS13" s="46" t="str">
        <f t="shared" si="12"/>
        <v/>
      </c>
      <c r="BT13" s="17" t="str">
        <f t="shared" si="12"/>
        <v/>
      </c>
      <c r="BU13" s="46" t="str">
        <f t="shared" si="12"/>
        <v/>
      </c>
      <c r="BV13" s="17" t="str">
        <f t="shared" si="12"/>
        <v/>
      </c>
      <c r="BW13" s="46" t="str">
        <f t="shared" si="12"/>
        <v/>
      </c>
      <c r="BX13" s="17" t="str">
        <f t="shared" si="12"/>
        <v/>
      </c>
      <c r="BY13" s="46" t="str">
        <f t="shared" si="12"/>
        <v/>
      </c>
      <c r="BZ13" s="17" t="str">
        <f t="shared" si="12"/>
        <v/>
      </c>
      <c r="CA13" s="46" t="str">
        <f t="shared" si="12"/>
        <v/>
      </c>
      <c r="CB13" s="17" t="str">
        <f t="shared" si="12"/>
        <v/>
      </c>
      <c r="CC13" s="46" t="str">
        <f t="shared" si="12"/>
        <v/>
      </c>
      <c r="CD13" s="17" t="str">
        <f t="shared" si="12"/>
        <v/>
      </c>
      <c r="CE13" s="46" t="str">
        <f t="shared" si="12"/>
        <v/>
      </c>
      <c r="CF13" s="17" t="str">
        <f t="shared" si="12"/>
        <v/>
      </c>
      <c r="CG13" s="46" t="str">
        <f t="shared" si="12"/>
        <v/>
      </c>
      <c r="CH13" s="17" t="str">
        <f t="shared" si="12"/>
        <v/>
      </c>
      <c r="CI13" s="46" t="str">
        <f t="shared" si="12"/>
        <v/>
      </c>
      <c r="CJ13" s="17" t="str">
        <f t="shared" si="12"/>
        <v/>
      </c>
      <c r="CK13" s="46" t="str">
        <f t="shared" si="12"/>
        <v/>
      </c>
      <c r="CL13" s="17" t="str">
        <f t="shared" si="12"/>
        <v/>
      </c>
      <c r="CM13" s="46" t="str">
        <f t="shared" si="12"/>
        <v/>
      </c>
      <c r="CN13" s="17" t="str">
        <f t="shared" si="12"/>
        <v/>
      </c>
      <c r="CO13" s="46" t="str">
        <f t="shared" si="12"/>
        <v/>
      </c>
      <c r="CP13" s="17" t="str">
        <f t="shared" si="12"/>
        <v/>
      </c>
      <c r="CQ13" s="46" t="str">
        <f t="shared" si="12"/>
        <v/>
      </c>
      <c r="CR13" s="17" t="str">
        <f t="shared" si="12"/>
        <v/>
      </c>
      <c r="CS13" s="46" t="str">
        <f t="shared" si="12"/>
        <v/>
      </c>
      <c r="CT13" s="17" t="str">
        <f t="shared" si="12"/>
        <v/>
      </c>
      <c r="CU13" s="46" t="str">
        <f t="shared" si="12"/>
        <v/>
      </c>
      <c r="CV13" s="17" t="str">
        <f t="shared" si="12"/>
        <v/>
      </c>
      <c r="CW13" s="46" t="str">
        <f t="shared" si="12"/>
        <v/>
      </c>
      <c r="CX13" s="17" t="str">
        <f t="shared" si="12"/>
        <v/>
      </c>
      <c r="CY13" s="46" t="str">
        <f t="shared" si="12"/>
        <v/>
      </c>
      <c r="CZ13" s="17" t="str">
        <f t="shared" si="12"/>
        <v/>
      </c>
      <c r="DA13" s="46" t="str">
        <f t="shared" si="12"/>
        <v/>
      </c>
      <c r="DB13" s="17" t="str">
        <f t="shared" si="12"/>
        <v/>
      </c>
      <c r="DC13" s="46" t="str">
        <f t="shared" si="12"/>
        <v/>
      </c>
      <c r="DD13" s="17" t="str">
        <f t="shared" si="12"/>
        <v/>
      </c>
      <c r="DE13" s="46" t="str">
        <f t="shared" si="12"/>
        <v/>
      </c>
      <c r="DF13" s="17" t="str">
        <f t="shared" si="12"/>
        <v/>
      </c>
      <c r="DG13" s="46" t="str">
        <f t="shared" si="12"/>
        <v/>
      </c>
      <c r="DH13" s="17" t="str">
        <f t="shared" si="12"/>
        <v/>
      </c>
      <c r="DI13" s="46" t="str">
        <f t="shared" si="12"/>
        <v/>
      </c>
      <c r="DJ13" s="17" t="str">
        <f t="shared" si="12"/>
        <v/>
      </c>
      <c r="DK13" s="46" t="str">
        <f t="shared" si="12"/>
        <v/>
      </c>
      <c r="DL13" s="17" t="str">
        <f t="shared" si="12"/>
        <v/>
      </c>
      <c r="DM13" s="46" t="str">
        <f t="shared" si="12"/>
        <v/>
      </c>
      <c r="DN13" s="17" t="str">
        <f t="shared" si="12"/>
        <v/>
      </c>
      <c r="DO13" s="46" t="str">
        <f t="shared" si="12"/>
        <v/>
      </c>
      <c r="DP13" s="17" t="str">
        <f t="shared" si="12"/>
        <v/>
      </c>
      <c r="DQ13" s="46" t="str">
        <f t="shared" si="12"/>
        <v/>
      </c>
      <c r="DR13" s="17" t="str">
        <f t="shared" si="12"/>
        <v/>
      </c>
      <c r="DS13" s="46" t="str">
        <f t="shared" si="12"/>
        <v/>
      </c>
      <c r="DT13" s="17" t="str">
        <f t="shared" si="12"/>
        <v/>
      </c>
      <c r="DU13" s="46" t="str">
        <f t="shared" si="12"/>
        <v/>
      </c>
      <c r="DV13" s="17" t="str">
        <f t="shared" si="12"/>
        <v/>
      </c>
      <c r="DW13" s="46" t="str">
        <f t="shared" si="12"/>
        <v/>
      </c>
      <c r="DX13" s="17" t="str">
        <f t="shared" si="12"/>
        <v/>
      </c>
      <c r="DY13" s="46" t="str">
        <f t="shared" si="12"/>
        <v/>
      </c>
      <c r="DZ13" s="17" t="str">
        <f t="shared" si="12"/>
        <v/>
      </c>
      <c r="EA13" s="46" t="str">
        <f t="shared" si="12"/>
        <v/>
      </c>
      <c r="EB13" s="17" t="str">
        <f t="shared" si="12"/>
        <v/>
      </c>
      <c r="EC13" s="46" t="str">
        <f t="shared" si="12"/>
        <v/>
      </c>
      <c r="ED13" s="17" t="str">
        <f t="shared" si="12"/>
        <v/>
      </c>
      <c r="EE13" s="46" t="str">
        <f t="shared" si="12"/>
        <v/>
      </c>
      <c r="EF13" s="17" t="str">
        <f t="shared" si="12"/>
        <v/>
      </c>
      <c r="EG13" s="46" t="str">
        <f t="shared" si="12"/>
        <v/>
      </c>
      <c r="EH13" s="17" t="str">
        <f t="shared" si="12"/>
        <v/>
      </c>
      <c r="EI13" s="46" t="str">
        <f t="shared" si="12"/>
        <v/>
      </c>
      <c r="EJ13" s="17" t="str">
        <f t="shared" si="12"/>
        <v/>
      </c>
      <c r="EK13" s="46" t="str">
        <f t="shared" si="12"/>
        <v/>
      </c>
      <c r="EL13" s="17" t="str">
        <f t="shared" si="12"/>
        <v/>
      </c>
      <c r="EM13" s="46" t="str">
        <f t="shared" si="12"/>
        <v/>
      </c>
      <c r="EN13" s="17" t="str">
        <f t="shared" si="12"/>
        <v/>
      </c>
      <c r="EO13" s="46" t="str">
        <f t="shared" si="12"/>
        <v/>
      </c>
      <c r="EP13" s="17" t="str">
        <f t="shared" si="12"/>
        <v/>
      </c>
    </row>
    <row r="14" ht="15.75" customHeight="1">
      <c r="A14" s="6" t="str">
        <f>Menus!B6</f>
        <v/>
      </c>
      <c r="B14" s="43">
        <f t="shared" si="11"/>
        <v>0</v>
      </c>
      <c r="C14" s="54" t="str">
        <f t="shared" ref="C14:EP14" si="13">IFERROR(
  LET(
    resultado,
      INDEX(
        INDIRECT($B$1),
        MATCH(RIGHT($A14, LEN($A14)-4), INDIRECT($B$3), 0),
        MATCH(C$1, INDIRECT($B$5), 0)
      ),
    IF(resultado="-", "", resultado) 
  ),
"")
</f>
        <v/>
      </c>
      <c r="D14" s="55" t="str">
        <f t="shared" si="13"/>
        <v/>
      </c>
      <c r="E14" s="46" t="str">
        <f t="shared" si="13"/>
        <v/>
      </c>
      <c r="F14" s="17" t="str">
        <f t="shared" si="13"/>
        <v/>
      </c>
      <c r="G14" s="46" t="str">
        <f t="shared" si="13"/>
        <v/>
      </c>
      <c r="H14" s="17" t="str">
        <f t="shared" si="13"/>
        <v/>
      </c>
      <c r="I14" s="46" t="str">
        <f t="shared" si="13"/>
        <v/>
      </c>
      <c r="J14" s="17" t="str">
        <f t="shared" si="13"/>
        <v/>
      </c>
      <c r="K14" s="46" t="str">
        <f t="shared" si="13"/>
        <v/>
      </c>
      <c r="L14" s="17" t="str">
        <f t="shared" si="13"/>
        <v/>
      </c>
      <c r="M14" s="46" t="str">
        <f t="shared" si="13"/>
        <v/>
      </c>
      <c r="N14" s="17" t="str">
        <f t="shared" si="13"/>
        <v/>
      </c>
      <c r="O14" s="46" t="str">
        <f t="shared" si="13"/>
        <v/>
      </c>
      <c r="P14" s="17" t="str">
        <f t="shared" si="13"/>
        <v/>
      </c>
      <c r="Q14" s="46" t="str">
        <f t="shared" si="13"/>
        <v/>
      </c>
      <c r="R14" s="17" t="str">
        <f t="shared" si="13"/>
        <v/>
      </c>
      <c r="S14" s="46" t="str">
        <f t="shared" si="13"/>
        <v/>
      </c>
      <c r="T14" s="17" t="str">
        <f t="shared" si="13"/>
        <v/>
      </c>
      <c r="U14" s="46" t="str">
        <f t="shared" si="13"/>
        <v/>
      </c>
      <c r="V14" s="17" t="str">
        <f t="shared" si="13"/>
        <v/>
      </c>
      <c r="W14" s="46" t="str">
        <f t="shared" si="13"/>
        <v/>
      </c>
      <c r="X14" s="17" t="str">
        <f t="shared" si="13"/>
        <v/>
      </c>
      <c r="Y14" s="46" t="str">
        <f t="shared" si="13"/>
        <v/>
      </c>
      <c r="Z14" s="17" t="str">
        <f t="shared" si="13"/>
        <v/>
      </c>
      <c r="AA14" s="46" t="str">
        <f t="shared" si="13"/>
        <v/>
      </c>
      <c r="AB14" s="17" t="str">
        <f t="shared" si="13"/>
        <v/>
      </c>
      <c r="AC14" s="46" t="str">
        <f t="shared" si="13"/>
        <v/>
      </c>
      <c r="AD14" s="17" t="str">
        <f t="shared" si="13"/>
        <v/>
      </c>
      <c r="AE14" s="46" t="str">
        <f t="shared" si="13"/>
        <v/>
      </c>
      <c r="AF14" s="17" t="str">
        <f t="shared" si="13"/>
        <v/>
      </c>
      <c r="AG14" s="46" t="str">
        <f t="shared" si="13"/>
        <v/>
      </c>
      <c r="AH14" s="17" t="str">
        <f t="shared" si="13"/>
        <v/>
      </c>
      <c r="AI14" s="46" t="str">
        <f t="shared" si="13"/>
        <v/>
      </c>
      <c r="AJ14" s="17" t="str">
        <f t="shared" si="13"/>
        <v/>
      </c>
      <c r="AK14" s="46" t="str">
        <f t="shared" si="13"/>
        <v/>
      </c>
      <c r="AL14" s="17" t="str">
        <f t="shared" si="13"/>
        <v/>
      </c>
      <c r="AM14" s="46" t="str">
        <f t="shared" si="13"/>
        <v/>
      </c>
      <c r="AN14" s="17" t="str">
        <f t="shared" si="13"/>
        <v/>
      </c>
      <c r="AO14" s="46" t="str">
        <f t="shared" si="13"/>
        <v/>
      </c>
      <c r="AP14" s="17" t="str">
        <f t="shared" si="13"/>
        <v/>
      </c>
      <c r="AQ14" s="46" t="str">
        <f t="shared" si="13"/>
        <v/>
      </c>
      <c r="AR14" s="17" t="str">
        <f t="shared" si="13"/>
        <v/>
      </c>
      <c r="AS14" s="46" t="str">
        <f t="shared" si="13"/>
        <v/>
      </c>
      <c r="AT14" s="17" t="str">
        <f t="shared" si="13"/>
        <v/>
      </c>
      <c r="AU14" s="46" t="str">
        <f t="shared" si="13"/>
        <v/>
      </c>
      <c r="AV14" s="17" t="str">
        <f t="shared" si="13"/>
        <v/>
      </c>
      <c r="AW14" s="46" t="str">
        <f t="shared" si="13"/>
        <v/>
      </c>
      <c r="AX14" s="17" t="str">
        <f t="shared" si="13"/>
        <v/>
      </c>
      <c r="AY14" s="46" t="str">
        <f t="shared" si="13"/>
        <v/>
      </c>
      <c r="AZ14" s="17" t="str">
        <f t="shared" si="13"/>
        <v/>
      </c>
      <c r="BA14" s="46" t="str">
        <f t="shared" si="13"/>
        <v/>
      </c>
      <c r="BB14" s="17" t="str">
        <f t="shared" si="13"/>
        <v/>
      </c>
      <c r="BC14" s="46" t="str">
        <f t="shared" si="13"/>
        <v/>
      </c>
      <c r="BD14" s="17" t="str">
        <f t="shared" si="13"/>
        <v/>
      </c>
      <c r="BE14" s="46" t="str">
        <f t="shared" si="13"/>
        <v/>
      </c>
      <c r="BF14" s="17" t="str">
        <f t="shared" si="13"/>
        <v/>
      </c>
      <c r="BG14" s="46" t="str">
        <f t="shared" si="13"/>
        <v/>
      </c>
      <c r="BH14" s="17" t="str">
        <f t="shared" si="13"/>
        <v/>
      </c>
      <c r="BI14" s="46" t="str">
        <f t="shared" si="13"/>
        <v/>
      </c>
      <c r="BJ14" s="17" t="str">
        <f t="shared" si="13"/>
        <v/>
      </c>
      <c r="BK14" s="46" t="str">
        <f t="shared" si="13"/>
        <v/>
      </c>
      <c r="BL14" s="17" t="str">
        <f t="shared" si="13"/>
        <v/>
      </c>
      <c r="BM14" s="46" t="str">
        <f t="shared" si="13"/>
        <v/>
      </c>
      <c r="BN14" s="17" t="str">
        <f t="shared" si="13"/>
        <v/>
      </c>
      <c r="BO14" s="46" t="str">
        <f t="shared" si="13"/>
        <v/>
      </c>
      <c r="BP14" s="17" t="str">
        <f t="shared" si="13"/>
        <v/>
      </c>
      <c r="BQ14" s="46" t="str">
        <f t="shared" si="13"/>
        <v/>
      </c>
      <c r="BR14" s="17" t="str">
        <f t="shared" si="13"/>
        <v/>
      </c>
      <c r="BS14" s="46" t="str">
        <f t="shared" si="13"/>
        <v/>
      </c>
      <c r="BT14" s="17" t="str">
        <f t="shared" si="13"/>
        <v/>
      </c>
      <c r="BU14" s="46" t="str">
        <f t="shared" si="13"/>
        <v/>
      </c>
      <c r="BV14" s="17" t="str">
        <f t="shared" si="13"/>
        <v/>
      </c>
      <c r="BW14" s="46" t="str">
        <f t="shared" si="13"/>
        <v/>
      </c>
      <c r="BX14" s="17" t="str">
        <f t="shared" si="13"/>
        <v/>
      </c>
      <c r="BY14" s="46" t="str">
        <f t="shared" si="13"/>
        <v/>
      </c>
      <c r="BZ14" s="17" t="str">
        <f t="shared" si="13"/>
        <v/>
      </c>
      <c r="CA14" s="46" t="str">
        <f t="shared" si="13"/>
        <v/>
      </c>
      <c r="CB14" s="17" t="str">
        <f t="shared" si="13"/>
        <v/>
      </c>
      <c r="CC14" s="46" t="str">
        <f t="shared" si="13"/>
        <v/>
      </c>
      <c r="CD14" s="17" t="str">
        <f t="shared" si="13"/>
        <v/>
      </c>
      <c r="CE14" s="46" t="str">
        <f t="shared" si="13"/>
        <v/>
      </c>
      <c r="CF14" s="17" t="str">
        <f t="shared" si="13"/>
        <v/>
      </c>
      <c r="CG14" s="46" t="str">
        <f t="shared" si="13"/>
        <v/>
      </c>
      <c r="CH14" s="17" t="str">
        <f t="shared" si="13"/>
        <v/>
      </c>
      <c r="CI14" s="46" t="str">
        <f t="shared" si="13"/>
        <v/>
      </c>
      <c r="CJ14" s="17" t="str">
        <f t="shared" si="13"/>
        <v/>
      </c>
      <c r="CK14" s="46" t="str">
        <f t="shared" si="13"/>
        <v/>
      </c>
      <c r="CL14" s="17" t="str">
        <f t="shared" si="13"/>
        <v/>
      </c>
      <c r="CM14" s="46" t="str">
        <f t="shared" si="13"/>
        <v/>
      </c>
      <c r="CN14" s="17" t="str">
        <f t="shared" si="13"/>
        <v/>
      </c>
      <c r="CO14" s="46" t="str">
        <f t="shared" si="13"/>
        <v/>
      </c>
      <c r="CP14" s="17" t="str">
        <f t="shared" si="13"/>
        <v/>
      </c>
      <c r="CQ14" s="46" t="str">
        <f t="shared" si="13"/>
        <v/>
      </c>
      <c r="CR14" s="17" t="str">
        <f t="shared" si="13"/>
        <v/>
      </c>
      <c r="CS14" s="46" t="str">
        <f t="shared" si="13"/>
        <v/>
      </c>
      <c r="CT14" s="17" t="str">
        <f t="shared" si="13"/>
        <v/>
      </c>
      <c r="CU14" s="46" t="str">
        <f t="shared" si="13"/>
        <v/>
      </c>
      <c r="CV14" s="17" t="str">
        <f t="shared" si="13"/>
        <v/>
      </c>
      <c r="CW14" s="46" t="str">
        <f t="shared" si="13"/>
        <v/>
      </c>
      <c r="CX14" s="17" t="str">
        <f t="shared" si="13"/>
        <v/>
      </c>
      <c r="CY14" s="46" t="str">
        <f t="shared" si="13"/>
        <v/>
      </c>
      <c r="CZ14" s="17" t="str">
        <f t="shared" si="13"/>
        <v/>
      </c>
      <c r="DA14" s="46" t="str">
        <f t="shared" si="13"/>
        <v/>
      </c>
      <c r="DB14" s="17" t="str">
        <f t="shared" si="13"/>
        <v/>
      </c>
      <c r="DC14" s="46" t="str">
        <f t="shared" si="13"/>
        <v/>
      </c>
      <c r="DD14" s="17" t="str">
        <f t="shared" si="13"/>
        <v/>
      </c>
      <c r="DE14" s="46" t="str">
        <f t="shared" si="13"/>
        <v/>
      </c>
      <c r="DF14" s="17" t="str">
        <f t="shared" si="13"/>
        <v/>
      </c>
      <c r="DG14" s="46" t="str">
        <f t="shared" si="13"/>
        <v/>
      </c>
      <c r="DH14" s="17" t="str">
        <f t="shared" si="13"/>
        <v/>
      </c>
      <c r="DI14" s="46" t="str">
        <f t="shared" si="13"/>
        <v/>
      </c>
      <c r="DJ14" s="17" t="str">
        <f t="shared" si="13"/>
        <v/>
      </c>
      <c r="DK14" s="46" t="str">
        <f t="shared" si="13"/>
        <v/>
      </c>
      <c r="DL14" s="17" t="str">
        <f t="shared" si="13"/>
        <v/>
      </c>
      <c r="DM14" s="46" t="str">
        <f t="shared" si="13"/>
        <v/>
      </c>
      <c r="DN14" s="17" t="str">
        <f t="shared" si="13"/>
        <v/>
      </c>
      <c r="DO14" s="46" t="str">
        <f t="shared" si="13"/>
        <v/>
      </c>
      <c r="DP14" s="17" t="str">
        <f t="shared" si="13"/>
        <v/>
      </c>
      <c r="DQ14" s="46" t="str">
        <f t="shared" si="13"/>
        <v/>
      </c>
      <c r="DR14" s="17" t="str">
        <f t="shared" si="13"/>
        <v/>
      </c>
      <c r="DS14" s="46" t="str">
        <f t="shared" si="13"/>
        <v/>
      </c>
      <c r="DT14" s="17" t="str">
        <f t="shared" si="13"/>
        <v/>
      </c>
      <c r="DU14" s="46" t="str">
        <f t="shared" si="13"/>
        <v/>
      </c>
      <c r="DV14" s="17" t="str">
        <f t="shared" si="13"/>
        <v/>
      </c>
      <c r="DW14" s="46" t="str">
        <f t="shared" si="13"/>
        <v/>
      </c>
      <c r="DX14" s="17" t="str">
        <f t="shared" si="13"/>
        <v/>
      </c>
      <c r="DY14" s="46" t="str">
        <f t="shared" si="13"/>
        <v/>
      </c>
      <c r="DZ14" s="17" t="str">
        <f t="shared" si="13"/>
        <v/>
      </c>
      <c r="EA14" s="46" t="str">
        <f t="shared" si="13"/>
        <v/>
      </c>
      <c r="EB14" s="17" t="str">
        <f t="shared" si="13"/>
        <v/>
      </c>
      <c r="EC14" s="46" t="str">
        <f t="shared" si="13"/>
        <v/>
      </c>
      <c r="ED14" s="17" t="str">
        <f t="shared" si="13"/>
        <v/>
      </c>
      <c r="EE14" s="46" t="str">
        <f t="shared" si="13"/>
        <v/>
      </c>
      <c r="EF14" s="17" t="str">
        <f t="shared" si="13"/>
        <v/>
      </c>
      <c r="EG14" s="46" t="str">
        <f t="shared" si="13"/>
        <v/>
      </c>
      <c r="EH14" s="17" t="str">
        <f t="shared" si="13"/>
        <v/>
      </c>
      <c r="EI14" s="46" t="str">
        <f t="shared" si="13"/>
        <v/>
      </c>
      <c r="EJ14" s="17" t="str">
        <f t="shared" si="13"/>
        <v/>
      </c>
      <c r="EK14" s="46" t="str">
        <f t="shared" si="13"/>
        <v/>
      </c>
      <c r="EL14" s="17" t="str">
        <f t="shared" si="13"/>
        <v/>
      </c>
      <c r="EM14" s="46" t="str">
        <f t="shared" si="13"/>
        <v/>
      </c>
      <c r="EN14" s="17" t="str">
        <f t="shared" si="13"/>
        <v/>
      </c>
      <c r="EO14" s="46" t="str">
        <f t="shared" si="13"/>
        <v/>
      </c>
      <c r="EP14" s="17" t="str">
        <f t="shared" si="13"/>
        <v/>
      </c>
    </row>
    <row r="15" ht="15.75" customHeight="1">
      <c r="A15" s="6" t="str">
        <f>Menus!B7</f>
        <v/>
      </c>
      <c r="B15" s="43">
        <f t="shared" si="11"/>
        <v>0</v>
      </c>
      <c r="C15" s="54" t="str">
        <f t="shared" ref="C15:EP15" si="14">IFERROR(
  LET(
    resultado,
      INDEX(
        INDIRECT($B$1),
        MATCH(RIGHT($A15, LEN($A15)-4), INDIRECT($B$3), 0),
        MATCH(C$1, INDIRECT($B$5), 0)
      ),
    IF(resultado="-", "", resultado) 
  ),
"")
</f>
        <v/>
      </c>
      <c r="D15" s="55" t="str">
        <f t="shared" si="14"/>
        <v/>
      </c>
      <c r="E15" s="46" t="str">
        <f t="shared" si="14"/>
        <v/>
      </c>
      <c r="F15" s="17" t="str">
        <f t="shared" si="14"/>
        <v/>
      </c>
      <c r="G15" s="46" t="str">
        <f t="shared" si="14"/>
        <v/>
      </c>
      <c r="H15" s="17" t="str">
        <f t="shared" si="14"/>
        <v/>
      </c>
      <c r="I15" s="46" t="str">
        <f t="shared" si="14"/>
        <v/>
      </c>
      <c r="J15" s="17" t="str">
        <f t="shared" si="14"/>
        <v/>
      </c>
      <c r="K15" s="46" t="str">
        <f t="shared" si="14"/>
        <v/>
      </c>
      <c r="L15" s="17" t="str">
        <f t="shared" si="14"/>
        <v/>
      </c>
      <c r="M15" s="46" t="str">
        <f t="shared" si="14"/>
        <v/>
      </c>
      <c r="N15" s="17" t="str">
        <f t="shared" si="14"/>
        <v/>
      </c>
      <c r="O15" s="46" t="str">
        <f t="shared" si="14"/>
        <v/>
      </c>
      <c r="P15" s="17" t="str">
        <f t="shared" si="14"/>
        <v/>
      </c>
      <c r="Q15" s="46" t="str">
        <f t="shared" si="14"/>
        <v/>
      </c>
      <c r="R15" s="17" t="str">
        <f t="shared" si="14"/>
        <v/>
      </c>
      <c r="S15" s="46" t="str">
        <f t="shared" si="14"/>
        <v/>
      </c>
      <c r="T15" s="17" t="str">
        <f t="shared" si="14"/>
        <v/>
      </c>
      <c r="U15" s="46" t="str">
        <f t="shared" si="14"/>
        <v/>
      </c>
      <c r="V15" s="17" t="str">
        <f t="shared" si="14"/>
        <v/>
      </c>
      <c r="W15" s="46" t="str">
        <f t="shared" si="14"/>
        <v/>
      </c>
      <c r="X15" s="17" t="str">
        <f t="shared" si="14"/>
        <v/>
      </c>
      <c r="Y15" s="46" t="str">
        <f t="shared" si="14"/>
        <v/>
      </c>
      <c r="Z15" s="17" t="str">
        <f t="shared" si="14"/>
        <v/>
      </c>
      <c r="AA15" s="46" t="str">
        <f t="shared" si="14"/>
        <v/>
      </c>
      <c r="AB15" s="17" t="str">
        <f t="shared" si="14"/>
        <v/>
      </c>
      <c r="AC15" s="46" t="str">
        <f t="shared" si="14"/>
        <v/>
      </c>
      <c r="AD15" s="17" t="str">
        <f t="shared" si="14"/>
        <v/>
      </c>
      <c r="AE15" s="46" t="str">
        <f t="shared" si="14"/>
        <v/>
      </c>
      <c r="AF15" s="17" t="str">
        <f t="shared" si="14"/>
        <v/>
      </c>
      <c r="AG15" s="46" t="str">
        <f t="shared" si="14"/>
        <v/>
      </c>
      <c r="AH15" s="17" t="str">
        <f t="shared" si="14"/>
        <v/>
      </c>
      <c r="AI15" s="46" t="str">
        <f t="shared" si="14"/>
        <v/>
      </c>
      <c r="AJ15" s="17" t="str">
        <f t="shared" si="14"/>
        <v/>
      </c>
      <c r="AK15" s="46" t="str">
        <f t="shared" si="14"/>
        <v/>
      </c>
      <c r="AL15" s="17" t="str">
        <f t="shared" si="14"/>
        <v/>
      </c>
      <c r="AM15" s="46" t="str">
        <f t="shared" si="14"/>
        <v/>
      </c>
      <c r="AN15" s="17" t="str">
        <f t="shared" si="14"/>
        <v/>
      </c>
      <c r="AO15" s="46" t="str">
        <f t="shared" si="14"/>
        <v/>
      </c>
      <c r="AP15" s="17" t="str">
        <f t="shared" si="14"/>
        <v/>
      </c>
      <c r="AQ15" s="46" t="str">
        <f t="shared" si="14"/>
        <v/>
      </c>
      <c r="AR15" s="17" t="str">
        <f t="shared" si="14"/>
        <v/>
      </c>
      <c r="AS15" s="46" t="str">
        <f t="shared" si="14"/>
        <v/>
      </c>
      <c r="AT15" s="17" t="str">
        <f t="shared" si="14"/>
        <v/>
      </c>
      <c r="AU15" s="46" t="str">
        <f t="shared" si="14"/>
        <v/>
      </c>
      <c r="AV15" s="17" t="str">
        <f t="shared" si="14"/>
        <v/>
      </c>
      <c r="AW15" s="46" t="str">
        <f t="shared" si="14"/>
        <v/>
      </c>
      <c r="AX15" s="17" t="str">
        <f t="shared" si="14"/>
        <v/>
      </c>
      <c r="AY15" s="46" t="str">
        <f t="shared" si="14"/>
        <v/>
      </c>
      <c r="AZ15" s="17" t="str">
        <f t="shared" si="14"/>
        <v/>
      </c>
      <c r="BA15" s="46" t="str">
        <f t="shared" si="14"/>
        <v/>
      </c>
      <c r="BB15" s="17" t="str">
        <f t="shared" si="14"/>
        <v/>
      </c>
      <c r="BC15" s="46" t="str">
        <f t="shared" si="14"/>
        <v/>
      </c>
      <c r="BD15" s="17" t="str">
        <f t="shared" si="14"/>
        <v/>
      </c>
      <c r="BE15" s="46" t="str">
        <f t="shared" si="14"/>
        <v/>
      </c>
      <c r="BF15" s="17" t="str">
        <f t="shared" si="14"/>
        <v/>
      </c>
      <c r="BG15" s="46" t="str">
        <f t="shared" si="14"/>
        <v/>
      </c>
      <c r="BH15" s="17" t="str">
        <f t="shared" si="14"/>
        <v/>
      </c>
      <c r="BI15" s="46" t="str">
        <f t="shared" si="14"/>
        <v/>
      </c>
      <c r="BJ15" s="17" t="str">
        <f t="shared" si="14"/>
        <v/>
      </c>
      <c r="BK15" s="46" t="str">
        <f t="shared" si="14"/>
        <v/>
      </c>
      <c r="BL15" s="17" t="str">
        <f t="shared" si="14"/>
        <v/>
      </c>
      <c r="BM15" s="46" t="str">
        <f t="shared" si="14"/>
        <v/>
      </c>
      <c r="BN15" s="17" t="str">
        <f t="shared" si="14"/>
        <v/>
      </c>
      <c r="BO15" s="46" t="str">
        <f t="shared" si="14"/>
        <v/>
      </c>
      <c r="BP15" s="17" t="str">
        <f t="shared" si="14"/>
        <v/>
      </c>
      <c r="BQ15" s="46" t="str">
        <f t="shared" si="14"/>
        <v/>
      </c>
      <c r="BR15" s="17" t="str">
        <f t="shared" si="14"/>
        <v/>
      </c>
      <c r="BS15" s="46" t="str">
        <f t="shared" si="14"/>
        <v/>
      </c>
      <c r="BT15" s="17" t="str">
        <f t="shared" si="14"/>
        <v/>
      </c>
      <c r="BU15" s="46" t="str">
        <f t="shared" si="14"/>
        <v/>
      </c>
      <c r="BV15" s="17" t="str">
        <f t="shared" si="14"/>
        <v/>
      </c>
      <c r="BW15" s="46" t="str">
        <f t="shared" si="14"/>
        <v/>
      </c>
      <c r="BX15" s="17" t="str">
        <f t="shared" si="14"/>
        <v/>
      </c>
      <c r="BY15" s="46" t="str">
        <f t="shared" si="14"/>
        <v/>
      </c>
      <c r="BZ15" s="17" t="str">
        <f t="shared" si="14"/>
        <v/>
      </c>
      <c r="CA15" s="46" t="str">
        <f t="shared" si="14"/>
        <v/>
      </c>
      <c r="CB15" s="17" t="str">
        <f t="shared" si="14"/>
        <v/>
      </c>
      <c r="CC15" s="46" t="str">
        <f t="shared" si="14"/>
        <v/>
      </c>
      <c r="CD15" s="17" t="str">
        <f t="shared" si="14"/>
        <v/>
      </c>
      <c r="CE15" s="46" t="str">
        <f t="shared" si="14"/>
        <v/>
      </c>
      <c r="CF15" s="17" t="str">
        <f t="shared" si="14"/>
        <v/>
      </c>
      <c r="CG15" s="46" t="str">
        <f t="shared" si="14"/>
        <v/>
      </c>
      <c r="CH15" s="17" t="str">
        <f t="shared" si="14"/>
        <v/>
      </c>
      <c r="CI15" s="46" t="str">
        <f t="shared" si="14"/>
        <v/>
      </c>
      <c r="CJ15" s="17" t="str">
        <f t="shared" si="14"/>
        <v/>
      </c>
      <c r="CK15" s="46" t="str">
        <f t="shared" si="14"/>
        <v/>
      </c>
      <c r="CL15" s="17" t="str">
        <f t="shared" si="14"/>
        <v/>
      </c>
      <c r="CM15" s="46" t="str">
        <f t="shared" si="14"/>
        <v/>
      </c>
      <c r="CN15" s="17" t="str">
        <f t="shared" si="14"/>
        <v/>
      </c>
      <c r="CO15" s="46" t="str">
        <f t="shared" si="14"/>
        <v/>
      </c>
      <c r="CP15" s="17" t="str">
        <f t="shared" si="14"/>
        <v/>
      </c>
      <c r="CQ15" s="46" t="str">
        <f t="shared" si="14"/>
        <v/>
      </c>
      <c r="CR15" s="17" t="str">
        <f t="shared" si="14"/>
        <v/>
      </c>
      <c r="CS15" s="46" t="str">
        <f t="shared" si="14"/>
        <v/>
      </c>
      <c r="CT15" s="17" t="str">
        <f t="shared" si="14"/>
        <v/>
      </c>
      <c r="CU15" s="46" t="str">
        <f t="shared" si="14"/>
        <v/>
      </c>
      <c r="CV15" s="17" t="str">
        <f t="shared" si="14"/>
        <v/>
      </c>
      <c r="CW15" s="46" t="str">
        <f t="shared" si="14"/>
        <v/>
      </c>
      <c r="CX15" s="17" t="str">
        <f t="shared" si="14"/>
        <v/>
      </c>
      <c r="CY15" s="46" t="str">
        <f t="shared" si="14"/>
        <v/>
      </c>
      <c r="CZ15" s="17" t="str">
        <f t="shared" si="14"/>
        <v/>
      </c>
      <c r="DA15" s="46" t="str">
        <f t="shared" si="14"/>
        <v/>
      </c>
      <c r="DB15" s="17" t="str">
        <f t="shared" si="14"/>
        <v/>
      </c>
      <c r="DC15" s="46" t="str">
        <f t="shared" si="14"/>
        <v/>
      </c>
      <c r="DD15" s="17" t="str">
        <f t="shared" si="14"/>
        <v/>
      </c>
      <c r="DE15" s="46" t="str">
        <f t="shared" si="14"/>
        <v/>
      </c>
      <c r="DF15" s="17" t="str">
        <f t="shared" si="14"/>
        <v/>
      </c>
      <c r="DG15" s="46" t="str">
        <f t="shared" si="14"/>
        <v/>
      </c>
      <c r="DH15" s="17" t="str">
        <f t="shared" si="14"/>
        <v/>
      </c>
      <c r="DI15" s="46" t="str">
        <f t="shared" si="14"/>
        <v/>
      </c>
      <c r="DJ15" s="17" t="str">
        <f t="shared" si="14"/>
        <v/>
      </c>
      <c r="DK15" s="46" t="str">
        <f t="shared" si="14"/>
        <v/>
      </c>
      <c r="DL15" s="17" t="str">
        <f t="shared" si="14"/>
        <v/>
      </c>
      <c r="DM15" s="46" t="str">
        <f t="shared" si="14"/>
        <v/>
      </c>
      <c r="DN15" s="17" t="str">
        <f t="shared" si="14"/>
        <v/>
      </c>
      <c r="DO15" s="46" t="str">
        <f t="shared" si="14"/>
        <v/>
      </c>
      <c r="DP15" s="17" t="str">
        <f t="shared" si="14"/>
        <v/>
      </c>
      <c r="DQ15" s="46" t="str">
        <f t="shared" si="14"/>
        <v/>
      </c>
      <c r="DR15" s="17" t="str">
        <f t="shared" si="14"/>
        <v/>
      </c>
      <c r="DS15" s="46" t="str">
        <f t="shared" si="14"/>
        <v/>
      </c>
      <c r="DT15" s="17" t="str">
        <f t="shared" si="14"/>
        <v/>
      </c>
      <c r="DU15" s="46" t="str">
        <f t="shared" si="14"/>
        <v/>
      </c>
      <c r="DV15" s="17" t="str">
        <f t="shared" si="14"/>
        <v/>
      </c>
      <c r="DW15" s="46" t="str">
        <f t="shared" si="14"/>
        <v/>
      </c>
      <c r="DX15" s="17" t="str">
        <f t="shared" si="14"/>
        <v/>
      </c>
      <c r="DY15" s="46" t="str">
        <f t="shared" si="14"/>
        <v/>
      </c>
      <c r="DZ15" s="17" t="str">
        <f t="shared" si="14"/>
        <v/>
      </c>
      <c r="EA15" s="46" t="str">
        <f t="shared" si="14"/>
        <v/>
      </c>
      <c r="EB15" s="17" t="str">
        <f t="shared" si="14"/>
        <v/>
      </c>
      <c r="EC15" s="46" t="str">
        <f t="shared" si="14"/>
        <v/>
      </c>
      <c r="ED15" s="17" t="str">
        <f t="shared" si="14"/>
        <v/>
      </c>
      <c r="EE15" s="46" t="str">
        <f t="shared" si="14"/>
        <v/>
      </c>
      <c r="EF15" s="17" t="str">
        <f t="shared" si="14"/>
        <v/>
      </c>
      <c r="EG15" s="46" t="str">
        <f t="shared" si="14"/>
        <v/>
      </c>
      <c r="EH15" s="17" t="str">
        <f t="shared" si="14"/>
        <v/>
      </c>
      <c r="EI15" s="46" t="str">
        <f t="shared" si="14"/>
        <v/>
      </c>
      <c r="EJ15" s="17" t="str">
        <f t="shared" si="14"/>
        <v/>
      </c>
      <c r="EK15" s="46" t="str">
        <f t="shared" si="14"/>
        <v/>
      </c>
      <c r="EL15" s="17" t="str">
        <f t="shared" si="14"/>
        <v/>
      </c>
      <c r="EM15" s="46" t="str">
        <f t="shared" si="14"/>
        <v/>
      </c>
      <c r="EN15" s="17" t="str">
        <f t="shared" si="14"/>
        <v/>
      </c>
      <c r="EO15" s="46" t="str">
        <f t="shared" si="14"/>
        <v/>
      </c>
      <c r="EP15" s="17" t="str">
        <f t="shared" si="14"/>
        <v/>
      </c>
    </row>
    <row r="16" ht="15.75" customHeight="1">
      <c r="A16" s="20" t="str">
        <f>Menus!B8</f>
        <v/>
      </c>
      <c r="B16" s="43">
        <f t="shared" si="11"/>
        <v>0</v>
      </c>
      <c r="C16" s="54" t="str">
        <f t="shared" ref="C16:EP16" si="15">IFERROR(
  LET(
    resultado,
      INDEX(
        INDIRECT($B$1),
        MATCH(RIGHT($A16, LEN($A16)-4), INDIRECT($B$3), 0),
        MATCH(C$1, INDIRECT($B$5), 0)
      ),
    IF(resultado="-", "", resultado) 
  ),
"")
</f>
        <v/>
      </c>
      <c r="D16" s="55" t="str">
        <f t="shared" si="15"/>
        <v/>
      </c>
      <c r="E16" s="46" t="str">
        <f t="shared" si="15"/>
        <v/>
      </c>
      <c r="F16" s="17" t="str">
        <f t="shared" si="15"/>
        <v/>
      </c>
      <c r="G16" s="46" t="str">
        <f t="shared" si="15"/>
        <v/>
      </c>
      <c r="H16" s="17" t="str">
        <f t="shared" si="15"/>
        <v/>
      </c>
      <c r="I16" s="46" t="str">
        <f t="shared" si="15"/>
        <v/>
      </c>
      <c r="J16" s="17" t="str">
        <f t="shared" si="15"/>
        <v/>
      </c>
      <c r="K16" s="46" t="str">
        <f t="shared" si="15"/>
        <v/>
      </c>
      <c r="L16" s="17" t="str">
        <f t="shared" si="15"/>
        <v/>
      </c>
      <c r="M16" s="46" t="str">
        <f t="shared" si="15"/>
        <v/>
      </c>
      <c r="N16" s="17" t="str">
        <f t="shared" si="15"/>
        <v/>
      </c>
      <c r="O16" s="46" t="str">
        <f t="shared" si="15"/>
        <v/>
      </c>
      <c r="P16" s="17" t="str">
        <f t="shared" si="15"/>
        <v/>
      </c>
      <c r="Q16" s="46" t="str">
        <f t="shared" si="15"/>
        <v/>
      </c>
      <c r="R16" s="17" t="str">
        <f t="shared" si="15"/>
        <v/>
      </c>
      <c r="S16" s="46" t="str">
        <f t="shared" si="15"/>
        <v/>
      </c>
      <c r="T16" s="17" t="str">
        <f t="shared" si="15"/>
        <v/>
      </c>
      <c r="U16" s="46" t="str">
        <f t="shared" si="15"/>
        <v/>
      </c>
      <c r="V16" s="17" t="str">
        <f t="shared" si="15"/>
        <v/>
      </c>
      <c r="W16" s="46" t="str">
        <f t="shared" si="15"/>
        <v/>
      </c>
      <c r="X16" s="17" t="str">
        <f t="shared" si="15"/>
        <v/>
      </c>
      <c r="Y16" s="46" t="str">
        <f t="shared" si="15"/>
        <v/>
      </c>
      <c r="Z16" s="17" t="str">
        <f t="shared" si="15"/>
        <v/>
      </c>
      <c r="AA16" s="46" t="str">
        <f t="shared" si="15"/>
        <v/>
      </c>
      <c r="AB16" s="17" t="str">
        <f t="shared" si="15"/>
        <v/>
      </c>
      <c r="AC16" s="46" t="str">
        <f t="shared" si="15"/>
        <v/>
      </c>
      <c r="AD16" s="17" t="str">
        <f t="shared" si="15"/>
        <v/>
      </c>
      <c r="AE16" s="46" t="str">
        <f t="shared" si="15"/>
        <v/>
      </c>
      <c r="AF16" s="17" t="str">
        <f t="shared" si="15"/>
        <v/>
      </c>
      <c r="AG16" s="46" t="str">
        <f t="shared" si="15"/>
        <v/>
      </c>
      <c r="AH16" s="17" t="str">
        <f t="shared" si="15"/>
        <v/>
      </c>
      <c r="AI16" s="46" t="str">
        <f t="shared" si="15"/>
        <v/>
      </c>
      <c r="AJ16" s="17" t="str">
        <f t="shared" si="15"/>
        <v/>
      </c>
      <c r="AK16" s="46" t="str">
        <f t="shared" si="15"/>
        <v/>
      </c>
      <c r="AL16" s="17" t="str">
        <f t="shared" si="15"/>
        <v/>
      </c>
      <c r="AM16" s="46" t="str">
        <f t="shared" si="15"/>
        <v/>
      </c>
      <c r="AN16" s="17" t="str">
        <f t="shared" si="15"/>
        <v/>
      </c>
      <c r="AO16" s="46" t="str">
        <f t="shared" si="15"/>
        <v/>
      </c>
      <c r="AP16" s="17" t="str">
        <f t="shared" si="15"/>
        <v/>
      </c>
      <c r="AQ16" s="46" t="str">
        <f t="shared" si="15"/>
        <v/>
      </c>
      <c r="AR16" s="17" t="str">
        <f t="shared" si="15"/>
        <v/>
      </c>
      <c r="AS16" s="46" t="str">
        <f t="shared" si="15"/>
        <v/>
      </c>
      <c r="AT16" s="17" t="str">
        <f t="shared" si="15"/>
        <v/>
      </c>
      <c r="AU16" s="46" t="str">
        <f t="shared" si="15"/>
        <v/>
      </c>
      <c r="AV16" s="17" t="str">
        <f t="shared" si="15"/>
        <v/>
      </c>
      <c r="AW16" s="46" t="str">
        <f t="shared" si="15"/>
        <v/>
      </c>
      <c r="AX16" s="17" t="str">
        <f t="shared" si="15"/>
        <v/>
      </c>
      <c r="AY16" s="46" t="str">
        <f t="shared" si="15"/>
        <v/>
      </c>
      <c r="AZ16" s="17" t="str">
        <f t="shared" si="15"/>
        <v/>
      </c>
      <c r="BA16" s="46" t="str">
        <f t="shared" si="15"/>
        <v/>
      </c>
      <c r="BB16" s="17" t="str">
        <f t="shared" si="15"/>
        <v/>
      </c>
      <c r="BC16" s="46" t="str">
        <f t="shared" si="15"/>
        <v/>
      </c>
      <c r="BD16" s="17" t="str">
        <f t="shared" si="15"/>
        <v/>
      </c>
      <c r="BE16" s="46" t="str">
        <f t="shared" si="15"/>
        <v/>
      </c>
      <c r="BF16" s="17" t="str">
        <f t="shared" si="15"/>
        <v/>
      </c>
      <c r="BG16" s="46" t="str">
        <f t="shared" si="15"/>
        <v/>
      </c>
      <c r="BH16" s="17" t="str">
        <f t="shared" si="15"/>
        <v/>
      </c>
      <c r="BI16" s="46" t="str">
        <f t="shared" si="15"/>
        <v/>
      </c>
      <c r="BJ16" s="17" t="str">
        <f t="shared" si="15"/>
        <v/>
      </c>
      <c r="BK16" s="46" t="str">
        <f t="shared" si="15"/>
        <v/>
      </c>
      <c r="BL16" s="17" t="str">
        <f t="shared" si="15"/>
        <v/>
      </c>
      <c r="BM16" s="46" t="str">
        <f t="shared" si="15"/>
        <v/>
      </c>
      <c r="BN16" s="17" t="str">
        <f t="shared" si="15"/>
        <v/>
      </c>
      <c r="BO16" s="46" t="str">
        <f t="shared" si="15"/>
        <v/>
      </c>
      <c r="BP16" s="17" t="str">
        <f t="shared" si="15"/>
        <v/>
      </c>
      <c r="BQ16" s="46" t="str">
        <f t="shared" si="15"/>
        <v/>
      </c>
      <c r="BR16" s="17" t="str">
        <f t="shared" si="15"/>
        <v/>
      </c>
      <c r="BS16" s="46" t="str">
        <f t="shared" si="15"/>
        <v/>
      </c>
      <c r="BT16" s="17" t="str">
        <f t="shared" si="15"/>
        <v/>
      </c>
      <c r="BU16" s="46" t="str">
        <f t="shared" si="15"/>
        <v/>
      </c>
      <c r="BV16" s="17" t="str">
        <f t="shared" si="15"/>
        <v/>
      </c>
      <c r="BW16" s="46" t="str">
        <f t="shared" si="15"/>
        <v/>
      </c>
      <c r="BX16" s="17" t="str">
        <f t="shared" si="15"/>
        <v/>
      </c>
      <c r="BY16" s="46" t="str">
        <f t="shared" si="15"/>
        <v/>
      </c>
      <c r="BZ16" s="17" t="str">
        <f t="shared" si="15"/>
        <v/>
      </c>
      <c r="CA16" s="46" t="str">
        <f t="shared" si="15"/>
        <v/>
      </c>
      <c r="CB16" s="17" t="str">
        <f t="shared" si="15"/>
        <v/>
      </c>
      <c r="CC16" s="46" t="str">
        <f t="shared" si="15"/>
        <v/>
      </c>
      <c r="CD16" s="17" t="str">
        <f t="shared" si="15"/>
        <v/>
      </c>
      <c r="CE16" s="46" t="str">
        <f t="shared" si="15"/>
        <v/>
      </c>
      <c r="CF16" s="17" t="str">
        <f t="shared" si="15"/>
        <v/>
      </c>
      <c r="CG16" s="46" t="str">
        <f t="shared" si="15"/>
        <v/>
      </c>
      <c r="CH16" s="17" t="str">
        <f t="shared" si="15"/>
        <v/>
      </c>
      <c r="CI16" s="46" t="str">
        <f t="shared" si="15"/>
        <v/>
      </c>
      <c r="CJ16" s="17" t="str">
        <f t="shared" si="15"/>
        <v/>
      </c>
      <c r="CK16" s="46" t="str">
        <f t="shared" si="15"/>
        <v/>
      </c>
      <c r="CL16" s="17" t="str">
        <f t="shared" si="15"/>
        <v/>
      </c>
      <c r="CM16" s="46" t="str">
        <f t="shared" si="15"/>
        <v/>
      </c>
      <c r="CN16" s="17" t="str">
        <f t="shared" si="15"/>
        <v/>
      </c>
      <c r="CO16" s="46" t="str">
        <f t="shared" si="15"/>
        <v/>
      </c>
      <c r="CP16" s="17" t="str">
        <f t="shared" si="15"/>
        <v/>
      </c>
      <c r="CQ16" s="46" t="str">
        <f t="shared" si="15"/>
        <v/>
      </c>
      <c r="CR16" s="17" t="str">
        <f t="shared" si="15"/>
        <v/>
      </c>
      <c r="CS16" s="46" t="str">
        <f t="shared" si="15"/>
        <v/>
      </c>
      <c r="CT16" s="17" t="str">
        <f t="shared" si="15"/>
        <v/>
      </c>
      <c r="CU16" s="46" t="str">
        <f t="shared" si="15"/>
        <v/>
      </c>
      <c r="CV16" s="17" t="str">
        <f t="shared" si="15"/>
        <v/>
      </c>
      <c r="CW16" s="46" t="str">
        <f t="shared" si="15"/>
        <v/>
      </c>
      <c r="CX16" s="17" t="str">
        <f t="shared" si="15"/>
        <v/>
      </c>
      <c r="CY16" s="46" t="str">
        <f t="shared" si="15"/>
        <v/>
      </c>
      <c r="CZ16" s="17" t="str">
        <f t="shared" si="15"/>
        <v/>
      </c>
      <c r="DA16" s="46" t="str">
        <f t="shared" si="15"/>
        <v/>
      </c>
      <c r="DB16" s="17" t="str">
        <f t="shared" si="15"/>
        <v/>
      </c>
      <c r="DC16" s="46" t="str">
        <f t="shared" si="15"/>
        <v/>
      </c>
      <c r="DD16" s="17" t="str">
        <f t="shared" si="15"/>
        <v/>
      </c>
      <c r="DE16" s="46" t="str">
        <f t="shared" si="15"/>
        <v/>
      </c>
      <c r="DF16" s="17" t="str">
        <f t="shared" si="15"/>
        <v/>
      </c>
      <c r="DG16" s="46" t="str">
        <f t="shared" si="15"/>
        <v/>
      </c>
      <c r="DH16" s="17" t="str">
        <f t="shared" si="15"/>
        <v/>
      </c>
      <c r="DI16" s="46" t="str">
        <f t="shared" si="15"/>
        <v/>
      </c>
      <c r="DJ16" s="17" t="str">
        <f t="shared" si="15"/>
        <v/>
      </c>
      <c r="DK16" s="46" t="str">
        <f t="shared" si="15"/>
        <v/>
      </c>
      <c r="DL16" s="17" t="str">
        <f t="shared" si="15"/>
        <v/>
      </c>
      <c r="DM16" s="46" t="str">
        <f t="shared" si="15"/>
        <v/>
      </c>
      <c r="DN16" s="17" t="str">
        <f t="shared" si="15"/>
        <v/>
      </c>
      <c r="DO16" s="46" t="str">
        <f t="shared" si="15"/>
        <v/>
      </c>
      <c r="DP16" s="17" t="str">
        <f t="shared" si="15"/>
        <v/>
      </c>
      <c r="DQ16" s="46" t="str">
        <f t="shared" si="15"/>
        <v/>
      </c>
      <c r="DR16" s="17" t="str">
        <f t="shared" si="15"/>
        <v/>
      </c>
      <c r="DS16" s="46" t="str">
        <f t="shared" si="15"/>
        <v/>
      </c>
      <c r="DT16" s="17" t="str">
        <f t="shared" si="15"/>
        <v/>
      </c>
      <c r="DU16" s="46" t="str">
        <f t="shared" si="15"/>
        <v/>
      </c>
      <c r="DV16" s="17" t="str">
        <f t="shared" si="15"/>
        <v/>
      </c>
      <c r="DW16" s="46" t="str">
        <f t="shared" si="15"/>
        <v/>
      </c>
      <c r="DX16" s="17" t="str">
        <f t="shared" si="15"/>
        <v/>
      </c>
      <c r="DY16" s="46" t="str">
        <f t="shared" si="15"/>
        <v/>
      </c>
      <c r="DZ16" s="17" t="str">
        <f t="shared" si="15"/>
        <v/>
      </c>
      <c r="EA16" s="46" t="str">
        <f t="shared" si="15"/>
        <v/>
      </c>
      <c r="EB16" s="17" t="str">
        <f t="shared" si="15"/>
        <v/>
      </c>
      <c r="EC16" s="46" t="str">
        <f t="shared" si="15"/>
        <v/>
      </c>
      <c r="ED16" s="17" t="str">
        <f t="shared" si="15"/>
        <v/>
      </c>
      <c r="EE16" s="46" t="str">
        <f t="shared" si="15"/>
        <v/>
      </c>
      <c r="EF16" s="17" t="str">
        <f t="shared" si="15"/>
        <v/>
      </c>
      <c r="EG16" s="46" t="str">
        <f t="shared" si="15"/>
        <v/>
      </c>
      <c r="EH16" s="17" t="str">
        <f t="shared" si="15"/>
        <v/>
      </c>
      <c r="EI16" s="46" t="str">
        <f t="shared" si="15"/>
        <v/>
      </c>
      <c r="EJ16" s="17" t="str">
        <f t="shared" si="15"/>
        <v/>
      </c>
      <c r="EK16" s="46" t="str">
        <f t="shared" si="15"/>
        <v/>
      </c>
      <c r="EL16" s="17" t="str">
        <f t="shared" si="15"/>
        <v/>
      </c>
      <c r="EM16" s="46" t="str">
        <f t="shared" si="15"/>
        <v/>
      </c>
      <c r="EN16" s="17" t="str">
        <f t="shared" si="15"/>
        <v/>
      </c>
      <c r="EO16" s="46" t="str">
        <f t="shared" si="15"/>
        <v/>
      </c>
      <c r="EP16" s="17" t="str">
        <f t="shared" si="15"/>
        <v/>
      </c>
    </row>
    <row r="17" ht="15.75" customHeight="1">
      <c r="A17" s="6" t="str">
        <f>Menus!B9</f>
        <v/>
      </c>
      <c r="B17" s="43">
        <f t="shared" si="11"/>
        <v>0</v>
      </c>
      <c r="C17" s="54" t="str">
        <f t="shared" ref="C17:EP17" si="16">IFERROR(
  LET(
    resultado,
      INDEX(
        INDIRECT($B$1),
        MATCH(RIGHT($A17, LEN($A17)-4), INDIRECT($B$3), 0),
        MATCH(C$1, INDIRECT($B$5), 0)
      ),
    IF(resultado="-", "", resultado) 
  ),
"")
</f>
        <v/>
      </c>
      <c r="D17" s="55" t="str">
        <f t="shared" si="16"/>
        <v/>
      </c>
      <c r="E17" s="46" t="str">
        <f t="shared" si="16"/>
        <v/>
      </c>
      <c r="F17" s="17" t="str">
        <f t="shared" si="16"/>
        <v/>
      </c>
      <c r="G17" s="46" t="str">
        <f t="shared" si="16"/>
        <v/>
      </c>
      <c r="H17" s="17" t="str">
        <f t="shared" si="16"/>
        <v/>
      </c>
      <c r="I17" s="46" t="str">
        <f t="shared" si="16"/>
        <v/>
      </c>
      <c r="J17" s="17" t="str">
        <f t="shared" si="16"/>
        <v/>
      </c>
      <c r="K17" s="46" t="str">
        <f t="shared" si="16"/>
        <v/>
      </c>
      <c r="L17" s="17" t="str">
        <f t="shared" si="16"/>
        <v/>
      </c>
      <c r="M17" s="46" t="str">
        <f t="shared" si="16"/>
        <v/>
      </c>
      <c r="N17" s="17" t="str">
        <f t="shared" si="16"/>
        <v/>
      </c>
      <c r="O17" s="46" t="str">
        <f t="shared" si="16"/>
        <v/>
      </c>
      <c r="P17" s="17" t="str">
        <f t="shared" si="16"/>
        <v/>
      </c>
      <c r="Q17" s="46" t="str">
        <f t="shared" si="16"/>
        <v/>
      </c>
      <c r="R17" s="17" t="str">
        <f t="shared" si="16"/>
        <v/>
      </c>
      <c r="S17" s="46" t="str">
        <f t="shared" si="16"/>
        <v/>
      </c>
      <c r="T17" s="17" t="str">
        <f t="shared" si="16"/>
        <v/>
      </c>
      <c r="U17" s="46" t="str">
        <f t="shared" si="16"/>
        <v/>
      </c>
      <c r="V17" s="17" t="str">
        <f t="shared" si="16"/>
        <v/>
      </c>
      <c r="W17" s="46" t="str">
        <f t="shared" si="16"/>
        <v/>
      </c>
      <c r="X17" s="17" t="str">
        <f t="shared" si="16"/>
        <v/>
      </c>
      <c r="Y17" s="46" t="str">
        <f t="shared" si="16"/>
        <v/>
      </c>
      <c r="Z17" s="17" t="str">
        <f t="shared" si="16"/>
        <v/>
      </c>
      <c r="AA17" s="46" t="str">
        <f t="shared" si="16"/>
        <v/>
      </c>
      <c r="AB17" s="17" t="str">
        <f t="shared" si="16"/>
        <v/>
      </c>
      <c r="AC17" s="46" t="str">
        <f t="shared" si="16"/>
        <v/>
      </c>
      <c r="AD17" s="17" t="str">
        <f t="shared" si="16"/>
        <v/>
      </c>
      <c r="AE17" s="46" t="str">
        <f t="shared" si="16"/>
        <v/>
      </c>
      <c r="AF17" s="17" t="str">
        <f t="shared" si="16"/>
        <v/>
      </c>
      <c r="AG17" s="46" t="str">
        <f t="shared" si="16"/>
        <v/>
      </c>
      <c r="AH17" s="17" t="str">
        <f t="shared" si="16"/>
        <v/>
      </c>
      <c r="AI17" s="46" t="str">
        <f t="shared" si="16"/>
        <v/>
      </c>
      <c r="AJ17" s="17" t="str">
        <f t="shared" si="16"/>
        <v/>
      </c>
      <c r="AK17" s="46" t="str">
        <f t="shared" si="16"/>
        <v/>
      </c>
      <c r="AL17" s="17" t="str">
        <f t="shared" si="16"/>
        <v/>
      </c>
      <c r="AM17" s="46" t="str">
        <f t="shared" si="16"/>
        <v/>
      </c>
      <c r="AN17" s="17" t="str">
        <f t="shared" si="16"/>
        <v/>
      </c>
      <c r="AO17" s="46" t="str">
        <f t="shared" si="16"/>
        <v/>
      </c>
      <c r="AP17" s="17" t="str">
        <f t="shared" si="16"/>
        <v/>
      </c>
      <c r="AQ17" s="46" t="str">
        <f t="shared" si="16"/>
        <v/>
      </c>
      <c r="AR17" s="17" t="str">
        <f t="shared" si="16"/>
        <v/>
      </c>
      <c r="AS17" s="46" t="str">
        <f t="shared" si="16"/>
        <v/>
      </c>
      <c r="AT17" s="17" t="str">
        <f t="shared" si="16"/>
        <v/>
      </c>
      <c r="AU17" s="46" t="str">
        <f t="shared" si="16"/>
        <v/>
      </c>
      <c r="AV17" s="17" t="str">
        <f t="shared" si="16"/>
        <v/>
      </c>
      <c r="AW17" s="46" t="str">
        <f t="shared" si="16"/>
        <v/>
      </c>
      <c r="AX17" s="17" t="str">
        <f t="shared" si="16"/>
        <v/>
      </c>
      <c r="AY17" s="46" t="str">
        <f t="shared" si="16"/>
        <v/>
      </c>
      <c r="AZ17" s="17" t="str">
        <f t="shared" si="16"/>
        <v/>
      </c>
      <c r="BA17" s="46" t="str">
        <f t="shared" si="16"/>
        <v/>
      </c>
      <c r="BB17" s="17" t="str">
        <f t="shared" si="16"/>
        <v/>
      </c>
      <c r="BC17" s="46" t="str">
        <f t="shared" si="16"/>
        <v/>
      </c>
      <c r="BD17" s="17" t="str">
        <f t="shared" si="16"/>
        <v/>
      </c>
      <c r="BE17" s="46" t="str">
        <f t="shared" si="16"/>
        <v/>
      </c>
      <c r="BF17" s="17" t="str">
        <f t="shared" si="16"/>
        <v/>
      </c>
      <c r="BG17" s="46" t="str">
        <f t="shared" si="16"/>
        <v/>
      </c>
      <c r="BH17" s="17" t="str">
        <f t="shared" si="16"/>
        <v/>
      </c>
      <c r="BI17" s="46" t="str">
        <f t="shared" si="16"/>
        <v/>
      </c>
      <c r="BJ17" s="17" t="str">
        <f t="shared" si="16"/>
        <v/>
      </c>
      <c r="BK17" s="46" t="str">
        <f t="shared" si="16"/>
        <v/>
      </c>
      <c r="BL17" s="17" t="str">
        <f t="shared" si="16"/>
        <v/>
      </c>
      <c r="BM17" s="46" t="str">
        <f t="shared" si="16"/>
        <v/>
      </c>
      <c r="BN17" s="17" t="str">
        <f t="shared" si="16"/>
        <v/>
      </c>
      <c r="BO17" s="46" t="str">
        <f t="shared" si="16"/>
        <v/>
      </c>
      <c r="BP17" s="17" t="str">
        <f t="shared" si="16"/>
        <v/>
      </c>
      <c r="BQ17" s="46" t="str">
        <f t="shared" si="16"/>
        <v/>
      </c>
      <c r="BR17" s="17" t="str">
        <f t="shared" si="16"/>
        <v/>
      </c>
      <c r="BS17" s="46" t="str">
        <f t="shared" si="16"/>
        <v/>
      </c>
      <c r="BT17" s="17" t="str">
        <f t="shared" si="16"/>
        <v/>
      </c>
      <c r="BU17" s="46" t="str">
        <f t="shared" si="16"/>
        <v/>
      </c>
      <c r="BV17" s="17" t="str">
        <f t="shared" si="16"/>
        <v/>
      </c>
      <c r="BW17" s="46" t="str">
        <f t="shared" si="16"/>
        <v/>
      </c>
      <c r="BX17" s="17" t="str">
        <f t="shared" si="16"/>
        <v/>
      </c>
      <c r="BY17" s="46" t="str">
        <f t="shared" si="16"/>
        <v/>
      </c>
      <c r="BZ17" s="17" t="str">
        <f t="shared" si="16"/>
        <v/>
      </c>
      <c r="CA17" s="46" t="str">
        <f t="shared" si="16"/>
        <v/>
      </c>
      <c r="CB17" s="17" t="str">
        <f t="shared" si="16"/>
        <v/>
      </c>
      <c r="CC17" s="46" t="str">
        <f t="shared" si="16"/>
        <v/>
      </c>
      <c r="CD17" s="17" t="str">
        <f t="shared" si="16"/>
        <v/>
      </c>
      <c r="CE17" s="46" t="str">
        <f t="shared" si="16"/>
        <v/>
      </c>
      <c r="CF17" s="17" t="str">
        <f t="shared" si="16"/>
        <v/>
      </c>
      <c r="CG17" s="46" t="str">
        <f t="shared" si="16"/>
        <v/>
      </c>
      <c r="CH17" s="17" t="str">
        <f t="shared" si="16"/>
        <v/>
      </c>
      <c r="CI17" s="46" t="str">
        <f t="shared" si="16"/>
        <v/>
      </c>
      <c r="CJ17" s="17" t="str">
        <f t="shared" si="16"/>
        <v/>
      </c>
      <c r="CK17" s="46" t="str">
        <f t="shared" si="16"/>
        <v/>
      </c>
      <c r="CL17" s="17" t="str">
        <f t="shared" si="16"/>
        <v/>
      </c>
      <c r="CM17" s="46" t="str">
        <f t="shared" si="16"/>
        <v/>
      </c>
      <c r="CN17" s="17" t="str">
        <f t="shared" si="16"/>
        <v/>
      </c>
      <c r="CO17" s="46" t="str">
        <f t="shared" si="16"/>
        <v/>
      </c>
      <c r="CP17" s="17" t="str">
        <f t="shared" si="16"/>
        <v/>
      </c>
      <c r="CQ17" s="46" t="str">
        <f t="shared" si="16"/>
        <v/>
      </c>
      <c r="CR17" s="17" t="str">
        <f t="shared" si="16"/>
        <v/>
      </c>
      <c r="CS17" s="46" t="str">
        <f t="shared" si="16"/>
        <v/>
      </c>
      <c r="CT17" s="17" t="str">
        <f t="shared" si="16"/>
        <v/>
      </c>
      <c r="CU17" s="46" t="str">
        <f t="shared" si="16"/>
        <v/>
      </c>
      <c r="CV17" s="17" t="str">
        <f t="shared" si="16"/>
        <v/>
      </c>
      <c r="CW17" s="46" t="str">
        <f t="shared" si="16"/>
        <v/>
      </c>
      <c r="CX17" s="17" t="str">
        <f t="shared" si="16"/>
        <v/>
      </c>
      <c r="CY17" s="46" t="str">
        <f t="shared" si="16"/>
        <v/>
      </c>
      <c r="CZ17" s="17" t="str">
        <f t="shared" si="16"/>
        <v/>
      </c>
      <c r="DA17" s="46" t="str">
        <f t="shared" si="16"/>
        <v/>
      </c>
      <c r="DB17" s="17" t="str">
        <f t="shared" si="16"/>
        <v/>
      </c>
      <c r="DC17" s="46" t="str">
        <f t="shared" si="16"/>
        <v/>
      </c>
      <c r="DD17" s="17" t="str">
        <f t="shared" si="16"/>
        <v/>
      </c>
      <c r="DE17" s="46" t="str">
        <f t="shared" si="16"/>
        <v/>
      </c>
      <c r="DF17" s="17" t="str">
        <f t="shared" si="16"/>
        <v/>
      </c>
      <c r="DG17" s="46" t="str">
        <f t="shared" si="16"/>
        <v/>
      </c>
      <c r="DH17" s="17" t="str">
        <f t="shared" si="16"/>
        <v/>
      </c>
      <c r="DI17" s="46" t="str">
        <f t="shared" si="16"/>
        <v/>
      </c>
      <c r="DJ17" s="17" t="str">
        <f t="shared" si="16"/>
        <v/>
      </c>
      <c r="DK17" s="46" t="str">
        <f t="shared" si="16"/>
        <v/>
      </c>
      <c r="DL17" s="17" t="str">
        <f t="shared" si="16"/>
        <v/>
      </c>
      <c r="DM17" s="46" t="str">
        <f t="shared" si="16"/>
        <v/>
      </c>
      <c r="DN17" s="17" t="str">
        <f t="shared" si="16"/>
        <v/>
      </c>
      <c r="DO17" s="46" t="str">
        <f t="shared" si="16"/>
        <v/>
      </c>
      <c r="DP17" s="17" t="str">
        <f t="shared" si="16"/>
        <v/>
      </c>
      <c r="DQ17" s="46" t="str">
        <f t="shared" si="16"/>
        <v/>
      </c>
      <c r="DR17" s="17" t="str">
        <f t="shared" si="16"/>
        <v/>
      </c>
      <c r="DS17" s="46" t="str">
        <f t="shared" si="16"/>
        <v/>
      </c>
      <c r="DT17" s="17" t="str">
        <f t="shared" si="16"/>
        <v/>
      </c>
      <c r="DU17" s="46" t="str">
        <f t="shared" si="16"/>
        <v/>
      </c>
      <c r="DV17" s="17" t="str">
        <f t="shared" si="16"/>
        <v/>
      </c>
      <c r="DW17" s="46" t="str">
        <f t="shared" si="16"/>
        <v/>
      </c>
      <c r="DX17" s="17" t="str">
        <f t="shared" si="16"/>
        <v/>
      </c>
      <c r="DY17" s="46" t="str">
        <f t="shared" si="16"/>
        <v/>
      </c>
      <c r="DZ17" s="17" t="str">
        <f t="shared" si="16"/>
        <v/>
      </c>
      <c r="EA17" s="46" t="str">
        <f t="shared" si="16"/>
        <v/>
      </c>
      <c r="EB17" s="17" t="str">
        <f t="shared" si="16"/>
        <v/>
      </c>
      <c r="EC17" s="46" t="str">
        <f t="shared" si="16"/>
        <v/>
      </c>
      <c r="ED17" s="17" t="str">
        <f t="shared" si="16"/>
        <v/>
      </c>
      <c r="EE17" s="46" t="str">
        <f t="shared" si="16"/>
        <v/>
      </c>
      <c r="EF17" s="17" t="str">
        <f t="shared" si="16"/>
        <v/>
      </c>
      <c r="EG17" s="46" t="str">
        <f t="shared" si="16"/>
        <v/>
      </c>
      <c r="EH17" s="17" t="str">
        <f t="shared" si="16"/>
        <v/>
      </c>
      <c r="EI17" s="46" t="str">
        <f t="shared" si="16"/>
        <v/>
      </c>
      <c r="EJ17" s="17" t="str">
        <f t="shared" si="16"/>
        <v/>
      </c>
      <c r="EK17" s="46" t="str">
        <f t="shared" si="16"/>
        <v/>
      </c>
      <c r="EL17" s="17" t="str">
        <f t="shared" si="16"/>
        <v/>
      </c>
      <c r="EM17" s="46" t="str">
        <f t="shared" si="16"/>
        <v/>
      </c>
      <c r="EN17" s="17" t="str">
        <f t="shared" si="16"/>
        <v/>
      </c>
      <c r="EO17" s="46" t="str">
        <f t="shared" si="16"/>
        <v/>
      </c>
      <c r="EP17" s="17" t="str">
        <f t="shared" si="16"/>
        <v/>
      </c>
    </row>
    <row r="18" ht="15.75" customHeight="1">
      <c r="A18" s="6" t="str">
        <f>Menus!B10</f>
        <v/>
      </c>
      <c r="B18" s="43">
        <f t="shared" si="11"/>
        <v>0</v>
      </c>
      <c r="C18" s="54" t="str">
        <f t="shared" ref="C18:EP18" si="17">IFERROR(
  LET(
    resultado,
      INDEX(
        INDIRECT($B$1),
        MATCH(RIGHT($A18, LEN($A18)-4), INDIRECT($B$3), 0),
        MATCH(C$1, INDIRECT($B$5), 0)
      ),
    IF(resultado="-", "", resultado) 
  ),
"")
</f>
        <v/>
      </c>
      <c r="D18" s="55" t="str">
        <f t="shared" si="17"/>
        <v/>
      </c>
      <c r="E18" s="46" t="str">
        <f t="shared" si="17"/>
        <v/>
      </c>
      <c r="F18" s="17" t="str">
        <f t="shared" si="17"/>
        <v/>
      </c>
      <c r="G18" s="46" t="str">
        <f t="shared" si="17"/>
        <v/>
      </c>
      <c r="H18" s="17" t="str">
        <f t="shared" si="17"/>
        <v/>
      </c>
      <c r="I18" s="46" t="str">
        <f t="shared" si="17"/>
        <v/>
      </c>
      <c r="J18" s="17" t="str">
        <f t="shared" si="17"/>
        <v/>
      </c>
      <c r="K18" s="46" t="str">
        <f t="shared" si="17"/>
        <v/>
      </c>
      <c r="L18" s="17" t="str">
        <f t="shared" si="17"/>
        <v/>
      </c>
      <c r="M18" s="46" t="str">
        <f t="shared" si="17"/>
        <v/>
      </c>
      <c r="N18" s="17" t="str">
        <f t="shared" si="17"/>
        <v/>
      </c>
      <c r="O18" s="46" t="str">
        <f t="shared" si="17"/>
        <v/>
      </c>
      <c r="P18" s="17" t="str">
        <f t="shared" si="17"/>
        <v/>
      </c>
      <c r="Q18" s="46" t="str">
        <f t="shared" si="17"/>
        <v/>
      </c>
      <c r="R18" s="17" t="str">
        <f t="shared" si="17"/>
        <v/>
      </c>
      <c r="S18" s="46" t="str">
        <f t="shared" si="17"/>
        <v/>
      </c>
      <c r="T18" s="17" t="str">
        <f t="shared" si="17"/>
        <v/>
      </c>
      <c r="U18" s="46" t="str">
        <f t="shared" si="17"/>
        <v/>
      </c>
      <c r="V18" s="17" t="str">
        <f t="shared" si="17"/>
        <v/>
      </c>
      <c r="W18" s="46" t="str">
        <f t="shared" si="17"/>
        <v/>
      </c>
      <c r="X18" s="17" t="str">
        <f t="shared" si="17"/>
        <v/>
      </c>
      <c r="Y18" s="46" t="str">
        <f t="shared" si="17"/>
        <v/>
      </c>
      <c r="Z18" s="17" t="str">
        <f t="shared" si="17"/>
        <v/>
      </c>
      <c r="AA18" s="46" t="str">
        <f t="shared" si="17"/>
        <v/>
      </c>
      <c r="AB18" s="17" t="str">
        <f t="shared" si="17"/>
        <v/>
      </c>
      <c r="AC18" s="46" t="str">
        <f t="shared" si="17"/>
        <v/>
      </c>
      <c r="AD18" s="17" t="str">
        <f t="shared" si="17"/>
        <v/>
      </c>
      <c r="AE18" s="46" t="str">
        <f t="shared" si="17"/>
        <v/>
      </c>
      <c r="AF18" s="17" t="str">
        <f t="shared" si="17"/>
        <v/>
      </c>
      <c r="AG18" s="46" t="str">
        <f t="shared" si="17"/>
        <v/>
      </c>
      <c r="AH18" s="17" t="str">
        <f t="shared" si="17"/>
        <v/>
      </c>
      <c r="AI18" s="46" t="str">
        <f t="shared" si="17"/>
        <v/>
      </c>
      <c r="AJ18" s="17" t="str">
        <f t="shared" si="17"/>
        <v/>
      </c>
      <c r="AK18" s="46" t="str">
        <f t="shared" si="17"/>
        <v/>
      </c>
      <c r="AL18" s="17" t="str">
        <f t="shared" si="17"/>
        <v/>
      </c>
      <c r="AM18" s="46" t="str">
        <f t="shared" si="17"/>
        <v/>
      </c>
      <c r="AN18" s="17" t="str">
        <f t="shared" si="17"/>
        <v/>
      </c>
      <c r="AO18" s="46" t="str">
        <f t="shared" si="17"/>
        <v/>
      </c>
      <c r="AP18" s="17" t="str">
        <f t="shared" si="17"/>
        <v/>
      </c>
      <c r="AQ18" s="46" t="str">
        <f t="shared" si="17"/>
        <v/>
      </c>
      <c r="AR18" s="17" t="str">
        <f t="shared" si="17"/>
        <v/>
      </c>
      <c r="AS18" s="46" t="str">
        <f t="shared" si="17"/>
        <v/>
      </c>
      <c r="AT18" s="17" t="str">
        <f t="shared" si="17"/>
        <v/>
      </c>
      <c r="AU18" s="46" t="str">
        <f t="shared" si="17"/>
        <v/>
      </c>
      <c r="AV18" s="17" t="str">
        <f t="shared" si="17"/>
        <v/>
      </c>
      <c r="AW18" s="46" t="str">
        <f t="shared" si="17"/>
        <v/>
      </c>
      <c r="AX18" s="17" t="str">
        <f t="shared" si="17"/>
        <v/>
      </c>
      <c r="AY18" s="46" t="str">
        <f t="shared" si="17"/>
        <v/>
      </c>
      <c r="AZ18" s="17" t="str">
        <f t="shared" si="17"/>
        <v/>
      </c>
      <c r="BA18" s="46" t="str">
        <f t="shared" si="17"/>
        <v/>
      </c>
      <c r="BB18" s="17" t="str">
        <f t="shared" si="17"/>
        <v/>
      </c>
      <c r="BC18" s="46" t="str">
        <f t="shared" si="17"/>
        <v/>
      </c>
      <c r="BD18" s="17" t="str">
        <f t="shared" si="17"/>
        <v/>
      </c>
      <c r="BE18" s="46" t="str">
        <f t="shared" si="17"/>
        <v/>
      </c>
      <c r="BF18" s="17" t="str">
        <f t="shared" si="17"/>
        <v/>
      </c>
      <c r="BG18" s="46" t="str">
        <f t="shared" si="17"/>
        <v/>
      </c>
      <c r="BH18" s="17" t="str">
        <f t="shared" si="17"/>
        <v/>
      </c>
      <c r="BI18" s="46" t="str">
        <f t="shared" si="17"/>
        <v/>
      </c>
      <c r="BJ18" s="17" t="str">
        <f t="shared" si="17"/>
        <v/>
      </c>
      <c r="BK18" s="46" t="str">
        <f t="shared" si="17"/>
        <v/>
      </c>
      <c r="BL18" s="17" t="str">
        <f t="shared" si="17"/>
        <v/>
      </c>
      <c r="BM18" s="46" t="str">
        <f t="shared" si="17"/>
        <v/>
      </c>
      <c r="BN18" s="17" t="str">
        <f t="shared" si="17"/>
        <v/>
      </c>
      <c r="BO18" s="46" t="str">
        <f t="shared" si="17"/>
        <v/>
      </c>
      <c r="BP18" s="17" t="str">
        <f t="shared" si="17"/>
        <v/>
      </c>
      <c r="BQ18" s="46" t="str">
        <f t="shared" si="17"/>
        <v/>
      </c>
      <c r="BR18" s="17" t="str">
        <f t="shared" si="17"/>
        <v/>
      </c>
      <c r="BS18" s="46" t="str">
        <f t="shared" si="17"/>
        <v/>
      </c>
      <c r="BT18" s="17" t="str">
        <f t="shared" si="17"/>
        <v/>
      </c>
      <c r="BU18" s="46" t="str">
        <f t="shared" si="17"/>
        <v/>
      </c>
      <c r="BV18" s="17" t="str">
        <f t="shared" si="17"/>
        <v/>
      </c>
      <c r="BW18" s="46" t="str">
        <f t="shared" si="17"/>
        <v/>
      </c>
      <c r="BX18" s="17" t="str">
        <f t="shared" si="17"/>
        <v/>
      </c>
      <c r="BY18" s="46" t="str">
        <f t="shared" si="17"/>
        <v/>
      </c>
      <c r="BZ18" s="17" t="str">
        <f t="shared" si="17"/>
        <v/>
      </c>
      <c r="CA18" s="46" t="str">
        <f t="shared" si="17"/>
        <v/>
      </c>
      <c r="CB18" s="17" t="str">
        <f t="shared" si="17"/>
        <v/>
      </c>
      <c r="CC18" s="46" t="str">
        <f t="shared" si="17"/>
        <v/>
      </c>
      <c r="CD18" s="17" t="str">
        <f t="shared" si="17"/>
        <v/>
      </c>
      <c r="CE18" s="46" t="str">
        <f t="shared" si="17"/>
        <v/>
      </c>
      <c r="CF18" s="17" t="str">
        <f t="shared" si="17"/>
        <v/>
      </c>
      <c r="CG18" s="46" t="str">
        <f t="shared" si="17"/>
        <v/>
      </c>
      <c r="CH18" s="17" t="str">
        <f t="shared" si="17"/>
        <v/>
      </c>
      <c r="CI18" s="46" t="str">
        <f t="shared" si="17"/>
        <v/>
      </c>
      <c r="CJ18" s="17" t="str">
        <f t="shared" si="17"/>
        <v/>
      </c>
      <c r="CK18" s="46" t="str">
        <f t="shared" si="17"/>
        <v/>
      </c>
      <c r="CL18" s="17" t="str">
        <f t="shared" si="17"/>
        <v/>
      </c>
      <c r="CM18" s="46" t="str">
        <f t="shared" si="17"/>
        <v/>
      </c>
      <c r="CN18" s="17" t="str">
        <f t="shared" si="17"/>
        <v/>
      </c>
      <c r="CO18" s="46" t="str">
        <f t="shared" si="17"/>
        <v/>
      </c>
      <c r="CP18" s="17" t="str">
        <f t="shared" si="17"/>
        <v/>
      </c>
      <c r="CQ18" s="46" t="str">
        <f t="shared" si="17"/>
        <v/>
      </c>
      <c r="CR18" s="17" t="str">
        <f t="shared" si="17"/>
        <v/>
      </c>
      <c r="CS18" s="46" t="str">
        <f t="shared" si="17"/>
        <v/>
      </c>
      <c r="CT18" s="17" t="str">
        <f t="shared" si="17"/>
        <v/>
      </c>
      <c r="CU18" s="46" t="str">
        <f t="shared" si="17"/>
        <v/>
      </c>
      <c r="CV18" s="17" t="str">
        <f t="shared" si="17"/>
        <v/>
      </c>
      <c r="CW18" s="46" t="str">
        <f t="shared" si="17"/>
        <v/>
      </c>
      <c r="CX18" s="17" t="str">
        <f t="shared" si="17"/>
        <v/>
      </c>
      <c r="CY18" s="46" t="str">
        <f t="shared" si="17"/>
        <v/>
      </c>
      <c r="CZ18" s="17" t="str">
        <f t="shared" si="17"/>
        <v/>
      </c>
      <c r="DA18" s="46" t="str">
        <f t="shared" si="17"/>
        <v/>
      </c>
      <c r="DB18" s="17" t="str">
        <f t="shared" si="17"/>
        <v/>
      </c>
      <c r="DC18" s="46" t="str">
        <f t="shared" si="17"/>
        <v/>
      </c>
      <c r="DD18" s="17" t="str">
        <f t="shared" si="17"/>
        <v/>
      </c>
      <c r="DE18" s="46" t="str">
        <f t="shared" si="17"/>
        <v/>
      </c>
      <c r="DF18" s="17" t="str">
        <f t="shared" si="17"/>
        <v/>
      </c>
      <c r="DG18" s="46" t="str">
        <f t="shared" si="17"/>
        <v/>
      </c>
      <c r="DH18" s="17" t="str">
        <f t="shared" si="17"/>
        <v/>
      </c>
      <c r="DI18" s="46" t="str">
        <f t="shared" si="17"/>
        <v/>
      </c>
      <c r="DJ18" s="17" t="str">
        <f t="shared" si="17"/>
        <v/>
      </c>
      <c r="DK18" s="46" t="str">
        <f t="shared" si="17"/>
        <v/>
      </c>
      <c r="DL18" s="17" t="str">
        <f t="shared" si="17"/>
        <v/>
      </c>
      <c r="DM18" s="46" t="str">
        <f t="shared" si="17"/>
        <v/>
      </c>
      <c r="DN18" s="17" t="str">
        <f t="shared" si="17"/>
        <v/>
      </c>
      <c r="DO18" s="46" t="str">
        <f t="shared" si="17"/>
        <v/>
      </c>
      <c r="DP18" s="17" t="str">
        <f t="shared" si="17"/>
        <v/>
      </c>
      <c r="DQ18" s="46" t="str">
        <f t="shared" si="17"/>
        <v/>
      </c>
      <c r="DR18" s="17" t="str">
        <f t="shared" si="17"/>
        <v/>
      </c>
      <c r="DS18" s="46" t="str">
        <f t="shared" si="17"/>
        <v/>
      </c>
      <c r="DT18" s="17" t="str">
        <f t="shared" si="17"/>
        <v/>
      </c>
      <c r="DU18" s="46" t="str">
        <f t="shared" si="17"/>
        <v/>
      </c>
      <c r="DV18" s="17" t="str">
        <f t="shared" si="17"/>
        <v/>
      </c>
      <c r="DW18" s="46" t="str">
        <f t="shared" si="17"/>
        <v/>
      </c>
      <c r="DX18" s="17" t="str">
        <f t="shared" si="17"/>
        <v/>
      </c>
      <c r="DY18" s="46" t="str">
        <f t="shared" si="17"/>
        <v/>
      </c>
      <c r="DZ18" s="17" t="str">
        <f t="shared" si="17"/>
        <v/>
      </c>
      <c r="EA18" s="46" t="str">
        <f t="shared" si="17"/>
        <v/>
      </c>
      <c r="EB18" s="17" t="str">
        <f t="shared" si="17"/>
        <v/>
      </c>
      <c r="EC18" s="46" t="str">
        <f t="shared" si="17"/>
        <v/>
      </c>
      <c r="ED18" s="17" t="str">
        <f t="shared" si="17"/>
        <v/>
      </c>
      <c r="EE18" s="46" t="str">
        <f t="shared" si="17"/>
        <v/>
      </c>
      <c r="EF18" s="17" t="str">
        <f t="shared" si="17"/>
        <v/>
      </c>
      <c r="EG18" s="46" t="str">
        <f t="shared" si="17"/>
        <v/>
      </c>
      <c r="EH18" s="17" t="str">
        <f t="shared" si="17"/>
        <v/>
      </c>
      <c r="EI18" s="46" t="str">
        <f t="shared" si="17"/>
        <v/>
      </c>
      <c r="EJ18" s="17" t="str">
        <f t="shared" si="17"/>
        <v/>
      </c>
      <c r="EK18" s="46" t="str">
        <f t="shared" si="17"/>
        <v/>
      </c>
      <c r="EL18" s="17" t="str">
        <f t="shared" si="17"/>
        <v/>
      </c>
      <c r="EM18" s="46" t="str">
        <f t="shared" si="17"/>
        <v/>
      </c>
      <c r="EN18" s="17" t="str">
        <f t="shared" si="17"/>
        <v/>
      </c>
      <c r="EO18" s="46" t="str">
        <f t="shared" si="17"/>
        <v/>
      </c>
      <c r="EP18" s="17" t="str">
        <f t="shared" si="17"/>
        <v/>
      </c>
    </row>
    <row r="19" ht="15.75" customHeight="1">
      <c r="A19" s="6" t="str">
        <f>Menus!B11</f>
        <v/>
      </c>
      <c r="B19" s="43">
        <f t="shared" si="11"/>
        <v>0</v>
      </c>
      <c r="C19" s="54" t="str">
        <f t="shared" ref="C19:EP19" si="18">IFERROR(
  LET(
    resultado,
      INDEX(
        INDIRECT($B$1),
        MATCH(RIGHT($A19, LEN($A19)-4), INDIRECT($B$3), 0),
        MATCH(C$1, INDIRECT($B$5), 0)
      ),
    IF(resultado="-", "", resultado) 
  ),
"")
</f>
        <v/>
      </c>
      <c r="D19" s="55" t="str">
        <f t="shared" si="18"/>
        <v/>
      </c>
      <c r="E19" s="46" t="str">
        <f t="shared" si="18"/>
        <v/>
      </c>
      <c r="F19" s="17" t="str">
        <f t="shared" si="18"/>
        <v/>
      </c>
      <c r="G19" s="46" t="str">
        <f t="shared" si="18"/>
        <v/>
      </c>
      <c r="H19" s="17" t="str">
        <f t="shared" si="18"/>
        <v/>
      </c>
      <c r="I19" s="46" t="str">
        <f t="shared" si="18"/>
        <v/>
      </c>
      <c r="J19" s="17" t="str">
        <f t="shared" si="18"/>
        <v/>
      </c>
      <c r="K19" s="46" t="str">
        <f t="shared" si="18"/>
        <v/>
      </c>
      <c r="L19" s="17" t="str">
        <f t="shared" si="18"/>
        <v/>
      </c>
      <c r="M19" s="46" t="str">
        <f t="shared" si="18"/>
        <v/>
      </c>
      <c r="N19" s="17" t="str">
        <f t="shared" si="18"/>
        <v/>
      </c>
      <c r="O19" s="46" t="str">
        <f t="shared" si="18"/>
        <v/>
      </c>
      <c r="P19" s="17" t="str">
        <f t="shared" si="18"/>
        <v/>
      </c>
      <c r="Q19" s="46" t="str">
        <f t="shared" si="18"/>
        <v/>
      </c>
      <c r="R19" s="17" t="str">
        <f t="shared" si="18"/>
        <v/>
      </c>
      <c r="S19" s="46" t="str">
        <f t="shared" si="18"/>
        <v/>
      </c>
      <c r="T19" s="17" t="str">
        <f t="shared" si="18"/>
        <v/>
      </c>
      <c r="U19" s="46" t="str">
        <f t="shared" si="18"/>
        <v/>
      </c>
      <c r="V19" s="17" t="str">
        <f t="shared" si="18"/>
        <v/>
      </c>
      <c r="W19" s="46" t="str">
        <f t="shared" si="18"/>
        <v/>
      </c>
      <c r="X19" s="17" t="str">
        <f t="shared" si="18"/>
        <v/>
      </c>
      <c r="Y19" s="46" t="str">
        <f t="shared" si="18"/>
        <v/>
      </c>
      <c r="Z19" s="17" t="str">
        <f t="shared" si="18"/>
        <v/>
      </c>
      <c r="AA19" s="46" t="str">
        <f t="shared" si="18"/>
        <v/>
      </c>
      <c r="AB19" s="17" t="str">
        <f t="shared" si="18"/>
        <v/>
      </c>
      <c r="AC19" s="46" t="str">
        <f t="shared" si="18"/>
        <v/>
      </c>
      <c r="AD19" s="17" t="str">
        <f t="shared" si="18"/>
        <v/>
      </c>
      <c r="AE19" s="46" t="str">
        <f t="shared" si="18"/>
        <v/>
      </c>
      <c r="AF19" s="17" t="str">
        <f t="shared" si="18"/>
        <v/>
      </c>
      <c r="AG19" s="46" t="str">
        <f t="shared" si="18"/>
        <v/>
      </c>
      <c r="AH19" s="17" t="str">
        <f t="shared" si="18"/>
        <v/>
      </c>
      <c r="AI19" s="46" t="str">
        <f t="shared" si="18"/>
        <v/>
      </c>
      <c r="AJ19" s="17" t="str">
        <f t="shared" si="18"/>
        <v/>
      </c>
      <c r="AK19" s="46" t="str">
        <f t="shared" si="18"/>
        <v/>
      </c>
      <c r="AL19" s="17" t="str">
        <f t="shared" si="18"/>
        <v/>
      </c>
      <c r="AM19" s="46" t="str">
        <f t="shared" si="18"/>
        <v/>
      </c>
      <c r="AN19" s="17" t="str">
        <f t="shared" si="18"/>
        <v/>
      </c>
      <c r="AO19" s="46" t="str">
        <f t="shared" si="18"/>
        <v/>
      </c>
      <c r="AP19" s="17" t="str">
        <f t="shared" si="18"/>
        <v/>
      </c>
      <c r="AQ19" s="46" t="str">
        <f t="shared" si="18"/>
        <v/>
      </c>
      <c r="AR19" s="17" t="str">
        <f t="shared" si="18"/>
        <v/>
      </c>
      <c r="AS19" s="46" t="str">
        <f t="shared" si="18"/>
        <v/>
      </c>
      <c r="AT19" s="17" t="str">
        <f t="shared" si="18"/>
        <v/>
      </c>
      <c r="AU19" s="46" t="str">
        <f t="shared" si="18"/>
        <v/>
      </c>
      <c r="AV19" s="17" t="str">
        <f t="shared" si="18"/>
        <v/>
      </c>
      <c r="AW19" s="46" t="str">
        <f t="shared" si="18"/>
        <v/>
      </c>
      <c r="AX19" s="17" t="str">
        <f t="shared" si="18"/>
        <v/>
      </c>
      <c r="AY19" s="46" t="str">
        <f t="shared" si="18"/>
        <v/>
      </c>
      <c r="AZ19" s="17" t="str">
        <f t="shared" si="18"/>
        <v/>
      </c>
      <c r="BA19" s="46" t="str">
        <f t="shared" si="18"/>
        <v/>
      </c>
      <c r="BB19" s="17" t="str">
        <f t="shared" si="18"/>
        <v/>
      </c>
      <c r="BC19" s="46" t="str">
        <f t="shared" si="18"/>
        <v/>
      </c>
      <c r="BD19" s="17" t="str">
        <f t="shared" si="18"/>
        <v/>
      </c>
      <c r="BE19" s="46" t="str">
        <f t="shared" si="18"/>
        <v/>
      </c>
      <c r="BF19" s="17" t="str">
        <f t="shared" si="18"/>
        <v/>
      </c>
      <c r="BG19" s="46" t="str">
        <f t="shared" si="18"/>
        <v/>
      </c>
      <c r="BH19" s="17" t="str">
        <f t="shared" si="18"/>
        <v/>
      </c>
      <c r="BI19" s="46" t="str">
        <f t="shared" si="18"/>
        <v/>
      </c>
      <c r="BJ19" s="17" t="str">
        <f t="shared" si="18"/>
        <v/>
      </c>
      <c r="BK19" s="46" t="str">
        <f t="shared" si="18"/>
        <v/>
      </c>
      <c r="BL19" s="17" t="str">
        <f t="shared" si="18"/>
        <v/>
      </c>
      <c r="BM19" s="46" t="str">
        <f t="shared" si="18"/>
        <v/>
      </c>
      <c r="BN19" s="17" t="str">
        <f t="shared" si="18"/>
        <v/>
      </c>
      <c r="BO19" s="46" t="str">
        <f t="shared" si="18"/>
        <v/>
      </c>
      <c r="BP19" s="17" t="str">
        <f t="shared" si="18"/>
        <v/>
      </c>
      <c r="BQ19" s="46" t="str">
        <f t="shared" si="18"/>
        <v/>
      </c>
      <c r="BR19" s="17" t="str">
        <f t="shared" si="18"/>
        <v/>
      </c>
      <c r="BS19" s="46" t="str">
        <f t="shared" si="18"/>
        <v/>
      </c>
      <c r="BT19" s="17" t="str">
        <f t="shared" si="18"/>
        <v/>
      </c>
      <c r="BU19" s="46" t="str">
        <f t="shared" si="18"/>
        <v/>
      </c>
      <c r="BV19" s="17" t="str">
        <f t="shared" si="18"/>
        <v/>
      </c>
      <c r="BW19" s="46" t="str">
        <f t="shared" si="18"/>
        <v/>
      </c>
      <c r="BX19" s="17" t="str">
        <f t="shared" si="18"/>
        <v/>
      </c>
      <c r="BY19" s="46" t="str">
        <f t="shared" si="18"/>
        <v/>
      </c>
      <c r="BZ19" s="17" t="str">
        <f t="shared" si="18"/>
        <v/>
      </c>
      <c r="CA19" s="46" t="str">
        <f t="shared" si="18"/>
        <v/>
      </c>
      <c r="CB19" s="17" t="str">
        <f t="shared" si="18"/>
        <v/>
      </c>
      <c r="CC19" s="46" t="str">
        <f t="shared" si="18"/>
        <v/>
      </c>
      <c r="CD19" s="17" t="str">
        <f t="shared" si="18"/>
        <v/>
      </c>
      <c r="CE19" s="46" t="str">
        <f t="shared" si="18"/>
        <v/>
      </c>
      <c r="CF19" s="17" t="str">
        <f t="shared" si="18"/>
        <v/>
      </c>
      <c r="CG19" s="46" t="str">
        <f t="shared" si="18"/>
        <v/>
      </c>
      <c r="CH19" s="17" t="str">
        <f t="shared" si="18"/>
        <v/>
      </c>
      <c r="CI19" s="46" t="str">
        <f t="shared" si="18"/>
        <v/>
      </c>
      <c r="CJ19" s="17" t="str">
        <f t="shared" si="18"/>
        <v/>
      </c>
      <c r="CK19" s="46" t="str">
        <f t="shared" si="18"/>
        <v/>
      </c>
      <c r="CL19" s="17" t="str">
        <f t="shared" si="18"/>
        <v/>
      </c>
      <c r="CM19" s="46" t="str">
        <f t="shared" si="18"/>
        <v/>
      </c>
      <c r="CN19" s="17" t="str">
        <f t="shared" si="18"/>
        <v/>
      </c>
      <c r="CO19" s="46" t="str">
        <f t="shared" si="18"/>
        <v/>
      </c>
      <c r="CP19" s="17" t="str">
        <f t="shared" si="18"/>
        <v/>
      </c>
      <c r="CQ19" s="46" t="str">
        <f t="shared" si="18"/>
        <v/>
      </c>
      <c r="CR19" s="17" t="str">
        <f t="shared" si="18"/>
        <v/>
      </c>
      <c r="CS19" s="46" t="str">
        <f t="shared" si="18"/>
        <v/>
      </c>
      <c r="CT19" s="17" t="str">
        <f t="shared" si="18"/>
        <v/>
      </c>
      <c r="CU19" s="46" t="str">
        <f t="shared" si="18"/>
        <v/>
      </c>
      <c r="CV19" s="17" t="str">
        <f t="shared" si="18"/>
        <v/>
      </c>
      <c r="CW19" s="46" t="str">
        <f t="shared" si="18"/>
        <v/>
      </c>
      <c r="CX19" s="17" t="str">
        <f t="shared" si="18"/>
        <v/>
      </c>
      <c r="CY19" s="46" t="str">
        <f t="shared" si="18"/>
        <v/>
      </c>
      <c r="CZ19" s="17" t="str">
        <f t="shared" si="18"/>
        <v/>
      </c>
      <c r="DA19" s="46" t="str">
        <f t="shared" si="18"/>
        <v/>
      </c>
      <c r="DB19" s="17" t="str">
        <f t="shared" si="18"/>
        <v/>
      </c>
      <c r="DC19" s="46" t="str">
        <f t="shared" si="18"/>
        <v/>
      </c>
      <c r="DD19" s="17" t="str">
        <f t="shared" si="18"/>
        <v/>
      </c>
      <c r="DE19" s="46" t="str">
        <f t="shared" si="18"/>
        <v/>
      </c>
      <c r="DF19" s="17" t="str">
        <f t="shared" si="18"/>
        <v/>
      </c>
      <c r="DG19" s="46" t="str">
        <f t="shared" si="18"/>
        <v/>
      </c>
      <c r="DH19" s="17" t="str">
        <f t="shared" si="18"/>
        <v/>
      </c>
      <c r="DI19" s="46" t="str">
        <f t="shared" si="18"/>
        <v/>
      </c>
      <c r="DJ19" s="17" t="str">
        <f t="shared" si="18"/>
        <v/>
      </c>
      <c r="DK19" s="46" t="str">
        <f t="shared" si="18"/>
        <v/>
      </c>
      <c r="DL19" s="17" t="str">
        <f t="shared" si="18"/>
        <v/>
      </c>
      <c r="DM19" s="46" t="str">
        <f t="shared" si="18"/>
        <v/>
      </c>
      <c r="DN19" s="17" t="str">
        <f t="shared" si="18"/>
        <v/>
      </c>
      <c r="DO19" s="46" t="str">
        <f t="shared" si="18"/>
        <v/>
      </c>
      <c r="DP19" s="17" t="str">
        <f t="shared" si="18"/>
        <v/>
      </c>
      <c r="DQ19" s="46" t="str">
        <f t="shared" si="18"/>
        <v/>
      </c>
      <c r="DR19" s="17" t="str">
        <f t="shared" si="18"/>
        <v/>
      </c>
      <c r="DS19" s="46" t="str">
        <f t="shared" si="18"/>
        <v/>
      </c>
      <c r="DT19" s="17" t="str">
        <f t="shared" si="18"/>
        <v/>
      </c>
      <c r="DU19" s="46" t="str">
        <f t="shared" si="18"/>
        <v/>
      </c>
      <c r="DV19" s="17" t="str">
        <f t="shared" si="18"/>
        <v/>
      </c>
      <c r="DW19" s="46" t="str">
        <f t="shared" si="18"/>
        <v/>
      </c>
      <c r="DX19" s="17" t="str">
        <f t="shared" si="18"/>
        <v/>
      </c>
      <c r="DY19" s="46" t="str">
        <f t="shared" si="18"/>
        <v/>
      </c>
      <c r="DZ19" s="17" t="str">
        <f t="shared" si="18"/>
        <v/>
      </c>
      <c r="EA19" s="46" t="str">
        <f t="shared" si="18"/>
        <v/>
      </c>
      <c r="EB19" s="17" t="str">
        <f t="shared" si="18"/>
        <v/>
      </c>
      <c r="EC19" s="46" t="str">
        <f t="shared" si="18"/>
        <v/>
      </c>
      <c r="ED19" s="17" t="str">
        <f t="shared" si="18"/>
        <v/>
      </c>
      <c r="EE19" s="46" t="str">
        <f t="shared" si="18"/>
        <v/>
      </c>
      <c r="EF19" s="17" t="str">
        <f t="shared" si="18"/>
        <v/>
      </c>
      <c r="EG19" s="46" t="str">
        <f t="shared" si="18"/>
        <v/>
      </c>
      <c r="EH19" s="17" t="str">
        <f t="shared" si="18"/>
        <v/>
      </c>
      <c r="EI19" s="46" t="str">
        <f t="shared" si="18"/>
        <v/>
      </c>
      <c r="EJ19" s="17" t="str">
        <f t="shared" si="18"/>
        <v/>
      </c>
      <c r="EK19" s="46" t="str">
        <f t="shared" si="18"/>
        <v/>
      </c>
      <c r="EL19" s="17" t="str">
        <f t="shared" si="18"/>
        <v/>
      </c>
      <c r="EM19" s="46" t="str">
        <f t="shared" si="18"/>
        <v/>
      </c>
      <c r="EN19" s="17" t="str">
        <f t="shared" si="18"/>
        <v/>
      </c>
      <c r="EO19" s="46" t="str">
        <f t="shared" si="18"/>
        <v/>
      </c>
      <c r="EP19" s="17" t="str">
        <f t="shared" si="18"/>
        <v/>
      </c>
    </row>
    <row r="20" ht="15.75" customHeight="1">
      <c r="A20" s="6" t="str">
        <f>Menus!B12</f>
        <v/>
      </c>
      <c r="B20" s="43">
        <f t="shared" si="11"/>
        <v>0</v>
      </c>
      <c r="C20" s="54" t="str">
        <f t="shared" ref="C20:EP20" si="19">IFERROR(
  LET(
    resultado,
      INDEX(
        INDIRECT($B$1),
        MATCH(RIGHT($A20, LEN($A20)-4), INDIRECT($B$3), 0),
        MATCH(C$1, INDIRECT($B$5), 0)
      ),
    IF(resultado="-", "", resultado) 
  ),
"")
</f>
        <v/>
      </c>
      <c r="D20" s="55" t="str">
        <f t="shared" si="19"/>
        <v/>
      </c>
      <c r="E20" s="46" t="str">
        <f t="shared" si="19"/>
        <v/>
      </c>
      <c r="F20" s="17" t="str">
        <f t="shared" si="19"/>
        <v/>
      </c>
      <c r="G20" s="46" t="str">
        <f t="shared" si="19"/>
        <v/>
      </c>
      <c r="H20" s="17" t="str">
        <f t="shared" si="19"/>
        <v/>
      </c>
      <c r="I20" s="46" t="str">
        <f t="shared" si="19"/>
        <v/>
      </c>
      <c r="J20" s="17" t="str">
        <f t="shared" si="19"/>
        <v/>
      </c>
      <c r="K20" s="46" t="str">
        <f t="shared" si="19"/>
        <v/>
      </c>
      <c r="L20" s="17" t="str">
        <f t="shared" si="19"/>
        <v/>
      </c>
      <c r="M20" s="46" t="str">
        <f t="shared" si="19"/>
        <v/>
      </c>
      <c r="N20" s="17" t="str">
        <f t="shared" si="19"/>
        <v/>
      </c>
      <c r="O20" s="46" t="str">
        <f t="shared" si="19"/>
        <v/>
      </c>
      <c r="P20" s="17" t="str">
        <f t="shared" si="19"/>
        <v/>
      </c>
      <c r="Q20" s="46" t="str">
        <f t="shared" si="19"/>
        <v/>
      </c>
      <c r="R20" s="17" t="str">
        <f t="shared" si="19"/>
        <v/>
      </c>
      <c r="S20" s="46" t="str">
        <f t="shared" si="19"/>
        <v/>
      </c>
      <c r="T20" s="17" t="str">
        <f t="shared" si="19"/>
        <v/>
      </c>
      <c r="U20" s="46" t="str">
        <f t="shared" si="19"/>
        <v/>
      </c>
      <c r="V20" s="17" t="str">
        <f t="shared" si="19"/>
        <v/>
      </c>
      <c r="W20" s="46" t="str">
        <f t="shared" si="19"/>
        <v/>
      </c>
      <c r="X20" s="17" t="str">
        <f t="shared" si="19"/>
        <v/>
      </c>
      <c r="Y20" s="46" t="str">
        <f t="shared" si="19"/>
        <v/>
      </c>
      <c r="Z20" s="17" t="str">
        <f t="shared" si="19"/>
        <v/>
      </c>
      <c r="AA20" s="46" t="str">
        <f t="shared" si="19"/>
        <v/>
      </c>
      <c r="AB20" s="17" t="str">
        <f t="shared" si="19"/>
        <v/>
      </c>
      <c r="AC20" s="46" t="str">
        <f t="shared" si="19"/>
        <v/>
      </c>
      <c r="AD20" s="17" t="str">
        <f t="shared" si="19"/>
        <v/>
      </c>
      <c r="AE20" s="46" t="str">
        <f t="shared" si="19"/>
        <v/>
      </c>
      <c r="AF20" s="17" t="str">
        <f t="shared" si="19"/>
        <v/>
      </c>
      <c r="AG20" s="46" t="str">
        <f t="shared" si="19"/>
        <v/>
      </c>
      <c r="AH20" s="17" t="str">
        <f t="shared" si="19"/>
        <v/>
      </c>
      <c r="AI20" s="46" t="str">
        <f t="shared" si="19"/>
        <v/>
      </c>
      <c r="AJ20" s="17" t="str">
        <f t="shared" si="19"/>
        <v/>
      </c>
      <c r="AK20" s="46" t="str">
        <f t="shared" si="19"/>
        <v/>
      </c>
      <c r="AL20" s="17" t="str">
        <f t="shared" si="19"/>
        <v/>
      </c>
      <c r="AM20" s="46" t="str">
        <f t="shared" si="19"/>
        <v/>
      </c>
      <c r="AN20" s="17" t="str">
        <f t="shared" si="19"/>
        <v/>
      </c>
      <c r="AO20" s="46" t="str">
        <f t="shared" si="19"/>
        <v/>
      </c>
      <c r="AP20" s="17" t="str">
        <f t="shared" si="19"/>
        <v/>
      </c>
      <c r="AQ20" s="46" t="str">
        <f t="shared" si="19"/>
        <v/>
      </c>
      <c r="AR20" s="17" t="str">
        <f t="shared" si="19"/>
        <v/>
      </c>
      <c r="AS20" s="46" t="str">
        <f t="shared" si="19"/>
        <v/>
      </c>
      <c r="AT20" s="17" t="str">
        <f t="shared" si="19"/>
        <v/>
      </c>
      <c r="AU20" s="46" t="str">
        <f t="shared" si="19"/>
        <v/>
      </c>
      <c r="AV20" s="17" t="str">
        <f t="shared" si="19"/>
        <v/>
      </c>
      <c r="AW20" s="46" t="str">
        <f t="shared" si="19"/>
        <v/>
      </c>
      <c r="AX20" s="17" t="str">
        <f t="shared" si="19"/>
        <v/>
      </c>
      <c r="AY20" s="46" t="str">
        <f t="shared" si="19"/>
        <v/>
      </c>
      <c r="AZ20" s="17" t="str">
        <f t="shared" si="19"/>
        <v/>
      </c>
      <c r="BA20" s="46" t="str">
        <f t="shared" si="19"/>
        <v/>
      </c>
      <c r="BB20" s="17" t="str">
        <f t="shared" si="19"/>
        <v/>
      </c>
      <c r="BC20" s="46" t="str">
        <f t="shared" si="19"/>
        <v/>
      </c>
      <c r="BD20" s="17" t="str">
        <f t="shared" si="19"/>
        <v/>
      </c>
      <c r="BE20" s="46" t="str">
        <f t="shared" si="19"/>
        <v/>
      </c>
      <c r="BF20" s="17" t="str">
        <f t="shared" si="19"/>
        <v/>
      </c>
      <c r="BG20" s="46" t="str">
        <f t="shared" si="19"/>
        <v/>
      </c>
      <c r="BH20" s="17" t="str">
        <f t="shared" si="19"/>
        <v/>
      </c>
      <c r="BI20" s="46" t="str">
        <f t="shared" si="19"/>
        <v/>
      </c>
      <c r="BJ20" s="17" t="str">
        <f t="shared" si="19"/>
        <v/>
      </c>
      <c r="BK20" s="46" t="str">
        <f t="shared" si="19"/>
        <v/>
      </c>
      <c r="BL20" s="17" t="str">
        <f t="shared" si="19"/>
        <v/>
      </c>
      <c r="BM20" s="46" t="str">
        <f t="shared" si="19"/>
        <v/>
      </c>
      <c r="BN20" s="17" t="str">
        <f t="shared" si="19"/>
        <v/>
      </c>
      <c r="BO20" s="46" t="str">
        <f t="shared" si="19"/>
        <v/>
      </c>
      <c r="BP20" s="17" t="str">
        <f t="shared" si="19"/>
        <v/>
      </c>
      <c r="BQ20" s="46" t="str">
        <f t="shared" si="19"/>
        <v/>
      </c>
      <c r="BR20" s="17" t="str">
        <f t="shared" si="19"/>
        <v/>
      </c>
      <c r="BS20" s="46" t="str">
        <f t="shared" si="19"/>
        <v/>
      </c>
      <c r="BT20" s="17" t="str">
        <f t="shared" si="19"/>
        <v/>
      </c>
      <c r="BU20" s="46" t="str">
        <f t="shared" si="19"/>
        <v/>
      </c>
      <c r="BV20" s="17" t="str">
        <f t="shared" si="19"/>
        <v/>
      </c>
      <c r="BW20" s="46" t="str">
        <f t="shared" si="19"/>
        <v/>
      </c>
      <c r="BX20" s="17" t="str">
        <f t="shared" si="19"/>
        <v/>
      </c>
      <c r="BY20" s="46" t="str">
        <f t="shared" si="19"/>
        <v/>
      </c>
      <c r="BZ20" s="17" t="str">
        <f t="shared" si="19"/>
        <v/>
      </c>
      <c r="CA20" s="46" t="str">
        <f t="shared" si="19"/>
        <v/>
      </c>
      <c r="CB20" s="17" t="str">
        <f t="shared" si="19"/>
        <v/>
      </c>
      <c r="CC20" s="46" t="str">
        <f t="shared" si="19"/>
        <v/>
      </c>
      <c r="CD20" s="17" t="str">
        <f t="shared" si="19"/>
        <v/>
      </c>
      <c r="CE20" s="46" t="str">
        <f t="shared" si="19"/>
        <v/>
      </c>
      <c r="CF20" s="17" t="str">
        <f t="shared" si="19"/>
        <v/>
      </c>
      <c r="CG20" s="46" t="str">
        <f t="shared" si="19"/>
        <v/>
      </c>
      <c r="CH20" s="17" t="str">
        <f t="shared" si="19"/>
        <v/>
      </c>
      <c r="CI20" s="46" t="str">
        <f t="shared" si="19"/>
        <v/>
      </c>
      <c r="CJ20" s="17" t="str">
        <f t="shared" si="19"/>
        <v/>
      </c>
      <c r="CK20" s="46" t="str">
        <f t="shared" si="19"/>
        <v/>
      </c>
      <c r="CL20" s="17" t="str">
        <f t="shared" si="19"/>
        <v/>
      </c>
      <c r="CM20" s="46" t="str">
        <f t="shared" si="19"/>
        <v/>
      </c>
      <c r="CN20" s="17" t="str">
        <f t="shared" si="19"/>
        <v/>
      </c>
      <c r="CO20" s="46" t="str">
        <f t="shared" si="19"/>
        <v/>
      </c>
      <c r="CP20" s="17" t="str">
        <f t="shared" si="19"/>
        <v/>
      </c>
      <c r="CQ20" s="46" t="str">
        <f t="shared" si="19"/>
        <v/>
      </c>
      <c r="CR20" s="17" t="str">
        <f t="shared" si="19"/>
        <v/>
      </c>
      <c r="CS20" s="46" t="str">
        <f t="shared" si="19"/>
        <v/>
      </c>
      <c r="CT20" s="17" t="str">
        <f t="shared" si="19"/>
        <v/>
      </c>
      <c r="CU20" s="46" t="str">
        <f t="shared" si="19"/>
        <v/>
      </c>
      <c r="CV20" s="17" t="str">
        <f t="shared" si="19"/>
        <v/>
      </c>
      <c r="CW20" s="46" t="str">
        <f t="shared" si="19"/>
        <v/>
      </c>
      <c r="CX20" s="17" t="str">
        <f t="shared" si="19"/>
        <v/>
      </c>
      <c r="CY20" s="46" t="str">
        <f t="shared" si="19"/>
        <v/>
      </c>
      <c r="CZ20" s="17" t="str">
        <f t="shared" si="19"/>
        <v/>
      </c>
      <c r="DA20" s="46" t="str">
        <f t="shared" si="19"/>
        <v/>
      </c>
      <c r="DB20" s="17" t="str">
        <f t="shared" si="19"/>
        <v/>
      </c>
      <c r="DC20" s="46" t="str">
        <f t="shared" si="19"/>
        <v/>
      </c>
      <c r="DD20" s="17" t="str">
        <f t="shared" si="19"/>
        <v/>
      </c>
      <c r="DE20" s="46" t="str">
        <f t="shared" si="19"/>
        <v/>
      </c>
      <c r="DF20" s="17" t="str">
        <f t="shared" si="19"/>
        <v/>
      </c>
      <c r="DG20" s="46" t="str">
        <f t="shared" si="19"/>
        <v/>
      </c>
      <c r="DH20" s="17" t="str">
        <f t="shared" si="19"/>
        <v/>
      </c>
      <c r="DI20" s="46" t="str">
        <f t="shared" si="19"/>
        <v/>
      </c>
      <c r="DJ20" s="17" t="str">
        <f t="shared" si="19"/>
        <v/>
      </c>
      <c r="DK20" s="46" t="str">
        <f t="shared" si="19"/>
        <v/>
      </c>
      <c r="DL20" s="17" t="str">
        <f t="shared" si="19"/>
        <v/>
      </c>
      <c r="DM20" s="46" t="str">
        <f t="shared" si="19"/>
        <v/>
      </c>
      <c r="DN20" s="17" t="str">
        <f t="shared" si="19"/>
        <v/>
      </c>
      <c r="DO20" s="46" t="str">
        <f t="shared" si="19"/>
        <v/>
      </c>
      <c r="DP20" s="17" t="str">
        <f t="shared" si="19"/>
        <v/>
      </c>
      <c r="DQ20" s="46" t="str">
        <f t="shared" si="19"/>
        <v/>
      </c>
      <c r="DR20" s="17" t="str">
        <f t="shared" si="19"/>
        <v/>
      </c>
      <c r="DS20" s="46" t="str">
        <f t="shared" si="19"/>
        <v/>
      </c>
      <c r="DT20" s="17" t="str">
        <f t="shared" si="19"/>
        <v/>
      </c>
      <c r="DU20" s="46" t="str">
        <f t="shared" si="19"/>
        <v/>
      </c>
      <c r="DV20" s="17" t="str">
        <f t="shared" si="19"/>
        <v/>
      </c>
      <c r="DW20" s="46" t="str">
        <f t="shared" si="19"/>
        <v/>
      </c>
      <c r="DX20" s="17" t="str">
        <f t="shared" si="19"/>
        <v/>
      </c>
      <c r="DY20" s="46" t="str">
        <f t="shared" si="19"/>
        <v/>
      </c>
      <c r="DZ20" s="17" t="str">
        <f t="shared" si="19"/>
        <v/>
      </c>
      <c r="EA20" s="46" t="str">
        <f t="shared" si="19"/>
        <v/>
      </c>
      <c r="EB20" s="17" t="str">
        <f t="shared" si="19"/>
        <v/>
      </c>
      <c r="EC20" s="46" t="str">
        <f t="shared" si="19"/>
        <v/>
      </c>
      <c r="ED20" s="17" t="str">
        <f t="shared" si="19"/>
        <v/>
      </c>
      <c r="EE20" s="46" t="str">
        <f t="shared" si="19"/>
        <v/>
      </c>
      <c r="EF20" s="17" t="str">
        <f t="shared" si="19"/>
        <v/>
      </c>
      <c r="EG20" s="46" t="str">
        <f t="shared" si="19"/>
        <v/>
      </c>
      <c r="EH20" s="17" t="str">
        <f t="shared" si="19"/>
        <v/>
      </c>
      <c r="EI20" s="46" t="str">
        <f t="shared" si="19"/>
        <v/>
      </c>
      <c r="EJ20" s="17" t="str">
        <f t="shared" si="19"/>
        <v/>
      </c>
      <c r="EK20" s="46" t="str">
        <f t="shared" si="19"/>
        <v/>
      </c>
      <c r="EL20" s="17" t="str">
        <f t="shared" si="19"/>
        <v/>
      </c>
      <c r="EM20" s="46" t="str">
        <f t="shared" si="19"/>
        <v/>
      </c>
      <c r="EN20" s="17" t="str">
        <f t="shared" si="19"/>
        <v/>
      </c>
      <c r="EO20" s="46" t="str">
        <f t="shared" si="19"/>
        <v/>
      </c>
      <c r="EP20" s="17" t="str">
        <f t="shared" si="19"/>
        <v/>
      </c>
    </row>
    <row r="21" ht="15.75" customHeight="1">
      <c r="A21" s="6" t="str">
        <f>Menus!B13</f>
        <v/>
      </c>
      <c r="B21" s="43">
        <f t="shared" si="11"/>
        <v>0</v>
      </c>
      <c r="C21" s="54" t="str">
        <f t="shared" ref="C21:EP21" si="20">IFERROR(
  LET(
    resultado,
      INDEX(
        INDIRECT($B$1),
        MATCH(RIGHT($A21, LEN($A21)-4), INDIRECT($B$3), 0),
        MATCH(C$1, INDIRECT($B$5), 0)
      ),
    IF(resultado="-", "", resultado) 
  ),
"")
</f>
        <v/>
      </c>
      <c r="D21" s="55" t="str">
        <f t="shared" si="20"/>
        <v/>
      </c>
      <c r="E21" s="46" t="str">
        <f t="shared" si="20"/>
        <v/>
      </c>
      <c r="F21" s="17" t="str">
        <f t="shared" si="20"/>
        <v/>
      </c>
      <c r="G21" s="46" t="str">
        <f t="shared" si="20"/>
        <v/>
      </c>
      <c r="H21" s="17" t="str">
        <f t="shared" si="20"/>
        <v/>
      </c>
      <c r="I21" s="46" t="str">
        <f t="shared" si="20"/>
        <v/>
      </c>
      <c r="J21" s="17" t="str">
        <f t="shared" si="20"/>
        <v/>
      </c>
      <c r="K21" s="46" t="str">
        <f t="shared" si="20"/>
        <v/>
      </c>
      <c r="L21" s="17" t="str">
        <f t="shared" si="20"/>
        <v/>
      </c>
      <c r="M21" s="46" t="str">
        <f t="shared" si="20"/>
        <v/>
      </c>
      <c r="N21" s="17" t="str">
        <f t="shared" si="20"/>
        <v/>
      </c>
      <c r="O21" s="46" t="str">
        <f t="shared" si="20"/>
        <v/>
      </c>
      <c r="P21" s="17" t="str">
        <f t="shared" si="20"/>
        <v/>
      </c>
      <c r="Q21" s="46" t="str">
        <f t="shared" si="20"/>
        <v/>
      </c>
      <c r="R21" s="17" t="str">
        <f t="shared" si="20"/>
        <v/>
      </c>
      <c r="S21" s="46" t="str">
        <f t="shared" si="20"/>
        <v/>
      </c>
      <c r="T21" s="17" t="str">
        <f t="shared" si="20"/>
        <v/>
      </c>
      <c r="U21" s="46" t="str">
        <f t="shared" si="20"/>
        <v/>
      </c>
      <c r="V21" s="17" t="str">
        <f t="shared" si="20"/>
        <v/>
      </c>
      <c r="W21" s="46" t="str">
        <f t="shared" si="20"/>
        <v/>
      </c>
      <c r="X21" s="17" t="str">
        <f t="shared" si="20"/>
        <v/>
      </c>
      <c r="Y21" s="46" t="str">
        <f t="shared" si="20"/>
        <v/>
      </c>
      <c r="Z21" s="17" t="str">
        <f t="shared" si="20"/>
        <v/>
      </c>
      <c r="AA21" s="46" t="str">
        <f t="shared" si="20"/>
        <v/>
      </c>
      <c r="AB21" s="17" t="str">
        <f t="shared" si="20"/>
        <v/>
      </c>
      <c r="AC21" s="46" t="str">
        <f t="shared" si="20"/>
        <v/>
      </c>
      <c r="AD21" s="17" t="str">
        <f t="shared" si="20"/>
        <v/>
      </c>
      <c r="AE21" s="46" t="str">
        <f t="shared" si="20"/>
        <v/>
      </c>
      <c r="AF21" s="17" t="str">
        <f t="shared" si="20"/>
        <v/>
      </c>
      <c r="AG21" s="46" t="str">
        <f t="shared" si="20"/>
        <v/>
      </c>
      <c r="AH21" s="17" t="str">
        <f t="shared" si="20"/>
        <v/>
      </c>
      <c r="AI21" s="46" t="str">
        <f t="shared" si="20"/>
        <v/>
      </c>
      <c r="AJ21" s="17" t="str">
        <f t="shared" si="20"/>
        <v/>
      </c>
      <c r="AK21" s="46" t="str">
        <f t="shared" si="20"/>
        <v/>
      </c>
      <c r="AL21" s="17" t="str">
        <f t="shared" si="20"/>
        <v/>
      </c>
      <c r="AM21" s="46" t="str">
        <f t="shared" si="20"/>
        <v/>
      </c>
      <c r="AN21" s="17" t="str">
        <f t="shared" si="20"/>
        <v/>
      </c>
      <c r="AO21" s="46" t="str">
        <f t="shared" si="20"/>
        <v/>
      </c>
      <c r="AP21" s="17" t="str">
        <f t="shared" si="20"/>
        <v/>
      </c>
      <c r="AQ21" s="46" t="str">
        <f t="shared" si="20"/>
        <v/>
      </c>
      <c r="AR21" s="17" t="str">
        <f t="shared" si="20"/>
        <v/>
      </c>
      <c r="AS21" s="46" t="str">
        <f t="shared" si="20"/>
        <v/>
      </c>
      <c r="AT21" s="17" t="str">
        <f t="shared" si="20"/>
        <v/>
      </c>
      <c r="AU21" s="46" t="str">
        <f t="shared" si="20"/>
        <v/>
      </c>
      <c r="AV21" s="17" t="str">
        <f t="shared" si="20"/>
        <v/>
      </c>
      <c r="AW21" s="46" t="str">
        <f t="shared" si="20"/>
        <v/>
      </c>
      <c r="AX21" s="17" t="str">
        <f t="shared" si="20"/>
        <v/>
      </c>
      <c r="AY21" s="46" t="str">
        <f t="shared" si="20"/>
        <v/>
      </c>
      <c r="AZ21" s="17" t="str">
        <f t="shared" si="20"/>
        <v/>
      </c>
      <c r="BA21" s="46" t="str">
        <f t="shared" si="20"/>
        <v/>
      </c>
      <c r="BB21" s="17" t="str">
        <f t="shared" si="20"/>
        <v/>
      </c>
      <c r="BC21" s="46" t="str">
        <f t="shared" si="20"/>
        <v/>
      </c>
      <c r="BD21" s="17" t="str">
        <f t="shared" si="20"/>
        <v/>
      </c>
      <c r="BE21" s="46" t="str">
        <f t="shared" si="20"/>
        <v/>
      </c>
      <c r="BF21" s="17" t="str">
        <f t="shared" si="20"/>
        <v/>
      </c>
      <c r="BG21" s="46" t="str">
        <f t="shared" si="20"/>
        <v/>
      </c>
      <c r="BH21" s="17" t="str">
        <f t="shared" si="20"/>
        <v/>
      </c>
      <c r="BI21" s="46" t="str">
        <f t="shared" si="20"/>
        <v/>
      </c>
      <c r="BJ21" s="17" t="str">
        <f t="shared" si="20"/>
        <v/>
      </c>
      <c r="BK21" s="46" t="str">
        <f t="shared" si="20"/>
        <v/>
      </c>
      <c r="BL21" s="17" t="str">
        <f t="shared" si="20"/>
        <v/>
      </c>
      <c r="BM21" s="46" t="str">
        <f t="shared" si="20"/>
        <v/>
      </c>
      <c r="BN21" s="17" t="str">
        <f t="shared" si="20"/>
        <v/>
      </c>
      <c r="BO21" s="46" t="str">
        <f t="shared" si="20"/>
        <v/>
      </c>
      <c r="BP21" s="17" t="str">
        <f t="shared" si="20"/>
        <v/>
      </c>
      <c r="BQ21" s="46" t="str">
        <f t="shared" si="20"/>
        <v/>
      </c>
      <c r="BR21" s="17" t="str">
        <f t="shared" si="20"/>
        <v/>
      </c>
      <c r="BS21" s="46" t="str">
        <f t="shared" si="20"/>
        <v/>
      </c>
      <c r="BT21" s="17" t="str">
        <f t="shared" si="20"/>
        <v/>
      </c>
      <c r="BU21" s="46" t="str">
        <f t="shared" si="20"/>
        <v/>
      </c>
      <c r="BV21" s="17" t="str">
        <f t="shared" si="20"/>
        <v/>
      </c>
      <c r="BW21" s="46" t="str">
        <f t="shared" si="20"/>
        <v/>
      </c>
      <c r="BX21" s="17" t="str">
        <f t="shared" si="20"/>
        <v/>
      </c>
      <c r="BY21" s="46" t="str">
        <f t="shared" si="20"/>
        <v/>
      </c>
      <c r="BZ21" s="17" t="str">
        <f t="shared" si="20"/>
        <v/>
      </c>
      <c r="CA21" s="46" t="str">
        <f t="shared" si="20"/>
        <v/>
      </c>
      <c r="CB21" s="17" t="str">
        <f t="shared" si="20"/>
        <v/>
      </c>
      <c r="CC21" s="46" t="str">
        <f t="shared" si="20"/>
        <v/>
      </c>
      <c r="CD21" s="17" t="str">
        <f t="shared" si="20"/>
        <v/>
      </c>
      <c r="CE21" s="46" t="str">
        <f t="shared" si="20"/>
        <v/>
      </c>
      <c r="CF21" s="17" t="str">
        <f t="shared" si="20"/>
        <v/>
      </c>
      <c r="CG21" s="46" t="str">
        <f t="shared" si="20"/>
        <v/>
      </c>
      <c r="CH21" s="17" t="str">
        <f t="shared" si="20"/>
        <v/>
      </c>
      <c r="CI21" s="46" t="str">
        <f t="shared" si="20"/>
        <v/>
      </c>
      <c r="CJ21" s="17" t="str">
        <f t="shared" si="20"/>
        <v/>
      </c>
      <c r="CK21" s="46" t="str">
        <f t="shared" si="20"/>
        <v/>
      </c>
      <c r="CL21" s="17" t="str">
        <f t="shared" si="20"/>
        <v/>
      </c>
      <c r="CM21" s="46" t="str">
        <f t="shared" si="20"/>
        <v/>
      </c>
      <c r="CN21" s="17" t="str">
        <f t="shared" si="20"/>
        <v/>
      </c>
      <c r="CO21" s="46" t="str">
        <f t="shared" si="20"/>
        <v/>
      </c>
      <c r="CP21" s="17" t="str">
        <f t="shared" si="20"/>
        <v/>
      </c>
      <c r="CQ21" s="46" t="str">
        <f t="shared" si="20"/>
        <v/>
      </c>
      <c r="CR21" s="17" t="str">
        <f t="shared" si="20"/>
        <v/>
      </c>
      <c r="CS21" s="46" t="str">
        <f t="shared" si="20"/>
        <v/>
      </c>
      <c r="CT21" s="17" t="str">
        <f t="shared" si="20"/>
        <v/>
      </c>
      <c r="CU21" s="46" t="str">
        <f t="shared" si="20"/>
        <v/>
      </c>
      <c r="CV21" s="17" t="str">
        <f t="shared" si="20"/>
        <v/>
      </c>
      <c r="CW21" s="46" t="str">
        <f t="shared" si="20"/>
        <v/>
      </c>
      <c r="CX21" s="17" t="str">
        <f t="shared" si="20"/>
        <v/>
      </c>
      <c r="CY21" s="46" t="str">
        <f t="shared" si="20"/>
        <v/>
      </c>
      <c r="CZ21" s="17" t="str">
        <f t="shared" si="20"/>
        <v/>
      </c>
      <c r="DA21" s="46" t="str">
        <f t="shared" si="20"/>
        <v/>
      </c>
      <c r="DB21" s="17" t="str">
        <f t="shared" si="20"/>
        <v/>
      </c>
      <c r="DC21" s="46" t="str">
        <f t="shared" si="20"/>
        <v/>
      </c>
      <c r="DD21" s="17" t="str">
        <f t="shared" si="20"/>
        <v/>
      </c>
      <c r="DE21" s="46" t="str">
        <f t="shared" si="20"/>
        <v/>
      </c>
      <c r="DF21" s="17" t="str">
        <f t="shared" si="20"/>
        <v/>
      </c>
      <c r="DG21" s="46" t="str">
        <f t="shared" si="20"/>
        <v/>
      </c>
      <c r="DH21" s="17" t="str">
        <f t="shared" si="20"/>
        <v/>
      </c>
      <c r="DI21" s="46" t="str">
        <f t="shared" si="20"/>
        <v/>
      </c>
      <c r="DJ21" s="17" t="str">
        <f t="shared" si="20"/>
        <v/>
      </c>
      <c r="DK21" s="46" t="str">
        <f t="shared" si="20"/>
        <v/>
      </c>
      <c r="DL21" s="17" t="str">
        <f t="shared" si="20"/>
        <v/>
      </c>
      <c r="DM21" s="46" t="str">
        <f t="shared" si="20"/>
        <v/>
      </c>
      <c r="DN21" s="17" t="str">
        <f t="shared" si="20"/>
        <v/>
      </c>
      <c r="DO21" s="46" t="str">
        <f t="shared" si="20"/>
        <v/>
      </c>
      <c r="DP21" s="17" t="str">
        <f t="shared" si="20"/>
        <v/>
      </c>
      <c r="DQ21" s="46" t="str">
        <f t="shared" si="20"/>
        <v/>
      </c>
      <c r="DR21" s="17" t="str">
        <f t="shared" si="20"/>
        <v/>
      </c>
      <c r="DS21" s="46" t="str">
        <f t="shared" si="20"/>
        <v/>
      </c>
      <c r="DT21" s="17" t="str">
        <f t="shared" si="20"/>
        <v/>
      </c>
      <c r="DU21" s="46" t="str">
        <f t="shared" si="20"/>
        <v/>
      </c>
      <c r="DV21" s="17" t="str">
        <f t="shared" si="20"/>
        <v/>
      </c>
      <c r="DW21" s="46" t="str">
        <f t="shared" si="20"/>
        <v/>
      </c>
      <c r="DX21" s="17" t="str">
        <f t="shared" si="20"/>
        <v/>
      </c>
      <c r="DY21" s="46" t="str">
        <f t="shared" si="20"/>
        <v/>
      </c>
      <c r="DZ21" s="17" t="str">
        <f t="shared" si="20"/>
        <v/>
      </c>
      <c r="EA21" s="46" t="str">
        <f t="shared" si="20"/>
        <v/>
      </c>
      <c r="EB21" s="17" t="str">
        <f t="shared" si="20"/>
        <v/>
      </c>
      <c r="EC21" s="46" t="str">
        <f t="shared" si="20"/>
        <v/>
      </c>
      <c r="ED21" s="17" t="str">
        <f t="shared" si="20"/>
        <v/>
      </c>
      <c r="EE21" s="46" t="str">
        <f t="shared" si="20"/>
        <v/>
      </c>
      <c r="EF21" s="17" t="str">
        <f t="shared" si="20"/>
        <v/>
      </c>
      <c r="EG21" s="46" t="str">
        <f t="shared" si="20"/>
        <v/>
      </c>
      <c r="EH21" s="17" t="str">
        <f t="shared" si="20"/>
        <v/>
      </c>
      <c r="EI21" s="46" t="str">
        <f t="shared" si="20"/>
        <v/>
      </c>
      <c r="EJ21" s="17" t="str">
        <f t="shared" si="20"/>
        <v/>
      </c>
      <c r="EK21" s="46" t="str">
        <f t="shared" si="20"/>
        <v/>
      </c>
      <c r="EL21" s="17" t="str">
        <f t="shared" si="20"/>
        <v/>
      </c>
      <c r="EM21" s="46" t="str">
        <f t="shared" si="20"/>
        <v/>
      </c>
      <c r="EN21" s="17" t="str">
        <f t="shared" si="20"/>
        <v/>
      </c>
      <c r="EO21" s="46" t="str">
        <f t="shared" si="20"/>
        <v/>
      </c>
      <c r="EP21" s="17" t="str">
        <f t="shared" si="20"/>
        <v/>
      </c>
    </row>
    <row r="22" ht="15.75" customHeight="1">
      <c r="A22" s="6" t="str">
        <f>Menus!B14</f>
        <v/>
      </c>
      <c r="B22" s="43">
        <f t="shared" si="11"/>
        <v>0</v>
      </c>
      <c r="C22" s="54" t="str">
        <f t="shared" ref="C22:EP22" si="21">IFERROR(
  LET(
    resultado,
      INDEX(
        INDIRECT($B$1),
        MATCH(RIGHT($A22, LEN($A22)-4), INDIRECT($B$3), 0),
        MATCH(C$1, INDIRECT($B$5), 0)
      ),
    IF(resultado="-", "", resultado) 
  ),
"")
</f>
        <v/>
      </c>
      <c r="D22" s="55" t="str">
        <f t="shared" si="21"/>
        <v/>
      </c>
      <c r="E22" s="46" t="str">
        <f t="shared" si="21"/>
        <v/>
      </c>
      <c r="F22" s="17" t="str">
        <f t="shared" si="21"/>
        <v/>
      </c>
      <c r="G22" s="46" t="str">
        <f t="shared" si="21"/>
        <v/>
      </c>
      <c r="H22" s="17" t="str">
        <f t="shared" si="21"/>
        <v/>
      </c>
      <c r="I22" s="46" t="str">
        <f t="shared" si="21"/>
        <v/>
      </c>
      <c r="J22" s="17" t="str">
        <f t="shared" si="21"/>
        <v/>
      </c>
      <c r="K22" s="46" t="str">
        <f t="shared" si="21"/>
        <v/>
      </c>
      <c r="L22" s="17" t="str">
        <f t="shared" si="21"/>
        <v/>
      </c>
      <c r="M22" s="46" t="str">
        <f t="shared" si="21"/>
        <v/>
      </c>
      <c r="N22" s="17" t="str">
        <f t="shared" si="21"/>
        <v/>
      </c>
      <c r="O22" s="46" t="str">
        <f t="shared" si="21"/>
        <v/>
      </c>
      <c r="P22" s="17" t="str">
        <f t="shared" si="21"/>
        <v/>
      </c>
      <c r="Q22" s="46" t="str">
        <f t="shared" si="21"/>
        <v/>
      </c>
      <c r="R22" s="17" t="str">
        <f t="shared" si="21"/>
        <v/>
      </c>
      <c r="S22" s="46" t="str">
        <f t="shared" si="21"/>
        <v/>
      </c>
      <c r="T22" s="17" t="str">
        <f t="shared" si="21"/>
        <v/>
      </c>
      <c r="U22" s="46" t="str">
        <f t="shared" si="21"/>
        <v/>
      </c>
      <c r="V22" s="17" t="str">
        <f t="shared" si="21"/>
        <v/>
      </c>
      <c r="W22" s="46" t="str">
        <f t="shared" si="21"/>
        <v/>
      </c>
      <c r="X22" s="17" t="str">
        <f t="shared" si="21"/>
        <v/>
      </c>
      <c r="Y22" s="46" t="str">
        <f t="shared" si="21"/>
        <v/>
      </c>
      <c r="Z22" s="17" t="str">
        <f t="shared" si="21"/>
        <v/>
      </c>
      <c r="AA22" s="46" t="str">
        <f t="shared" si="21"/>
        <v/>
      </c>
      <c r="AB22" s="17" t="str">
        <f t="shared" si="21"/>
        <v/>
      </c>
      <c r="AC22" s="46" t="str">
        <f t="shared" si="21"/>
        <v/>
      </c>
      <c r="AD22" s="17" t="str">
        <f t="shared" si="21"/>
        <v/>
      </c>
      <c r="AE22" s="46" t="str">
        <f t="shared" si="21"/>
        <v/>
      </c>
      <c r="AF22" s="17" t="str">
        <f t="shared" si="21"/>
        <v/>
      </c>
      <c r="AG22" s="46" t="str">
        <f t="shared" si="21"/>
        <v/>
      </c>
      <c r="AH22" s="17" t="str">
        <f t="shared" si="21"/>
        <v/>
      </c>
      <c r="AI22" s="46" t="str">
        <f t="shared" si="21"/>
        <v/>
      </c>
      <c r="AJ22" s="17" t="str">
        <f t="shared" si="21"/>
        <v/>
      </c>
      <c r="AK22" s="46" t="str">
        <f t="shared" si="21"/>
        <v/>
      </c>
      <c r="AL22" s="17" t="str">
        <f t="shared" si="21"/>
        <v/>
      </c>
      <c r="AM22" s="46" t="str">
        <f t="shared" si="21"/>
        <v/>
      </c>
      <c r="AN22" s="17" t="str">
        <f t="shared" si="21"/>
        <v/>
      </c>
      <c r="AO22" s="46" t="str">
        <f t="shared" si="21"/>
        <v/>
      </c>
      <c r="AP22" s="17" t="str">
        <f t="shared" si="21"/>
        <v/>
      </c>
      <c r="AQ22" s="46" t="str">
        <f t="shared" si="21"/>
        <v/>
      </c>
      <c r="AR22" s="17" t="str">
        <f t="shared" si="21"/>
        <v/>
      </c>
      <c r="AS22" s="46" t="str">
        <f t="shared" si="21"/>
        <v/>
      </c>
      <c r="AT22" s="17" t="str">
        <f t="shared" si="21"/>
        <v/>
      </c>
      <c r="AU22" s="46" t="str">
        <f t="shared" si="21"/>
        <v/>
      </c>
      <c r="AV22" s="17" t="str">
        <f t="shared" si="21"/>
        <v/>
      </c>
      <c r="AW22" s="46" t="str">
        <f t="shared" si="21"/>
        <v/>
      </c>
      <c r="AX22" s="17" t="str">
        <f t="shared" si="21"/>
        <v/>
      </c>
      <c r="AY22" s="46" t="str">
        <f t="shared" si="21"/>
        <v/>
      </c>
      <c r="AZ22" s="17" t="str">
        <f t="shared" si="21"/>
        <v/>
      </c>
      <c r="BA22" s="46" t="str">
        <f t="shared" si="21"/>
        <v/>
      </c>
      <c r="BB22" s="17" t="str">
        <f t="shared" si="21"/>
        <v/>
      </c>
      <c r="BC22" s="46" t="str">
        <f t="shared" si="21"/>
        <v/>
      </c>
      <c r="BD22" s="17" t="str">
        <f t="shared" si="21"/>
        <v/>
      </c>
      <c r="BE22" s="46" t="str">
        <f t="shared" si="21"/>
        <v/>
      </c>
      <c r="BF22" s="17" t="str">
        <f t="shared" si="21"/>
        <v/>
      </c>
      <c r="BG22" s="46" t="str">
        <f t="shared" si="21"/>
        <v/>
      </c>
      <c r="BH22" s="17" t="str">
        <f t="shared" si="21"/>
        <v/>
      </c>
      <c r="BI22" s="46" t="str">
        <f t="shared" si="21"/>
        <v/>
      </c>
      <c r="BJ22" s="17" t="str">
        <f t="shared" si="21"/>
        <v/>
      </c>
      <c r="BK22" s="46" t="str">
        <f t="shared" si="21"/>
        <v/>
      </c>
      <c r="BL22" s="17" t="str">
        <f t="shared" si="21"/>
        <v/>
      </c>
      <c r="BM22" s="46" t="str">
        <f t="shared" si="21"/>
        <v/>
      </c>
      <c r="BN22" s="17" t="str">
        <f t="shared" si="21"/>
        <v/>
      </c>
      <c r="BO22" s="46" t="str">
        <f t="shared" si="21"/>
        <v/>
      </c>
      <c r="BP22" s="17" t="str">
        <f t="shared" si="21"/>
        <v/>
      </c>
      <c r="BQ22" s="46" t="str">
        <f t="shared" si="21"/>
        <v/>
      </c>
      <c r="BR22" s="17" t="str">
        <f t="shared" si="21"/>
        <v/>
      </c>
      <c r="BS22" s="46" t="str">
        <f t="shared" si="21"/>
        <v/>
      </c>
      <c r="BT22" s="17" t="str">
        <f t="shared" si="21"/>
        <v/>
      </c>
      <c r="BU22" s="46" t="str">
        <f t="shared" si="21"/>
        <v/>
      </c>
      <c r="BV22" s="17" t="str">
        <f t="shared" si="21"/>
        <v/>
      </c>
      <c r="BW22" s="46" t="str">
        <f t="shared" si="21"/>
        <v/>
      </c>
      <c r="BX22" s="17" t="str">
        <f t="shared" si="21"/>
        <v/>
      </c>
      <c r="BY22" s="46" t="str">
        <f t="shared" si="21"/>
        <v/>
      </c>
      <c r="BZ22" s="17" t="str">
        <f t="shared" si="21"/>
        <v/>
      </c>
      <c r="CA22" s="46" t="str">
        <f t="shared" si="21"/>
        <v/>
      </c>
      <c r="CB22" s="17" t="str">
        <f t="shared" si="21"/>
        <v/>
      </c>
      <c r="CC22" s="46" t="str">
        <f t="shared" si="21"/>
        <v/>
      </c>
      <c r="CD22" s="17" t="str">
        <f t="shared" si="21"/>
        <v/>
      </c>
      <c r="CE22" s="46" t="str">
        <f t="shared" si="21"/>
        <v/>
      </c>
      <c r="CF22" s="17" t="str">
        <f t="shared" si="21"/>
        <v/>
      </c>
      <c r="CG22" s="46" t="str">
        <f t="shared" si="21"/>
        <v/>
      </c>
      <c r="CH22" s="17" t="str">
        <f t="shared" si="21"/>
        <v/>
      </c>
      <c r="CI22" s="46" t="str">
        <f t="shared" si="21"/>
        <v/>
      </c>
      <c r="CJ22" s="17" t="str">
        <f t="shared" si="21"/>
        <v/>
      </c>
      <c r="CK22" s="46" t="str">
        <f t="shared" si="21"/>
        <v/>
      </c>
      <c r="CL22" s="17" t="str">
        <f t="shared" si="21"/>
        <v/>
      </c>
      <c r="CM22" s="46" t="str">
        <f t="shared" si="21"/>
        <v/>
      </c>
      <c r="CN22" s="17" t="str">
        <f t="shared" si="21"/>
        <v/>
      </c>
      <c r="CO22" s="46" t="str">
        <f t="shared" si="21"/>
        <v/>
      </c>
      <c r="CP22" s="17" t="str">
        <f t="shared" si="21"/>
        <v/>
      </c>
      <c r="CQ22" s="46" t="str">
        <f t="shared" si="21"/>
        <v/>
      </c>
      <c r="CR22" s="17" t="str">
        <f t="shared" si="21"/>
        <v/>
      </c>
      <c r="CS22" s="46" t="str">
        <f t="shared" si="21"/>
        <v/>
      </c>
      <c r="CT22" s="17" t="str">
        <f t="shared" si="21"/>
        <v/>
      </c>
      <c r="CU22" s="46" t="str">
        <f t="shared" si="21"/>
        <v/>
      </c>
      <c r="CV22" s="17" t="str">
        <f t="shared" si="21"/>
        <v/>
      </c>
      <c r="CW22" s="46" t="str">
        <f t="shared" si="21"/>
        <v/>
      </c>
      <c r="CX22" s="17" t="str">
        <f t="shared" si="21"/>
        <v/>
      </c>
      <c r="CY22" s="46" t="str">
        <f t="shared" si="21"/>
        <v/>
      </c>
      <c r="CZ22" s="17" t="str">
        <f t="shared" si="21"/>
        <v/>
      </c>
      <c r="DA22" s="46" t="str">
        <f t="shared" si="21"/>
        <v/>
      </c>
      <c r="DB22" s="17" t="str">
        <f t="shared" si="21"/>
        <v/>
      </c>
      <c r="DC22" s="46" t="str">
        <f t="shared" si="21"/>
        <v/>
      </c>
      <c r="DD22" s="17" t="str">
        <f t="shared" si="21"/>
        <v/>
      </c>
      <c r="DE22" s="46" t="str">
        <f t="shared" si="21"/>
        <v/>
      </c>
      <c r="DF22" s="17" t="str">
        <f t="shared" si="21"/>
        <v/>
      </c>
      <c r="DG22" s="46" t="str">
        <f t="shared" si="21"/>
        <v/>
      </c>
      <c r="DH22" s="17" t="str">
        <f t="shared" si="21"/>
        <v/>
      </c>
      <c r="DI22" s="46" t="str">
        <f t="shared" si="21"/>
        <v/>
      </c>
      <c r="DJ22" s="17" t="str">
        <f t="shared" si="21"/>
        <v/>
      </c>
      <c r="DK22" s="46" t="str">
        <f t="shared" si="21"/>
        <v/>
      </c>
      <c r="DL22" s="17" t="str">
        <f t="shared" si="21"/>
        <v/>
      </c>
      <c r="DM22" s="46" t="str">
        <f t="shared" si="21"/>
        <v/>
      </c>
      <c r="DN22" s="17" t="str">
        <f t="shared" si="21"/>
        <v/>
      </c>
      <c r="DO22" s="46" t="str">
        <f t="shared" si="21"/>
        <v/>
      </c>
      <c r="DP22" s="17" t="str">
        <f t="shared" si="21"/>
        <v/>
      </c>
      <c r="DQ22" s="46" t="str">
        <f t="shared" si="21"/>
        <v/>
      </c>
      <c r="DR22" s="17" t="str">
        <f t="shared" si="21"/>
        <v/>
      </c>
      <c r="DS22" s="46" t="str">
        <f t="shared" si="21"/>
        <v/>
      </c>
      <c r="DT22" s="17" t="str">
        <f t="shared" si="21"/>
        <v/>
      </c>
      <c r="DU22" s="46" t="str">
        <f t="shared" si="21"/>
        <v/>
      </c>
      <c r="DV22" s="17" t="str">
        <f t="shared" si="21"/>
        <v/>
      </c>
      <c r="DW22" s="46" t="str">
        <f t="shared" si="21"/>
        <v/>
      </c>
      <c r="DX22" s="17" t="str">
        <f t="shared" si="21"/>
        <v/>
      </c>
      <c r="DY22" s="46" t="str">
        <f t="shared" si="21"/>
        <v/>
      </c>
      <c r="DZ22" s="17" t="str">
        <f t="shared" si="21"/>
        <v/>
      </c>
      <c r="EA22" s="46" t="str">
        <f t="shared" si="21"/>
        <v/>
      </c>
      <c r="EB22" s="17" t="str">
        <f t="shared" si="21"/>
        <v/>
      </c>
      <c r="EC22" s="46" t="str">
        <f t="shared" si="21"/>
        <v/>
      </c>
      <c r="ED22" s="17" t="str">
        <f t="shared" si="21"/>
        <v/>
      </c>
      <c r="EE22" s="46" t="str">
        <f t="shared" si="21"/>
        <v/>
      </c>
      <c r="EF22" s="17" t="str">
        <f t="shared" si="21"/>
        <v/>
      </c>
      <c r="EG22" s="46" t="str">
        <f t="shared" si="21"/>
        <v/>
      </c>
      <c r="EH22" s="17" t="str">
        <f t="shared" si="21"/>
        <v/>
      </c>
      <c r="EI22" s="46" t="str">
        <f t="shared" si="21"/>
        <v/>
      </c>
      <c r="EJ22" s="17" t="str">
        <f t="shared" si="21"/>
        <v/>
      </c>
      <c r="EK22" s="46" t="str">
        <f t="shared" si="21"/>
        <v/>
      </c>
      <c r="EL22" s="17" t="str">
        <f t="shared" si="21"/>
        <v/>
      </c>
      <c r="EM22" s="46" t="str">
        <f t="shared" si="21"/>
        <v/>
      </c>
      <c r="EN22" s="17" t="str">
        <f t="shared" si="21"/>
        <v/>
      </c>
      <c r="EO22" s="46" t="str">
        <f t="shared" si="21"/>
        <v/>
      </c>
      <c r="EP22" s="17" t="str">
        <f t="shared" si="21"/>
        <v/>
      </c>
    </row>
    <row r="23" ht="15.75" customHeight="1">
      <c r="A23" s="6" t="str">
        <f>Menus!B15</f>
        <v/>
      </c>
      <c r="B23" s="43">
        <f t="shared" si="11"/>
        <v>0</v>
      </c>
      <c r="C23" s="54" t="str">
        <f t="shared" ref="C23:EP23" si="22">IFERROR(
  LET(
    resultado,
      INDEX(
        INDIRECT($B$1),
        MATCH(RIGHT($A23, LEN($A23)-4), INDIRECT($B$3), 0),
        MATCH(C$1, INDIRECT($B$5), 0)
      ),
    IF(resultado="-", "", resultado) 
  ),
"")
</f>
        <v/>
      </c>
      <c r="D23" s="55" t="str">
        <f t="shared" si="22"/>
        <v/>
      </c>
      <c r="E23" s="46" t="str">
        <f t="shared" si="22"/>
        <v/>
      </c>
      <c r="F23" s="17" t="str">
        <f t="shared" si="22"/>
        <v/>
      </c>
      <c r="G23" s="46" t="str">
        <f t="shared" si="22"/>
        <v/>
      </c>
      <c r="H23" s="17" t="str">
        <f t="shared" si="22"/>
        <v/>
      </c>
      <c r="I23" s="46" t="str">
        <f t="shared" si="22"/>
        <v/>
      </c>
      <c r="J23" s="17" t="str">
        <f t="shared" si="22"/>
        <v/>
      </c>
      <c r="K23" s="46" t="str">
        <f t="shared" si="22"/>
        <v/>
      </c>
      <c r="L23" s="17" t="str">
        <f t="shared" si="22"/>
        <v/>
      </c>
      <c r="M23" s="46" t="str">
        <f t="shared" si="22"/>
        <v/>
      </c>
      <c r="N23" s="17" t="str">
        <f t="shared" si="22"/>
        <v/>
      </c>
      <c r="O23" s="46" t="str">
        <f t="shared" si="22"/>
        <v/>
      </c>
      <c r="P23" s="17" t="str">
        <f t="shared" si="22"/>
        <v/>
      </c>
      <c r="Q23" s="46" t="str">
        <f t="shared" si="22"/>
        <v/>
      </c>
      <c r="R23" s="17" t="str">
        <f t="shared" si="22"/>
        <v/>
      </c>
      <c r="S23" s="46" t="str">
        <f t="shared" si="22"/>
        <v/>
      </c>
      <c r="T23" s="17" t="str">
        <f t="shared" si="22"/>
        <v/>
      </c>
      <c r="U23" s="46" t="str">
        <f t="shared" si="22"/>
        <v/>
      </c>
      <c r="V23" s="17" t="str">
        <f t="shared" si="22"/>
        <v/>
      </c>
      <c r="W23" s="46" t="str">
        <f t="shared" si="22"/>
        <v/>
      </c>
      <c r="X23" s="17" t="str">
        <f t="shared" si="22"/>
        <v/>
      </c>
      <c r="Y23" s="46" t="str">
        <f t="shared" si="22"/>
        <v/>
      </c>
      <c r="Z23" s="17" t="str">
        <f t="shared" si="22"/>
        <v/>
      </c>
      <c r="AA23" s="46" t="str">
        <f t="shared" si="22"/>
        <v/>
      </c>
      <c r="AB23" s="17" t="str">
        <f t="shared" si="22"/>
        <v/>
      </c>
      <c r="AC23" s="46" t="str">
        <f t="shared" si="22"/>
        <v/>
      </c>
      <c r="AD23" s="17" t="str">
        <f t="shared" si="22"/>
        <v/>
      </c>
      <c r="AE23" s="46" t="str">
        <f t="shared" si="22"/>
        <v/>
      </c>
      <c r="AF23" s="17" t="str">
        <f t="shared" si="22"/>
        <v/>
      </c>
      <c r="AG23" s="46" t="str">
        <f t="shared" si="22"/>
        <v/>
      </c>
      <c r="AH23" s="17" t="str">
        <f t="shared" si="22"/>
        <v/>
      </c>
      <c r="AI23" s="46" t="str">
        <f t="shared" si="22"/>
        <v/>
      </c>
      <c r="AJ23" s="17" t="str">
        <f t="shared" si="22"/>
        <v/>
      </c>
      <c r="AK23" s="46" t="str">
        <f t="shared" si="22"/>
        <v/>
      </c>
      <c r="AL23" s="17" t="str">
        <f t="shared" si="22"/>
        <v/>
      </c>
      <c r="AM23" s="46" t="str">
        <f t="shared" si="22"/>
        <v/>
      </c>
      <c r="AN23" s="17" t="str">
        <f t="shared" si="22"/>
        <v/>
      </c>
      <c r="AO23" s="46" t="str">
        <f t="shared" si="22"/>
        <v/>
      </c>
      <c r="AP23" s="17" t="str">
        <f t="shared" si="22"/>
        <v/>
      </c>
      <c r="AQ23" s="46" t="str">
        <f t="shared" si="22"/>
        <v/>
      </c>
      <c r="AR23" s="17" t="str">
        <f t="shared" si="22"/>
        <v/>
      </c>
      <c r="AS23" s="46" t="str">
        <f t="shared" si="22"/>
        <v/>
      </c>
      <c r="AT23" s="17" t="str">
        <f t="shared" si="22"/>
        <v/>
      </c>
      <c r="AU23" s="46" t="str">
        <f t="shared" si="22"/>
        <v/>
      </c>
      <c r="AV23" s="17" t="str">
        <f t="shared" si="22"/>
        <v/>
      </c>
      <c r="AW23" s="46" t="str">
        <f t="shared" si="22"/>
        <v/>
      </c>
      <c r="AX23" s="17" t="str">
        <f t="shared" si="22"/>
        <v/>
      </c>
      <c r="AY23" s="46" t="str">
        <f t="shared" si="22"/>
        <v/>
      </c>
      <c r="AZ23" s="17" t="str">
        <f t="shared" si="22"/>
        <v/>
      </c>
      <c r="BA23" s="46" t="str">
        <f t="shared" si="22"/>
        <v/>
      </c>
      <c r="BB23" s="17" t="str">
        <f t="shared" si="22"/>
        <v/>
      </c>
      <c r="BC23" s="46" t="str">
        <f t="shared" si="22"/>
        <v/>
      </c>
      <c r="BD23" s="17" t="str">
        <f t="shared" si="22"/>
        <v/>
      </c>
      <c r="BE23" s="46" t="str">
        <f t="shared" si="22"/>
        <v/>
      </c>
      <c r="BF23" s="17" t="str">
        <f t="shared" si="22"/>
        <v/>
      </c>
      <c r="BG23" s="46" t="str">
        <f t="shared" si="22"/>
        <v/>
      </c>
      <c r="BH23" s="17" t="str">
        <f t="shared" si="22"/>
        <v/>
      </c>
      <c r="BI23" s="46" t="str">
        <f t="shared" si="22"/>
        <v/>
      </c>
      <c r="BJ23" s="17" t="str">
        <f t="shared" si="22"/>
        <v/>
      </c>
      <c r="BK23" s="46" t="str">
        <f t="shared" si="22"/>
        <v/>
      </c>
      <c r="BL23" s="17" t="str">
        <f t="shared" si="22"/>
        <v/>
      </c>
      <c r="BM23" s="46" t="str">
        <f t="shared" si="22"/>
        <v/>
      </c>
      <c r="BN23" s="17" t="str">
        <f t="shared" si="22"/>
        <v/>
      </c>
      <c r="BO23" s="46" t="str">
        <f t="shared" si="22"/>
        <v/>
      </c>
      <c r="BP23" s="17" t="str">
        <f t="shared" si="22"/>
        <v/>
      </c>
      <c r="BQ23" s="46" t="str">
        <f t="shared" si="22"/>
        <v/>
      </c>
      <c r="BR23" s="17" t="str">
        <f t="shared" si="22"/>
        <v/>
      </c>
      <c r="BS23" s="46" t="str">
        <f t="shared" si="22"/>
        <v/>
      </c>
      <c r="BT23" s="17" t="str">
        <f t="shared" si="22"/>
        <v/>
      </c>
      <c r="BU23" s="46" t="str">
        <f t="shared" si="22"/>
        <v/>
      </c>
      <c r="BV23" s="17" t="str">
        <f t="shared" si="22"/>
        <v/>
      </c>
      <c r="BW23" s="46" t="str">
        <f t="shared" si="22"/>
        <v/>
      </c>
      <c r="BX23" s="17" t="str">
        <f t="shared" si="22"/>
        <v/>
      </c>
      <c r="BY23" s="46" t="str">
        <f t="shared" si="22"/>
        <v/>
      </c>
      <c r="BZ23" s="17" t="str">
        <f t="shared" si="22"/>
        <v/>
      </c>
      <c r="CA23" s="46" t="str">
        <f t="shared" si="22"/>
        <v/>
      </c>
      <c r="CB23" s="17" t="str">
        <f t="shared" si="22"/>
        <v/>
      </c>
      <c r="CC23" s="46" t="str">
        <f t="shared" si="22"/>
        <v/>
      </c>
      <c r="CD23" s="17" t="str">
        <f t="shared" si="22"/>
        <v/>
      </c>
      <c r="CE23" s="46" t="str">
        <f t="shared" si="22"/>
        <v/>
      </c>
      <c r="CF23" s="17" t="str">
        <f t="shared" si="22"/>
        <v/>
      </c>
      <c r="CG23" s="46" t="str">
        <f t="shared" si="22"/>
        <v/>
      </c>
      <c r="CH23" s="17" t="str">
        <f t="shared" si="22"/>
        <v/>
      </c>
      <c r="CI23" s="46" t="str">
        <f t="shared" si="22"/>
        <v/>
      </c>
      <c r="CJ23" s="17" t="str">
        <f t="shared" si="22"/>
        <v/>
      </c>
      <c r="CK23" s="46" t="str">
        <f t="shared" si="22"/>
        <v/>
      </c>
      <c r="CL23" s="17" t="str">
        <f t="shared" si="22"/>
        <v/>
      </c>
      <c r="CM23" s="46" t="str">
        <f t="shared" si="22"/>
        <v/>
      </c>
      <c r="CN23" s="17" t="str">
        <f t="shared" si="22"/>
        <v/>
      </c>
      <c r="CO23" s="46" t="str">
        <f t="shared" si="22"/>
        <v/>
      </c>
      <c r="CP23" s="17" t="str">
        <f t="shared" si="22"/>
        <v/>
      </c>
      <c r="CQ23" s="46" t="str">
        <f t="shared" si="22"/>
        <v/>
      </c>
      <c r="CR23" s="17" t="str">
        <f t="shared" si="22"/>
        <v/>
      </c>
      <c r="CS23" s="46" t="str">
        <f t="shared" si="22"/>
        <v/>
      </c>
      <c r="CT23" s="17" t="str">
        <f t="shared" si="22"/>
        <v/>
      </c>
      <c r="CU23" s="46" t="str">
        <f t="shared" si="22"/>
        <v/>
      </c>
      <c r="CV23" s="17" t="str">
        <f t="shared" si="22"/>
        <v/>
      </c>
      <c r="CW23" s="46" t="str">
        <f t="shared" si="22"/>
        <v/>
      </c>
      <c r="CX23" s="17" t="str">
        <f t="shared" si="22"/>
        <v/>
      </c>
      <c r="CY23" s="46" t="str">
        <f t="shared" si="22"/>
        <v/>
      </c>
      <c r="CZ23" s="17" t="str">
        <f t="shared" si="22"/>
        <v/>
      </c>
      <c r="DA23" s="46" t="str">
        <f t="shared" si="22"/>
        <v/>
      </c>
      <c r="DB23" s="17" t="str">
        <f t="shared" si="22"/>
        <v/>
      </c>
      <c r="DC23" s="46" t="str">
        <f t="shared" si="22"/>
        <v/>
      </c>
      <c r="DD23" s="17" t="str">
        <f t="shared" si="22"/>
        <v/>
      </c>
      <c r="DE23" s="46" t="str">
        <f t="shared" si="22"/>
        <v/>
      </c>
      <c r="DF23" s="17" t="str">
        <f t="shared" si="22"/>
        <v/>
      </c>
      <c r="DG23" s="46" t="str">
        <f t="shared" si="22"/>
        <v/>
      </c>
      <c r="DH23" s="17" t="str">
        <f t="shared" si="22"/>
        <v/>
      </c>
      <c r="DI23" s="46" t="str">
        <f t="shared" si="22"/>
        <v/>
      </c>
      <c r="DJ23" s="17" t="str">
        <f t="shared" si="22"/>
        <v/>
      </c>
      <c r="DK23" s="46" t="str">
        <f t="shared" si="22"/>
        <v/>
      </c>
      <c r="DL23" s="17" t="str">
        <f t="shared" si="22"/>
        <v/>
      </c>
      <c r="DM23" s="46" t="str">
        <f t="shared" si="22"/>
        <v/>
      </c>
      <c r="DN23" s="17" t="str">
        <f t="shared" si="22"/>
        <v/>
      </c>
      <c r="DO23" s="46" t="str">
        <f t="shared" si="22"/>
        <v/>
      </c>
      <c r="DP23" s="17" t="str">
        <f t="shared" si="22"/>
        <v/>
      </c>
      <c r="DQ23" s="46" t="str">
        <f t="shared" si="22"/>
        <v/>
      </c>
      <c r="DR23" s="17" t="str">
        <f t="shared" si="22"/>
        <v/>
      </c>
      <c r="DS23" s="46" t="str">
        <f t="shared" si="22"/>
        <v/>
      </c>
      <c r="DT23" s="17" t="str">
        <f t="shared" si="22"/>
        <v/>
      </c>
      <c r="DU23" s="46" t="str">
        <f t="shared" si="22"/>
        <v/>
      </c>
      <c r="DV23" s="17" t="str">
        <f t="shared" si="22"/>
        <v/>
      </c>
      <c r="DW23" s="46" t="str">
        <f t="shared" si="22"/>
        <v/>
      </c>
      <c r="DX23" s="17" t="str">
        <f t="shared" si="22"/>
        <v/>
      </c>
      <c r="DY23" s="46" t="str">
        <f t="shared" si="22"/>
        <v/>
      </c>
      <c r="DZ23" s="17" t="str">
        <f t="shared" si="22"/>
        <v/>
      </c>
      <c r="EA23" s="46" t="str">
        <f t="shared" si="22"/>
        <v/>
      </c>
      <c r="EB23" s="17" t="str">
        <f t="shared" si="22"/>
        <v/>
      </c>
      <c r="EC23" s="46" t="str">
        <f t="shared" si="22"/>
        <v/>
      </c>
      <c r="ED23" s="17" t="str">
        <f t="shared" si="22"/>
        <v/>
      </c>
      <c r="EE23" s="46" t="str">
        <f t="shared" si="22"/>
        <v/>
      </c>
      <c r="EF23" s="17" t="str">
        <f t="shared" si="22"/>
        <v/>
      </c>
      <c r="EG23" s="46" t="str">
        <f t="shared" si="22"/>
        <v/>
      </c>
      <c r="EH23" s="17" t="str">
        <f t="shared" si="22"/>
        <v/>
      </c>
      <c r="EI23" s="46" t="str">
        <f t="shared" si="22"/>
        <v/>
      </c>
      <c r="EJ23" s="17" t="str">
        <f t="shared" si="22"/>
        <v/>
      </c>
      <c r="EK23" s="46" t="str">
        <f t="shared" si="22"/>
        <v/>
      </c>
      <c r="EL23" s="17" t="str">
        <f t="shared" si="22"/>
        <v/>
      </c>
      <c r="EM23" s="46" t="str">
        <f t="shared" si="22"/>
        <v/>
      </c>
      <c r="EN23" s="17" t="str">
        <f t="shared" si="22"/>
        <v/>
      </c>
      <c r="EO23" s="46" t="str">
        <f t="shared" si="22"/>
        <v/>
      </c>
      <c r="EP23" s="17" t="str">
        <f t="shared" si="22"/>
        <v/>
      </c>
    </row>
    <row r="24" ht="15.75" customHeight="1">
      <c r="A24" s="6" t="str">
        <f>Menus!B16</f>
        <v/>
      </c>
      <c r="B24" s="43">
        <f t="shared" si="11"/>
        <v>0</v>
      </c>
      <c r="C24" s="54" t="str">
        <f t="shared" ref="C24:EP24" si="23">IFERROR(
  LET(
    resultado,
      INDEX(
        INDIRECT($B$1),
        MATCH(RIGHT($A24, LEN($A24)-4), INDIRECT($B$3), 0),
        MATCH(C$1, INDIRECT($B$5), 0)
      ),
    IF(resultado="-", "", resultado) 
  ),
"")
</f>
        <v/>
      </c>
      <c r="D24" s="55" t="str">
        <f t="shared" si="23"/>
        <v/>
      </c>
      <c r="E24" s="46" t="str">
        <f t="shared" si="23"/>
        <v/>
      </c>
      <c r="F24" s="17" t="str">
        <f t="shared" si="23"/>
        <v/>
      </c>
      <c r="G24" s="46" t="str">
        <f t="shared" si="23"/>
        <v/>
      </c>
      <c r="H24" s="17" t="str">
        <f t="shared" si="23"/>
        <v/>
      </c>
      <c r="I24" s="46" t="str">
        <f t="shared" si="23"/>
        <v/>
      </c>
      <c r="J24" s="17" t="str">
        <f t="shared" si="23"/>
        <v/>
      </c>
      <c r="K24" s="46" t="str">
        <f t="shared" si="23"/>
        <v/>
      </c>
      <c r="L24" s="17" t="str">
        <f t="shared" si="23"/>
        <v/>
      </c>
      <c r="M24" s="46" t="str">
        <f t="shared" si="23"/>
        <v/>
      </c>
      <c r="N24" s="17" t="str">
        <f t="shared" si="23"/>
        <v/>
      </c>
      <c r="O24" s="46" t="str">
        <f t="shared" si="23"/>
        <v/>
      </c>
      <c r="P24" s="17" t="str">
        <f t="shared" si="23"/>
        <v/>
      </c>
      <c r="Q24" s="46" t="str">
        <f t="shared" si="23"/>
        <v/>
      </c>
      <c r="R24" s="17" t="str">
        <f t="shared" si="23"/>
        <v/>
      </c>
      <c r="S24" s="46" t="str">
        <f t="shared" si="23"/>
        <v/>
      </c>
      <c r="T24" s="17" t="str">
        <f t="shared" si="23"/>
        <v/>
      </c>
      <c r="U24" s="46" t="str">
        <f t="shared" si="23"/>
        <v/>
      </c>
      <c r="V24" s="17" t="str">
        <f t="shared" si="23"/>
        <v/>
      </c>
      <c r="W24" s="46" t="str">
        <f t="shared" si="23"/>
        <v/>
      </c>
      <c r="X24" s="17" t="str">
        <f t="shared" si="23"/>
        <v/>
      </c>
      <c r="Y24" s="46" t="str">
        <f t="shared" si="23"/>
        <v/>
      </c>
      <c r="Z24" s="17" t="str">
        <f t="shared" si="23"/>
        <v/>
      </c>
      <c r="AA24" s="46" t="str">
        <f t="shared" si="23"/>
        <v/>
      </c>
      <c r="AB24" s="17" t="str">
        <f t="shared" si="23"/>
        <v/>
      </c>
      <c r="AC24" s="46" t="str">
        <f t="shared" si="23"/>
        <v/>
      </c>
      <c r="AD24" s="17" t="str">
        <f t="shared" si="23"/>
        <v/>
      </c>
      <c r="AE24" s="46" t="str">
        <f t="shared" si="23"/>
        <v/>
      </c>
      <c r="AF24" s="17" t="str">
        <f t="shared" si="23"/>
        <v/>
      </c>
      <c r="AG24" s="46" t="str">
        <f t="shared" si="23"/>
        <v/>
      </c>
      <c r="AH24" s="17" t="str">
        <f t="shared" si="23"/>
        <v/>
      </c>
      <c r="AI24" s="46" t="str">
        <f t="shared" si="23"/>
        <v/>
      </c>
      <c r="AJ24" s="17" t="str">
        <f t="shared" si="23"/>
        <v/>
      </c>
      <c r="AK24" s="46" t="str">
        <f t="shared" si="23"/>
        <v/>
      </c>
      <c r="AL24" s="17" t="str">
        <f t="shared" si="23"/>
        <v/>
      </c>
      <c r="AM24" s="46" t="str">
        <f t="shared" si="23"/>
        <v/>
      </c>
      <c r="AN24" s="17" t="str">
        <f t="shared" si="23"/>
        <v/>
      </c>
      <c r="AO24" s="46" t="str">
        <f t="shared" si="23"/>
        <v/>
      </c>
      <c r="AP24" s="17" t="str">
        <f t="shared" si="23"/>
        <v/>
      </c>
      <c r="AQ24" s="46" t="str">
        <f t="shared" si="23"/>
        <v/>
      </c>
      <c r="AR24" s="17" t="str">
        <f t="shared" si="23"/>
        <v/>
      </c>
      <c r="AS24" s="46" t="str">
        <f t="shared" si="23"/>
        <v/>
      </c>
      <c r="AT24" s="17" t="str">
        <f t="shared" si="23"/>
        <v/>
      </c>
      <c r="AU24" s="46" t="str">
        <f t="shared" si="23"/>
        <v/>
      </c>
      <c r="AV24" s="17" t="str">
        <f t="shared" si="23"/>
        <v/>
      </c>
      <c r="AW24" s="46" t="str">
        <f t="shared" si="23"/>
        <v/>
      </c>
      <c r="AX24" s="17" t="str">
        <f t="shared" si="23"/>
        <v/>
      </c>
      <c r="AY24" s="46" t="str">
        <f t="shared" si="23"/>
        <v/>
      </c>
      <c r="AZ24" s="17" t="str">
        <f t="shared" si="23"/>
        <v/>
      </c>
      <c r="BA24" s="46" t="str">
        <f t="shared" si="23"/>
        <v/>
      </c>
      <c r="BB24" s="17" t="str">
        <f t="shared" si="23"/>
        <v/>
      </c>
      <c r="BC24" s="46" t="str">
        <f t="shared" si="23"/>
        <v/>
      </c>
      <c r="BD24" s="17" t="str">
        <f t="shared" si="23"/>
        <v/>
      </c>
      <c r="BE24" s="46" t="str">
        <f t="shared" si="23"/>
        <v/>
      </c>
      <c r="BF24" s="17" t="str">
        <f t="shared" si="23"/>
        <v/>
      </c>
      <c r="BG24" s="46" t="str">
        <f t="shared" si="23"/>
        <v/>
      </c>
      <c r="BH24" s="17" t="str">
        <f t="shared" si="23"/>
        <v/>
      </c>
      <c r="BI24" s="46" t="str">
        <f t="shared" si="23"/>
        <v/>
      </c>
      <c r="BJ24" s="17" t="str">
        <f t="shared" si="23"/>
        <v/>
      </c>
      <c r="BK24" s="46" t="str">
        <f t="shared" si="23"/>
        <v/>
      </c>
      <c r="BL24" s="17" t="str">
        <f t="shared" si="23"/>
        <v/>
      </c>
      <c r="BM24" s="46" t="str">
        <f t="shared" si="23"/>
        <v/>
      </c>
      <c r="BN24" s="17" t="str">
        <f t="shared" si="23"/>
        <v/>
      </c>
      <c r="BO24" s="46" t="str">
        <f t="shared" si="23"/>
        <v/>
      </c>
      <c r="BP24" s="17" t="str">
        <f t="shared" si="23"/>
        <v/>
      </c>
      <c r="BQ24" s="46" t="str">
        <f t="shared" si="23"/>
        <v/>
      </c>
      <c r="BR24" s="17" t="str">
        <f t="shared" si="23"/>
        <v/>
      </c>
      <c r="BS24" s="46" t="str">
        <f t="shared" si="23"/>
        <v/>
      </c>
      <c r="BT24" s="17" t="str">
        <f t="shared" si="23"/>
        <v/>
      </c>
      <c r="BU24" s="46" t="str">
        <f t="shared" si="23"/>
        <v/>
      </c>
      <c r="BV24" s="17" t="str">
        <f t="shared" si="23"/>
        <v/>
      </c>
      <c r="BW24" s="46" t="str">
        <f t="shared" si="23"/>
        <v/>
      </c>
      <c r="BX24" s="17" t="str">
        <f t="shared" si="23"/>
        <v/>
      </c>
      <c r="BY24" s="46" t="str">
        <f t="shared" si="23"/>
        <v/>
      </c>
      <c r="BZ24" s="17" t="str">
        <f t="shared" si="23"/>
        <v/>
      </c>
      <c r="CA24" s="46" t="str">
        <f t="shared" si="23"/>
        <v/>
      </c>
      <c r="CB24" s="17" t="str">
        <f t="shared" si="23"/>
        <v/>
      </c>
      <c r="CC24" s="46" t="str">
        <f t="shared" si="23"/>
        <v/>
      </c>
      <c r="CD24" s="17" t="str">
        <f t="shared" si="23"/>
        <v/>
      </c>
      <c r="CE24" s="46" t="str">
        <f t="shared" si="23"/>
        <v/>
      </c>
      <c r="CF24" s="17" t="str">
        <f t="shared" si="23"/>
        <v/>
      </c>
      <c r="CG24" s="46" t="str">
        <f t="shared" si="23"/>
        <v/>
      </c>
      <c r="CH24" s="17" t="str">
        <f t="shared" si="23"/>
        <v/>
      </c>
      <c r="CI24" s="46" t="str">
        <f t="shared" si="23"/>
        <v/>
      </c>
      <c r="CJ24" s="17" t="str">
        <f t="shared" si="23"/>
        <v/>
      </c>
      <c r="CK24" s="46" t="str">
        <f t="shared" si="23"/>
        <v/>
      </c>
      <c r="CL24" s="17" t="str">
        <f t="shared" si="23"/>
        <v/>
      </c>
      <c r="CM24" s="46" t="str">
        <f t="shared" si="23"/>
        <v/>
      </c>
      <c r="CN24" s="17" t="str">
        <f t="shared" si="23"/>
        <v/>
      </c>
      <c r="CO24" s="46" t="str">
        <f t="shared" si="23"/>
        <v/>
      </c>
      <c r="CP24" s="17" t="str">
        <f t="shared" si="23"/>
        <v/>
      </c>
      <c r="CQ24" s="46" t="str">
        <f t="shared" si="23"/>
        <v/>
      </c>
      <c r="CR24" s="17" t="str">
        <f t="shared" si="23"/>
        <v/>
      </c>
      <c r="CS24" s="46" t="str">
        <f t="shared" si="23"/>
        <v/>
      </c>
      <c r="CT24" s="17" t="str">
        <f t="shared" si="23"/>
        <v/>
      </c>
      <c r="CU24" s="46" t="str">
        <f t="shared" si="23"/>
        <v/>
      </c>
      <c r="CV24" s="17" t="str">
        <f t="shared" si="23"/>
        <v/>
      </c>
      <c r="CW24" s="46" t="str">
        <f t="shared" si="23"/>
        <v/>
      </c>
      <c r="CX24" s="17" t="str">
        <f t="shared" si="23"/>
        <v/>
      </c>
      <c r="CY24" s="46" t="str">
        <f t="shared" si="23"/>
        <v/>
      </c>
      <c r="CZ24" s="17" t="str">
        <f t="shared" si="23"/>
        <v/>
      </c>
      <c r="DA24" s="46" t="str">
        <f t="shared" si="23"/>
        <v/>
      </c>
      <c r="DB24" s="17" t="str">
        <f t="shared" si="23"/>
        <v/>
      </c>
      <c r="DC24" s="46" t="str">
        <f t="shared" si="23"/>
        <v/>
      </c>
      <c r="DD24" s="17" t="str">
        <f t="shared" si="23"/>
        <v/>
      </c>
      <c r="DE24" s="46" t="str">
        <f t="shared" si="23"/>
        <v/>
      </c>
      <c r="DF24" s="17" t="str">
        <f t="shared" si="23"/>
        <v/>
      </c>
      <c r="DG24" s="46" t="str">
        <f t="shared" si="23"/>
        <v/>
      </c>
      <c r="DH24" s="17" t="str">
        <f t="shared" si="23"/>
        <v/>
      </c>
      <c r="DI24" s="46" t="str">
        <f t="shared" si="23"/>
        <v/>
      </c>
      <c r="DJ24" s="17" t="str">
        <f t="shared" si="23"/>
        <v/>
      </c>
      <c r="DK24" s="46" t="str">
        <f t="shared" si="23"/>
        <v/>
      </c>
      <c r="DL24" s="17" t="str">
        <f t="shared" si="23"/>
        <v/>
      </c>
      <c r="DM24" s="46" t="str">
        <f t="shared" si="23"/>
        <v/>
      </c>
      <c r="DN24" s="17" t="str">
        <f t="shared" si="23"/>
        <v/>
      </c>
      <c r="DO24" s="46" t="str">
        <f t="shared" si="23"/>
        <v/>
      </c>
      <c r="DP24" s="17" t="str">
        <f t="shared" si="23"/>
        <v/>
      </c>
      <c r="DQ24" s="46" t="str">
        <f t="shared" si="23"/>
        <v/>
      </c>
      <c r="DR24" s="17" t="str">
        <f t="shared" si="23"/>
        <v/>
      </c>
      <c r="DS24" s="46" t="str">
        <f t="shared" si="23"/>
        <v/>
      </c>
      <c r="DT24" s="17" t="str">
        <f t="shared" si="23"/>
        <v/>
      </c>
      <c r="DU24" s="46" t="str">
        <f t="shared" si="23"/>
        <v/>
      </c>
      <c r="DV24" s="17" t="str">
        <f t="shared" si="23"/>
        <v/>
      </c>
      <c r="DW24" s="46" t="str">
        <f t="shared" si="23"/>
        <v/>
      </c>
      <c r="DX24" s="17" t="str">
        <f t="shared" si="23"/>
        <v/>
      </c>
      <c r="DY24" s="46" t="str">
        <f t="shared" si="23"/>
        <v/>
      </c>
      <c r="DZ24" s="17" t="str">
        <f t="shared" si="23"/>
        <v/>
      </c>
      <c r="EA24" s="46" t="str">
        <f t="shared" si="23"/>
        <v/>
      </c>
      <c r="EB24" s="17" t="str">
        <f t="shared" si="23"/>
        <v/>
      </c>
      <c r="EC24" s="46" t="str">
        <f t="shared" si="23"/>
        <v/>
      </c>
      <c r="ED24" s="17" t="str">
        <f t="shared" si="23"/>
        <v/>
      </c>
      <c r="EE24" s="46" t="str">
        <f t="shared" si="23"/>
        <v/>
      </c>
      <c r="EF24" s="17" t="str">
        <f t="shared" si="23"/>
        <v/>
      </c>
      <c r="EG24" s="46" t="str">
        <f t="shared" si="23"/>
        <v/>
      </c>
      <c r="EH24" s="17" t="str">
        <f t="shared" si="23"/>
        <v/>
      </c>
      <c r="EI24" s="46" t="str">
        <f t="shared" si="23"/>
        <v/>
      </c>
      <c r="EJ24" s="17" t="str">
        <f t="shared" si="23"/>
        <v/>
      </c>
      <c r="EK24" s="46" t="str">
        <f t="shared" si="23"/>
        <v/>
      </c>
      <c r="EL24" s="17" t="str">
        <f t="shared" si="23"/>
        <v/>
      </c>
      <c r="EM24" s="46" t="str">
        <f t="shared" si="23"/>
        <v/>
      </c>
      <c r="EN24" s="17" t="str">
        <f t="shared" si="23"/>
        <v/>
      </c>
      <c r="EO24" s="46" t="str">
        <f t="shared" si="23"/>
        <v/>
      </c>
      <c r="EP24" s="17" t="str">
        <f t="shared" si="23"/>
        <v/>
      </c>
    </row>
    <row r="25" ht="15.75" customHeight="1">
      <c r="A25" s="6" t="str">
        <f>Menus!B17</f>
        <v/>
      </c>
      <c r="B25" s="43">
        <f t="shared" si="11"/>
        <v>0</v>
      </c>
      <c r="C25" s="54" t="str">
        <f t="shared" ref="C25:EP25" si="24">IFERROR(
  LET(
    resultado,
      INDEX(
        INDIRECT($B$1),
        MATCH(RIGHT($A25, LEN($A25)-4), INDIRECT($B$3), 0),
        MATCH(C$1, INDIRECT($B$5), 0)
      ),
    IF(resultado="-", "", resultado) 
  ),
"")
</f>
        <v/>
      </c>
      <c r="D25" s="55" t="str">
        <f t="shared" si="24"/>
        <v/>
      </c>
      <c r="E25" s="46" t="str">
        <f t="shared" si="24"/>
        <v/>
      </c>
      <c r="F25" s="17" t="str">
        <f t="shared" si="24"/>
        <v/>
      </c>
      <c r="G25" s="46" t="str">
        <f t="shared" si="24"/>
        <v/>
      </c>
      <c r="H25" s="17" t="str">
        <f t="shared" si="24"/>
        <v/>
      </c>
      <c r="I25" s="46" t="str">
        <f t="shared" si="24"/>
        <v/>
      </c>
      <c r="J25" s="17" t="str">
        <f t="shared" si="24"/>
        <v/>
      </c>
      <c r="K25" s="46" t="str">
        <f t="shared" si="24"/>
        <v/>
      </c>
      <c r="L25" s="17" t="str">
        <f t="shared" si="24"/>
        <v/>
      </c>
      <c r="M25" s="46" t="str">
        <f t="shared" si="24"/>
        <v/>
      </c>
      <c r="N25" s="17" t="str">
        <f t="shared" si="24"/>
        <v/>
      </c>
      <c r="O25" s="46" t="str">
        <f t="shared" si="24"/>
        <v/>
      </c>
      <c r="P25" s="17" t="str">
        <f t="shared" si="24"/>
        <v/>
      </c>
      <c r="Q25" s="46" t="str">
        <f t="shared" si="24"/>
        <v/>
      </c>
      <c r="R25" s="17" t="str">
        <f t="shared" si="24"/>
        <v/>
      </c>
      <c r="S25" s="46" t="str">
        <f t="shared" si="24"/>
        <v/>
      </c>
      <c r="T25" s="17" t="str">
        <f t="shared" si="24"/>
        <v/>
      </c>
      <c r="U25" s="46" t="str">
        <f t="shared" si="24"/>
        <v/>
      </c>
      <c r="V25" s="17" t="str">
        <f t="shared" si="24"/>
        <v/>
      </c>
      <c r="W25" s="46" t="str">
        <f t="shared" si="24"/>
        <v/>
      </c>
      <c r="X25" s="17" t="str">
        <f t="shared" si="24"/>
        <v/>
      </c>
      <c r="Y25" s="46" t="str">
        <f t="shared" si="24"/>
        <v/>
      </c>
      <c r="Z25" s="17" t="str">
        <f t="shared" si="24"/>
        <v/>
      </c>
      <c r="AA25" s="46" t="str">
        <f t="shared" si="24"/>
        <v/>
      </c>
      <c r="AB25" s="17" t="str">
        <f t="shared" si="24"/>
        <v/>
      </c>
      <c r="AC25" s="46" t="str">
        <f t="shared" si="24"/>
        <v/>
      </c>
      <c r="AD25" s="17" t="str">
        <f t="shared" si="24"/>
        <v/>
      </c>
      <c r="AE25" s="46" t="str">
        <f t="shared" si="24"/>
        <v/>
      </c>
      <c r="AF25" s="17" t="str">
        <f t="shared" si="24"/>
        <v/>
      </c>
      <c r="AG25" s="46" t="str">
        <f t="shared" si="24"/>
        <v/>
      </c>
      <c r="AH25" s="17" t="str">
        <f t="shared" si="24"/>
        <v/>
      </c>
      <c r="AI25" s="46" t="str">
        <f t="shared" si="24"/>
        <v/>
      </c>
      <c r="AJ25" s="17" t="str">
        <f t="shared" si="24"/>
        <v/>
      </c>
      <c r="AK25" s="46" t="str">
        <f t="shared" si="24"/>
        <v/>
      </c>
      <c r="AL25" s="17" t="str">
        <f t="shared" si="24"/>
        <v/>
      </c>
      <c r="AM25" s="46" t="str">
        <f t="shared" si="24"/>
        <v/>
      </c>
      <c r="AN25" s="17" t="str">
        <f t="shared" si="24"/>
        <v/>
      </c>
      <c r="AO25" s="46" t="str">
        <f t="shared" si="24"/>
        <v/>
      </c>
      <c r="AP25" s="17" t="str">
        <f t="shared" si="24"/>
        <v/>
      </c>
      <c r="AQ25" s="46" t="str">
        <f t="shared" si="24"/>
        <v/>
      </c>
      <c r="AR25" s="17" t="str">
        <f t="shared" si="24"/>
        <v/>
      </c>
      <c r="AS25" s="46" t="str">
        <f t="shared" si="24"/>
        <v/>
      </c>
      <c r="AT25" s="17" t="str">
        <f t="shared" si="24"/>
        <v/>
      </c>
      <c r="AU25" s="46" t="str">
        <f t="shared" si="24"/>
        <v/>
      </c>
      <c r="AV25" s="17" t="str">
        <f t="shared" si="24"/>
        <v/>
      </c>
      <c r="AW25" s="46" t="str">
        <f t="shared" si="24"/>
        <v/>
      </c>
      <c r="AX25" s="17" t="str">
        <f t="shared" si="24"/>
        <v/>
      </c>
      <c r="AY25" s="46" t="str">
        <f t="shared" si="24"/>
        <v/>
      </c>
      <c r="AZ25" s="17" t="str">
        <f t="shared" si="24"/>
        <v/>
      </c>
      <c r="BA25" s="46" t="str">
        <f t="shared" si="24"/>
        <v/>
      </c>
      <c r="BB25" s="17" t="str">
        <f t="shared" si="24"/>
        <v/>
      </c>
      <c r="BC25" s="46" t="str">
        <f t="shared" si="24"/>
        <v/>
      </c>
      <c r="BD25" s="17" t="str">
        <f t="shared" si="24"/>
        <v/>
      </c>
      <c r="BE25" s="46" t="str">
        <f t="shared" si="24"/>
        <v/>
      </c>
      <c r="BF25" s="17" t="str">
        <f t="shared" si="24"/>
        <v/>
      </c>
      <c r="BG25" s="46" t="str">
        <f t="shared" si="24"/>
        <v/>
      </c>
      <c r="BH25" s="17" t="str">
        <f t="shared" si="24"/>
        <v/>
      </c>
      <c r="BI25" s="46" t="str">
        <f t="shared" si="24"/>
        <v/>
      </c>
      <c r="BJ25" s="17" t="str">
        <f t="shared" si="24"/>
        <v/>
      </c>
      <c r="BK25" s="46" t="str">
        <f t="shared" si="24"/>
        <v/>
      </c>
      <c r="BL25" s="17" t="str">
        <f t="shared" si="24"/>
        <v/>
      </c>
      <c r="BM25" s="46" t="str">
        <f t="shared" si="24"/>
        <v/>
      </c>
      <c r="BN25" s="17" t="str">
        <f t="shared" si="24"/>
        <v/>
      </c>
      <c r="BO25" s="46" t="str">
        <f t="shared" si="24"/>
        <v/>
      </c>
      <c r="BP25" s="17" t="str">
        <f t="shared" si="24"/>
        <v/>
      </c>
      <c r="BQ25" s="46" t="str">
        <f t="shared" si="24"/>
        <v/>
      </c>
      <c r="BR25" s="17" t="str">
        <f t="shared" si="24"/>
        <v/>
      </c>
      <c r="BS25" s="46" t="str">
        <f t="shared" si="24"/>
        <v/>
      </c>
      <c r="BT25" s="17" t="str">
        <f t="shared" si="24"/>
        <v/>
      </c>
      <c r="BU25" s="46" t="str">
        <f t="shared" si="24"/>
        <v/>
      </c>
      <c r="BV25" s="17" t="str">
        <f t="shared" si="24"/>
        <v/>
      </c>
      <c r="BW25" s="46" t="str">
        <f t="shared" si="24"/>
        <v/>
      </c>
      <c r="BX25" s="17" t="str">
        <f t="shared" si="24"/>
        <v/>
      </c>
      <c r="BY25" s="46" t="str">
        <f t="shared" si="24"/>
        <v/>
      </c>
      <c r="BZ25" s="17" t="str">
        <f t="shared" si="24"/>
        <v/>
      </c>
      <c r="CA25" s="46" t="str">
        <f t="shared" si="24"/>
        <v/>
      </c>
      <c r="CB25" s="17" t="str">
        <f t="shared" si="24"/>
        <v/>
      </c>
      <c r="CC25" s="46" t="str">
        <f t="shared" si="24"/>
        <v/>
      </c>
      <c r="CD25" s="17" t="str">
        <f t="shared" si="24"/>
        <v/>
      </c>
      <c r="CE25" s="46" t="str">
        <f t="shared" si="24"/>
        <v/>
      </c>
      <c r="CF25" s="17" t="str">
        <f t="shared" si="24"/>
        <v/>
      </c>
      <c r="CG25" s="46" t="str">
        <f t="shared" si="24"/>
        <v/>
      </c>
      <c r="CH25" s="17" t="str">
        <f t="shared" si="24"/>
        <v/>
      </c>
      <c r="CI25" s="46" t="str">
        <f t="shared" si="24"/>
        <v/>
      </c>
      <c r="CJ25" s="17" t="str">
        <f t="shared" si="24"/>
        <v/>
      </c>
      <c r="CK25" s="46" t="str">
        <f t="shared" si="24"/>
        <v/>
      </c>
      <c r="CL25" s="17" t="str">
        <f t="shared" si="24"/>
        <v/>
      </c>
      <c r="CM25" s="46" t="str">
        <f t="shared" si="24"/>
        <v/>
      </c>
      <c r="CN25" s="17" t="str">
        <f t="shared" si="24"/>
        <v/>
      </c>
      <c r="CO25" s="46" t="str">
        <f t="shared" si="24"/>
        <v/>
      </c>
      <c r="CP25" s="17" t="str">
        <f t="shared" si="24"/>
        <v/>
      </c>
      <c r="CQ25" s="46" t="str">
        <f t="shared" si="24"/>
        <v/>
      </c>
      <c r="CR25" s="17" t="str">
        <f t="shared" si="24"/>
        <v/>
      </c>
      <c r="CS25" s="46" t="str">
        <f t="shared" si="24"/>
        <v/>
      </c>
      <c r="CT25" s="17" t="str">
        <f t="shared" si="24"/>
        <v/>
      </c>
      <c r="CU25" s="46" t="str">
        <f t="shared" si="24"/>
        <v/>
      </c>
      <c r="CV25" s="17" t="str">
        <f t="shared" si="24"/>
        <v/>
      </c>
      <c r="CW25" s="46" t="str">
        <f t="shared" si="24"/>
        <v/>
      </c>
      <c r="CX25" s="17" t="str">
        <f t="shared" si="24"/>
        <v/>
      </c>
      <c r="CY25" s="46" t="str">
        <f t="shared" si="24"/>
        <v/>
      </c>
      <c r="CZ25" s="17" t="str">
        <f t="shared" si="24"/>
        <v/>
      </c>
      <c r="DA25" s="46" t="str">
        <f t="shared" si="24"/>
        <v/>
      </c>
      <c r="DB25" s="17" t="str">
        <f t="shared" si="24"/>
        <v/>
      </c>
      <c r="DC25" s="46" t="str">
        <f t="shared" si="24"/>
        <v/>
      </c>
      <c r="DD25" s="17" t="str">
        <f t="shared" si="24"/>
        <v/>
      </c>
      <c r="DE25" s="46" t="str">
        <f t="shared" si="24"/>
        <v/>
      </c>
      <c r="DF25" s="17" t="str">
        <f t="shared" si="24"/>
        <v/>
      </c>
      <c r="DG25" s="46" t="str">
        <f t="shared" si="24"/>
        <v/>
      </c>
      <c r="DH25" s="17" t="str">
        <f t="shared" si="24"/>
        <v/>
      </c>
      <c r="DI25" s="46" t="str">
        <f t="shared" si="24"/>
        <v/>
      </c>
      <c r="DJ25" s="17" t="str">
        <f t="shared" si="24"/>
        <v/>
      </c>
      <c r="DK25" s="46" t="str">
        <f t="shared" si="24"/>
        <v/>
      </c>
      <c r="DL25" s="17" t="str">
        <f t="shared" si="24"/>
        <v/>
      </c>
      <c r="DM25" s="46" t="str">
        <f t="shared" si="24"/>
        <v/>
      </c>
      <c r="DN25" s="17" t="str">
        <f t="shared" si="24"/>
        <v/>
      </c>
      <c r="DO25" s="46" t="str">
        <f t="shared" si="24"/>
        <v/>
      </c>
      <c r="DP25" s="17" t="str">
        <f t="shared" si="24"/>
        <v/>
      </c>
      <c r="DQ25" s="46" t="str">
        <f t="shared" si="24"/>
        <v/>
      </c>
      <c r="DR25" s="17" t="str">
        <f t="shared" si="24"/>
        <v/>
      </c>
      <c r="DS25" s="46" t="str">
        <f t="shared" si="24"/>
        <v/>
      </c>
      <c r="DT25" s="17" t="str">
        <f t="shared" si="24"/>
        <v/>
      </c>
      <c r="DU25" s="46" t="str">
        <f t="shared" si="24"/>
        <v/>
      </c>
      <c r="DV25" s="17" t="str">
        <f t="shared" si="24"/>
        <v/>
      </c>
      <c r="DW25" s="46" t="str">
        <f t="shared" si="24"/>
        <v/>
      </c>
      <c r="DX25" s="17" t="str">
        <f t="shared" si="24"/>
        <v/>
      </c>
      <c r="DY25" s="46" t="str">
        <f t="shared" si="24"/>
        <v/>
      </c>
      <c r="DZ25" s="17" t="str">
        <f t="shared" si="24"/>
        <v/>
      </c>
      <c r="EA25" s="46" t="str">
        <f t="shared" si="24"/>
        <v/>
      </c>
      <c r="EB25" s="17" t="str">
        <f t="shared" si="24"/>
        <v/>
      </c>
      <c r="EC25" s="46" t="str">
        <f t="shared" si="24"/>
        <v/>
      </c>
      <c r="ED25" s="17" t="str">
        <f t="shared" si="24"/>
        <v/>
      </c>
      <c r="EE25" s="46" t="str">
        <f t="shared" si="24"/>
        <v/>
      </c>
      <c r="EF25" s="17" t="str">
        <f t="shared" si="24"/>
        <v/>
      </c>
      <c r="EG25" s="46" t="str">
        <f t="shared" si="24"/>
        <v/>
      </c>
      <c r="EH25" s="17" t="str">
        <f t="shared" si="24"/>
        <v/>
      </c>
      <c r="EI25" s="46" t="str">
        <f t="shared" si="24"/>
        <v/>
      </c>
      <c r="EJ25" s="17" t="str">
        <f t="shared" si="24"/>
        <v/>
      </c>
      <c r="EK25" s="46" t="str">
        <f t="shared" si="24"/>
        <v/>
      </c>
      <c r="EL25" s="17" t="str">
        <f t="shared" si="24"/>
        <v/>
      </c>
      <c r="EM25" s="46" t="str">
        <f t="shared" si="24"/>
        <v/>
      </c>
      <c r="EN25" s="17" t="str">
        <f t="shared" si="24"/>
        <v/>
      </c>
      <c r="EO25" s="46" t="str">
        <f t="shared" si="24"/>
        <v/>
      </c>
      <c r="EP25" s="17" t="str">
        <f t="shared" si="24"/>
        <v/>
      </c>
    </row>
    <row r="26" ht="15.75" customHeight="1">
      <c r="A26" s="6" t="str">
        <f>Menus!B18</f>
        <v/>
      </c>
      <c r="B26" s="43">
        <f t="shared" si="11"/>
        <v>0</v>
      </c>
      <c r="C26" s="54" t="str">
        <f t="shared" ref="C26:EP26" si="25">IFERROR(
  LET(
    resultado,
      INDEX(
        INDIRECT($B$1),
        MATCH(RIGHT($A26, LEN($A26)-4), INDIRECT($B$3), 0),
        MATCH(C$1, INDIRECT($B$5), 0)
      ),
    IF(resultado="-", "", resultado) 
  ),
"")
</f>
        <v/>
      </c>
      <c r="D26" s="55" t="str">
        <f t="shared" si="25"/>
        <v/>
      </c>
      <c r="E26" s="46" t="str">
        <f t="shared" si="25"/>
        <v/>
      </c>
      <c r="F26" s="17" t="str">
        <f t="shared" si="25"/>
        <v/>
      </c>
      <c r="G26" s="46" t="str">
        <f t="shared" si="25"/>
        <v/>
      </c>
      <c r="H26" s="17" t="str">
        <f t="shared" si="25"/>
        <v/>
      </c>
      <c r="I26" s="46" t="str">
        <f t="shared" si="25"/>
        <v/>
      </c>
      <c r="J26" s="17" t="str">
        <f t="shared" si="25"/>
        <v/>
      </c>
      <c r="K26" s="46" t="str">
        <f t="shared" si="25"/>
        <v/>
      </c>
      <c r="L26" s="17" t="str">
        <f t="shared" si="25"/>
        <v/>
      </c>
      <c r="M26" s="46" t="str">
        <f t="shared" si="25"/>
        <v/>
      </c>
      <c r="N26" s="17" t="str">
        <f t="shared" si="25"/>
        <v/>
      </c>
      <c r="O26" s="46" t="str">
        <f t="shared" si="25"/>
        <v/>
      </c>
      <c r="P26" s="17" t="str">
        <f t="shared" si="25"/>
        <v/>
      </c>
      <c r="Q26" s="46" t="str">
        <f t="shared" si="25"/>
        <v/>
      </c>
      <c r="R26" s="17" t="str">
        <f t="shared" si="25"/>
        <v/>
      </c>
      <c r="S26" s="46" t="str">
        <f t="shared" si="25"/>
        <v/>
      </c>
      <c r="T26" s="17" t="str">
        <f t="shared" si="25"/>
        <v/>
      </c>
      <c r="U26" s="46" t="str">
        <f t="shared" si="25"/>
        <v/>
      </c>
      <c r="V26" s="17" t="str">
        <f t="shared" si="25"/>
        <v/>
      </c>
      <c r="W26" s="46" t="str">
        <f t="shared" si="25"/>
        <v/>
      </c>
      <c r="X26" s="17" t="str">
        <f t="shared" si="25"/>
        <v/>
      </c>
      <c r="Y26" s="46" t="str">
        <f t="shared" si="25"/>
        <v/>
      </c>
      <c r="Z26" s="17" t="str">
        <f t="shared" si="25"/>
        <v/>
      </c>
      <c r="AA26" s="46" t="str">
        <f t="shared" si="25"/>
        <v/>
      </c>
      <c r="AB26" s="17" t="str">
        <f t="shared" si="25"/>
        <v/>
      </c>
      <c r="AC26" s="46" t="str">
        <f t="shared" si="25"/>
        <v/>
      </c>
      <c r="AD26" s="17" t="str">
        <f t="shared" si="25"/>
        <v/>
      </c>
      <c r="AE26" s="46" t="str">
        <f t="shared" si="25"/>
        <v/>
      </c>
      <c r="AF26" s="17" t="str">
        <f t="shared" si="25"/>
        <v/>
      </c>
      <c r="AG26" s="46" t="str">
        <f t="shared" si="25"/>
        <v/>
      </c>
      <c r="AH26" s="17" t="str">
        <f t="shared" si="25"/>
        <v/>
      </c>
      <c r="AI26" s="46" t="str">
        <f t="shared" si="25"/>
        <v/>
      </c>
      <c r="AJ26" s="17" t="str">
        <f t="shared" si="25"/>
        <v/>
      </c>
      <c r="AK26" s="46" t="str">
        <f t="shared" si="25"/>
        <v/>
      </c>
      <c r="AL26" s="17" t="str">
        <f t="shared" si="25"/>
        <v/>
      </c>
      <c r="AM26" s="46" t="str">
        <f t="shared" si="25"/>
        <v/>
      </c>
      <c r="AN26" s="17" t="str">
        <f t="shared" si="25"/>
        <v/>
      </c>
      <c r="AO26" s="46" t="str">
        <f t="shared" si="25"/>
        <v/>
      </c>
      <c r="AP26" s="17" t="str">
        <f t="shared" si="25"/>
        <v/>
      </c>
      <c r="AQ26" s="46" t="str">
        <f t="shared" si="25"/>
        <v/>
      </c>
      <c r="AR26" s="17" t="str">
        <f t="shared" si="25"/>
        <v/>
      </c>
      <c r="AS26" s="46" t="str">
        <f t="shared" si="25"/>
        <v/>
      </c>
      <c r="AT26" s="17" t="str">
        <f t="shared" si="25"/>
        <v/>
      </c>
      <c r="AU26" s="46" t="str">
        <f t="shared" si="25"/>
        <v/>
      </c>
      <c r="AV26" s="17" t="str">
        <f t="shared" si="25"/>
        <v/>
      </c>
      <c r="AW26" s="46" t="str">
        <f t="shared" si="25"/>
        <v/>
      </c>
      <c r="AX26" s="17" t="str">
        <f t="shared" si="25"/>
        <v/>
      </c>
      <c r="AY26" s="46" t="str">
        <f t="shared" si="25"/>
        <v/>
      </c>
      <c r="AZ26" s="17" t="str">
        <f t="shared" si="25"/>
        <v/>
      </c>
      <c r="BA26" s="46" t="str">
        <f t="shared" si="25"/>
        <v/>
      </c>
      <c r="BB26" s="17" t="str">
        <f t="shared" si="25"/>
        <v/>
      </c>
      <c r="BC26" s="46" t="str">
        <f t="shared" si="25"/>
        <v/>
      </c>
      <c r="BD26" s="17" t="str">
        <f t="shared" si="25"/>
        <v/>
      </c>
      <c r="BE26" s="46" t="str">
        <f t="shared" si="25"/>
        <v/>
      </c>
      <c r="BF26" s="17" t="str">
        <f t="shared" si="25"/>
        <v/>
      </c>
      <c r="BG26" s="46" t="str">
        <f t="shared" si="25"/>
        <v/>
      </c>
      <c r="BH26" s="17" t="str">
        <f t="shared" si="25"/>
        <v/>
      </c>
      <c r="BI26" s="46" t="str">
        <f t="shared" si="25"/>
        <v/>
      </c>
      <c r="BJ26" s="17" t="str">
        <f t="shared" si="25"/>
        <v/>
      </c>
      <c r="BK26" s="46" t="str">
        <f t="shared" si="25"/>
        <v/>
      </c>
      <c r="BL26" s="17" t="str">
        <f t="shared" si="25"/>
        <v/>
      </c>
      <c r="BM26" s="46" t="str">
        <f t="shared" si="25"/>
        <v/>
      </c>
      <c r="BN26" s="17" t="str">
        <f t="shared" si="25"/>
        <v/>
      </c>
      <c r="BO26" s="46" t="str">
        <f t="shared" si="25"/>
        <v/>
      </c>
      <c r="BP26" s="17" t="str">
        <f t="shared" si="25"/>
        <v/>
      </c>
      <c r="BQ26" s="46" t="str">
        <f t="shared" si="25"/>
        <v/>
      </c>
      <c r="BR26" s="17" t="str">
        <f t="shared" si="25"/>
        <v/>
      </c>
      <c r="BS26" s="46" t="str">
        <f t="shared" si="25"/>
        <v/>
      </c>
      <c r="BT26" s="17" t="str">
        <f t="shared" si="25"/>
        <v/>
      </c>
      <c r="BU26" s="46" t="str">
        <f t="shared" si="25"/>
        <v/>
      </c>
      <c r="BV26" s="17" t="str">
        <f t="shared" si="25"/>
        <v/>
      </c>
      <c r="BW26" s="46" t="str">
        <f t="shared" si="25"/>
        <v/>
      </c>
      <c r="BX26" s="17" t="str">
        <f t="shared" si="25"/>
        <v/>
      </c>
      <c r="BY26" s="46" t="str">
        <f t="shared" si="25"/>
        <v/>
      </c>
      <c r="BZ26" s="17" t="str">
        <f t="shared" si="25"/>
        <v/>
      </c>
      <c r="CA26" s="46" t="str">
        <f t="shared" si="25"/>
        <v/>
      </c>
      <c r="CB26" s="17" t="str">
        <f t="shared" si="25"/>
        <v/>
      </c>
      <c r="CC26" s="46" t="str">
        <f t="shared" si="25"/>
        <v/>
      </c>
      <c r="CD26" s="17" t="str">
        <f t="shared" si="25"/>
        <v/>
      </c>
      <c r="CE26" s="46" t="str">
        <f t="shared" si="25"/>
        <v/>
      </c>
      <c r="CF26" s="17" t="str">
        <f t="shared" si="25"/>
        <v/>
      </c>
      <c r="CG26" s="46" t="str">
        <f t="shared" si="25"/>
        <v/>
      </c>
      <c r="CH26" s="17" t="str">
        <f t="shared" si="25"/>
        <v/>
      </c>
      <c r="CI26" s="46" t="str">
        <f t="shared" si="25"/>
        <v/>
      </c>
      <c r="CJ26" s="17" t="str">
        <f t="shared" si="25"/>
        <v/>
      </c>
      <c r="CK26" s="46" t="str">
        <f t="shared" si="25"/>
        <v/>
      </c>
      <c r="CL26" s="17" t="str">
        <f t="shared" si="25"/>
        <v/>
      </c>
      <c r="CM26" s="46" t="str">
        <f t="shared" si="25"/>
        <v/>
      </c>
      <c r="CN26" s="17" t="str">
        <f t="shared" si="25"/>
        <v/>
      </c>
      <c r="CO26" s="46" t="str">
        <f t="shared" si="25"/>
        <v/>
      </c>
      <c r="CP26" s="17" t="str">
        <f t="shared" si="25"/>
        <v/>
      </c>
      <c r="CQ26" s="46" t="str">
        <f t="shared" si="25"/>
        <v/>
      </c>
      <c r="CR26" s="17" t="str">
        <f t="shared" si="25"/>
        <v/>
      </c>
      <c r="CS26" s="46" t="str">
        <f t="shared" si="25"/>
        <v/>
      </c>
      <c r="CT26" s="17" t="str">
        <f t="shared" si="25"/>
        <v/>
      </c>
      <c r="CU26" s="46" t="str">
        <f t="shared" si="25"/>
        <v/>
      </c>
      <c r="CV26" s="17" t="str">
        <f t="shared" si="25"/>
        <v/>
      </c>
      <c r="CW26" s="46" t="str">
        <f t="shared" si="25"/>
        <v/>
      </c>
      <c r="CX26" s="17" t="str">
        <f t="shared" si="25"/>
        <v/>
      </c>
      <c r="CY26" s="46" t="str">
        <f t="shared" si="25"/>
        <v/>
      </c>
      <c r="CZ26" s="17" t="str">
        <f t="shared" si="25"/>
        <v/>
      </c>
      <c r="DA26" s="46" t="str">
        <f t="shared" si="25"/>
        <v/>
      </c>
      <c r="DB26" s="17" t="str">
        <f t="shared" si="25"/>
        <v/>
      </c>
      <c r="DC26" s="46" t="str">
        <f t="shared" si="25"/>
        <v/>
      </c>
      <c r="DD26" s="17" t="str">
        <f t="shared" si="25"/>
        <v/>
      </c>
      <c r="DE26" s="46" t="str">
        <f t="shared" si="25"/>
        <v/>
      </c>
      <c r="DF26" s="17" t="str">
        <f t="shared" si="25"/>
        <v/>
      </c>
      <c r="DG26" s="46" t="str">
        <f t="shared" si="25"/>
        <v/>
      </c>
      <c r="DH26" s="17" t="str">
        <f t="shared" si="25"/>
        <v/>
      </c>
      <c r="DI26" s="46" t="str">
        <f t="shared" si="25"/>
        <v/>
      </c>
      <c r="DJ26" s="17" t="str">
        <f t="shared" si="25"/>
        <v/>
      </c>
      <c r="DK26" s="46" t="str">
        <f t="shared" si="25"/>
        <v/>
      </c>
      <c r="DL26" s="17" t="str">
        <f t="shared" si="25"/>
        <v/>
      </c>
      <c r="DM26" s="46" t="str">
        <f t="shared" si="25"/>
        <v/>
      </c>
      <c r="DN26" s="17" t="str">
        <f t="shared" si="25"/>
        <v/>
      </c>
      <c r="DO26" s="46" t="str">
        <f t="shared" si="25"/>
        <v/>
      </c>
      <c r="DP26" s="17" t="str">
        <f t="shared" si="25"/>
        <v/>
      </c>
      <c r="DQ26" s="46" t="str">
        <f t="shared" si="25"/>
        <v/>
      </c>
      <c r="DR26" s="17" t="str">
        <f t="shared" si="25"/>
        <v/>
      </c>
      <c r="DS26" s="46" t="str">
        <f t="shared" si="25"/>
        <v/>
      </c>
      <c r="DT26" s="17" t="str">
        <f t="shared" si="25"/>
        <v/>
      </c>
      <c r="DU26" s="46" t="str">
        <f t="shared" si="25"/>
        <v/>
      </c>
      <c r="DV26" s="17" t="str">
        <f t="shared" si="25"/>
        <v/>
      </c>
      <c r="DW26" s="46" t="str">
        <f t="shared" si="25"/>
        <v/>
      </c>
      <c r="DX26" s="17" t="str">
        <f t="shared" si="25"/>
        <v/>
      </c>
      <c r="DY26" s="46" t="str">
        <f t="shared" si="25"/>
        <v/>
      </c>
      <c r="DZ26" s="17" t="str">
        <f t="shared" si="25"/>
        <v/>
      </c>
      <c r="EA26" s="46" t="str">
        <f t="shared" si="25"/>
        <v/>
      </c>
      <c r="EB26" s="17" t="str">
        <f t="shared" si="25"/>
        <v/>
      </c>
      <c r="EC26" s="46" t="str">
        <f t="shared" si="25"/>
        <v/>
      </c>
      <c r="ED26" s="17" t="str">
        <f t="shared" si="25"/>
        <v/>
      </c>
      <c r="EE26" s="46" t="str">
        <f t="shared" si="25"/>
        <v/>
      </c>
      <c r="EF26" s="17" t="str">
        <f t="shared" si="25"/>
        <v/>
      </c>
      <c r="EG26" s="46" t="str">
        <f t="shared" si="25"/>
        <v/>
      </c>
      <c r="EH26" s="17" t="str">
        <f t="shared" si="25"/>
        <v/>
      </c>
      <c r="EI26" s="46" t="str">
        <f t="shared" si="25"/>
        <v/>
      </c>
      <c r="EJ26" s="17" t="str">
        <f t="shared" si="25"/>
        <v/>
      </c>
      <c r="EK26" s="46" t="str">
        <f t="shared" si="25"/>
        <v/>
      </c>
      <c r="EL26" s="17" t="str">
        <f t="shared" si="25"/>
        <v/>
      </c>
      <c r="EM26" s="46" t="str">
        <f t="shared" si="25"/>
        <v/>
      </c>
      <c r="EN26" s="17" t="str">
        <f t="shared" si="25"/>
        <v/>
      </c>
      <c r="EO26" s="46" t="str">
        <f t="shared" si="25"/>
        <v/>
      </c>
      <c r="EP26" s="17" t="str">
        <f t="shared" si="25"/>
        <v/>
      </c>
    </row>
    <row r="27" ht="15.75" customHeight="1">
      <c r="A27" s="6" t="str">
        <f>Menus!B19</f>
        <v/>
      </c>
      <c r="B27" s="43">
        <f t="shared" si="11"/>
        <v>0</v>
      </c>
      <c r="C27" s="54" t="str">
        <f t="shared" ref="C27:EP27" si="26">IFERROR(
  LET(
    resultado,
      INDEX(
        INDIRECT($B$1),
        MATCH(RIGHT($A27, LEN($A27)-4), INDIRECT($B$3), 0),
        MATCH(C$1, INDIRECT($B$5), 0)
      ),
    IF(resultado="-", "", resultado) 
  ),
"")
</f>
        <v/>
      </c>
      <c r="D27" s="55" t="str">
        <f t="shared" si="26"/>
        <v/>
      </c>
      <c r="E27" s="46" t="str">
        <f t="shared" si="26"/>
        <v/>
      </c>
      <c r="F27" s="17" t="str">
        <f t="shared" si="26"/>
        <v/>
      </c>
      <c r="G27" s="46" t="str">
        <f t="shared" si="26"/>
        <v/>
      </c>
      <c r="H27" s="17" t="str">
        <f t="shared" si="26"/>
        <v/>
      </c>
      <c r="I27" s="46" t="str">
        <f t="shared" si="26"/>
        <v/>
      </c>
      <c r="J27" s="17" t="str">
        <f t="shared" si="26"/>
        <v/>
      </c>
      <c r="K27" s="46" t="str">
        <f t="shared" si="26"/>
        <v/>
      </c>
      <c r="L27" s="17" t="str">
        <f t="shared" si="26"/>
        <v/>
      </c>
      <c r="M27" s="46" t="str">
        <f t="shared" si="26"/>
        <v/>
      </c>
      <c r="N27" s="17" t="str">
        <f t="shared" si="26"/>
        <v/>
      </c>
      <c r="O27" s="46" t="str">
        <f t="shared" si="26"/>
        <v/>
      </c>
      <c r="P27" s="17" t="str">
        <f t="shared" si="26"/>
        <v/>
      </c>
      <c r="Q27" s="46" t="str">
        <f t="shared" si="26"/>
        <v/>
      </c>
      <c r="R27" s="17" t="str">
        <f t="shared" si="26"/>
        <v/>
      </c>
      <c r="S27" s="46" t="str">
        <f t="shared" si="26"/>
        <v/>
      </c>
      <c r="T27" s="17" t="str">
        <f t="shared" si="26"/>
        <v/>
      </c>
      <c r="U27" s="46" t="str">
        <f t="shared" si="26"/>
        <v/>
      </c>
      <c r="V27" s="17" t="str">
        <f t="shared" si="26"/>
        <v/>
      </c>
      <c r="W27" s="46" t="str">
        <f t="shared" si="26"/>
        <v/>
      </c>
      <c r="X27" s="17" t="str">
        <f t="shared" si="26"/>
        <v/>
      </c>
      <c r="Y27" s="46" t="str">
        <f t="shared" si="26"/>
        <v/>
      </c>
      <c r="Z27" s="17" t="str">
        <f t="shared" si="26"/>
        <v/>
      </c>
      <c r="AA27" s="46" t="str">
        <f t="shared" si="26"/>
        <v/>
      </c>
      <c r="AB27" s="17" t="str">
        <f t="shared" si="26"/>
        <v/>
      </c>
      <c r="AC27" s="46" t="str">
        <f t="shared" si="26"/>
        <v/>
      </c>
      <c r="AD27" s="17" t="str">
        <f t="shared" si="26"/>
        <v/>
      </c>
      <c r="AE27" s="46" t="str">
        <f t="shared" si="26"/>
        <v/>
      </c>
      <c r="AF27" s="17" t="str">
        <f t="shared" si="26"/>
        <v/>
      </c>
      <c r="AG27" s="46" t="str">
        <f t="shared" si="26"/>
        <v/>
      </c>
      <c r="AH27" s="17" t="str">
        <f t="shared" si="26"/>
        <v/>
      </c>
      <c r="AI27" s="46" t="str">
        <f t="shared" si="26"/>
        <v/>
      </c>
      <c r="AJ27" s="17" t="str">
        <f t="shared" si="26"/>
        <v/>
      </c>
      <c r="AK27" s="46" t="str">
        <f t="shared" si="26"/>
        <v/>
      </c>
      <c r="AL27" s="17" t="str">
        <f t="shared" si="26"/>
        <v/>
      </c>
      <c r="AM27" s="46" t="str">
        <f t="shared" si="26"/>
        <v/>
      </c>
      <c r="AN27" s="17" t="str">
        <f t="shared" si="26"/>
        <v/>
      </c>
      <c r="AO27" s="46" t="str">
        <f t="shared" si="26"/>
        <v/>
      </c>
      <c r="AP27" s="17" t="str">
        <f t="shared" si="26"/>
        <v/>
      </c>
      <c r="AQ27" s="46" t="str">
        <f t="shared" si="26"/>
        <v/>
      </c>
      <c r="AR27" s="17" t="str">
        <f t="shared" si="26"/>
        <v/>
      </c>
      <c r="AS27" s="46" t="str">
        <f t="shared" si="26"/>
        <v/>
      </c>
      <c r="AT27" s="17" t="str">
        <f t="shared" si="26"/>
        <v/>
      </c>
      <c r="AU27" s="46" t="str">
        <f t="shared" si="26"/>
        <v/>
      </c>
      <c r="AV27" s="17" t="str">
        <f t="shared" si="26"/>
        <v/>
      </c>
      <c r="AW27" s="46" t="str">
        <f t="shared" si="26"/>
        <v/>
      </c>
      <c r="AX27" s="17" t="str">
        <f t="shared" si="26"/>
        <v/>
      </c>
      <c r="AY27" s="46" t="str">
        <f t="shared" si="26"/>
        <v/>
      </c>
      <c r="AZ27" s="17" t="str">
        <f t="shared" si="26"/>
        <v/>
      </c>
      <c r="BA27" s="46" t="str">
        <f t="shared" si="26"/>
        <v/>
      </c>
      <c r="BB27" s="17" t="str">
        <f t="shared" si="26"/>
        <v/>
      </c>
      <c r="BC27" s="46" t="str">
        <f t="shared" si="26"/>
        <v/>
      </c>
      <c r="BD27" s="17" t="str">
        <f t="shared" si="26"/>
        <v/>
      </c>
      <c r="BE27" s="46" t="str">
        <f t="shared" si="26"/>
        <v/>
      </c>
      <c r="BF27" s="17" t="str">
        <f t="shared" si="26"/>
        <v/>
      </c>
      <c r="BG27" s="46" t="str">
        <f t="shared" si="26"/>
        <v/>
      </c>
      <c r="BH27" s="17" t="str">
        <f t="shared" si="26"/>
        <v/>
      </c>
      <c r="BI27" s="46" t="str">
        <f t="shared" si="26"/>
        <v/>
      </c>
      <c r="BJ27" s="17" t="str">
        <f t="shared" si="26"/>
        <v/>
      </c>
      <c r="BK27" s="46" t="str">
        <f t="shared" si="26"/>
        <v/>
      </c>
      <c r="BL27" s="17" t="str">
        <f t="shared" si="26"/>
        <v/>
      </c>
      <c r="BM27" s="46" t="str">
        <f t="shared" si="26"/>
        <v/>
      </c>
      <c r="BN27" s="17" t="str">
        <f t="shared" si="26"/>
        <v/>
      </c>
      <c r="BO27" s="46" t="str">
        <f t="shared" si="26"/>
        <v/>
      </c>
      <c r="BP27" s="17" t="str">
        <f t="shared" si="26"/>
        <v/>
      </c>
      <c r="BQ27" s="46" t="str">
        <f t="shared" si="26"/>
        <v/>
      </c>
      <c r="BR27" s="17" t="str">
        <f t="shared" si="26"/>
        <v/>
      </c>
      <c r="BS27" s="46" t="str">
        <f t="shared" si="26"/>
        <v/>
      </c>
      <c r="BT27" s="17" t="str">
        <f t="shared" si="26"/>
        <v/>
      </c>
      <c r="BU27" s="46" t="str">
        <f t="shared" si="26"/>
        <v/>
      </c>
      <c r="BV27" s="17" t="str">
        <f t="shared" si="26"/>
        <v/>
      </c>
      <c r="BW27" s="46" t="str">
        <f t="shared" si="26"/>
        <v/>
      </c>
      <c r="BX27" s="17" t="str">
        <f t="shared" si="26"/>
        <v/>
      </c>
      <c r="BY27" s="46" t="str">
        <f t="shared" si="26"/>
        <v/>
      </c>
      <c r="BZ27" s="17" t="str">
        <f t="shared" si="26"/>
        <v/>
      </c>
      <c r="CA27" s="46" t="str">
        <f t="shared" si="26"/>
        <v/>
      </c>
      <c r="CB27" s="17" t="str">
        <f t="shared" si="26"/>
        <v/>
      </c>
      <c r="CC27" s="46" t="str">
        <f t="shared" si="26"/>
        <v/>
      </c>
      <c r="CD27" s="17" t="str">
        <f t="shared" si="26"/>
        <v/>
      </c>
      <c r="CE27" s="46" t="str">
        <f t="shared" si="26"/>
        <v/>
      </c>
      <c r="CF27" s="17" t="str">
        <f t="shared" si="26"/>
        <v/>
      </c>
      <c r="CG27" s="46" t="str">
        <f t="shared" si="26"/>
        <v/>
      </c>
      <c r="CH27" s="17" t="str">
        <f t="shared" si="26"/>
        <v/>
      </c>
      <c r="CI27" s="46" t="str">
        <f t="shared" si="26"/>
        <v/>
      </c>
      <c r="CJ27" s="17" t="str">
        <f t="shared" si="26"/>
        <v/>
      </c>
      <c r="CK27" s="46" t="str">
        <f t="shared" si="26"/>
        <v/>
      </c>
      <c r="CL27" s="17" t="str">
        <f t="shared" si="26"/>
        <v/>
      </c>
      <c r="CM27" s="46" t="str">
        <f t="shared" si="26"/>
        <v/>
      </c>
      <c r="CN27" s="17" t="str">
        <f t="shared" si="26"/>
        <v/>
      </c>
      <c r="CO27" s="46" t="str">
        <f t="shared" si="26"/>
        <v/>
      </c>
      <c r="CP27" s="17" t="str">
        <f t="shared" si="26"/>
        <v/>
      </c>
      <c r="CQ27" s="46" t="str">
        <f t="shared" si="26"/>
        <v/>
      </c>
      <c r="CR27" s="17" t="str">
        <f t="shared" si="26"/>
        <v/>
      </c>
      <c r="CS27" s="46" t="str">
        <f t="shared" si="26"/>
        <v/>
      </c>
      <c r="CT27" s="17" t="str">
        <f t="shared" si="26"/>
        <v/>
      </c>
      <c r="CU27" s="46" t="str">
        <f t="shared" si="26"/>
        <v/>
      </c>
      <c r="CV27" s="17" t="str">
        <f t="shared" si="26"/>
        <v/>
      </c>
      <c r="CW27" s="46" t="str">
        <f t="shared" si="26"/>
        <v/>
      </c>
      <c r="CX27" s="17" t="str">
        <f t="shared" si="26"/>
        <v/>
      </c>
      <c r="CY27" s="46" t="str">
        <f t="shared" si="26"/>
        <v/>
      </c>
      <c r="CZ27" s="17" t="str">
        <f t="shared" si="26"/>
        <v/>
      </c>
      <c r="DA27" s="46" t="str">
        <f t="shared" si="26"/>
        <v/>
      </c>
      <c r="DB27" s="17" t="str">
        <f t="shared" si="26"/>
        <v/>
      </c>
      <c r="DC27" s="46" t="str">
        <f t="shared" si="26"/>
        <v/>
      </c>
      <c r="DD27" s="17" t="str">
        <f t="shared" si="26"/>
        <v/>
      </c>
      <c r="DE27" s="46" t="str">
        <f t="shared" si="26"/>
        <v/>
      </c>
      <c r="DF27" s="17" t="str">
        <f t="shared" si="26"/>
        <v/>
      </c>
      <c r="DG27" s="46" t="str">
        <f t="shared" si="26"/>
        <v/>
      </c>
      <c r="DH27" s="17" t="str">
        <f t="shared" si="26"/>
        <v/>
      </c>
      <c r="DI27" s="46" t="str">
        <f t="shared" si="26"/>
        <v/>
      </c>
      <c r="DJ27" s="17" t="str">
        <f t="shared" si="26"/>
        <v/>
      </c>
      <c r="DK27" s="46" t="str">
        <f t="shared" si="26"/>
        <v/>
      </c>
      <c r="DL27" s="17" t="str">
        <f t="shared" si="26"/>
        <v/>
      </c>
      <c r="DM27" s="46" t="str">
        <f t="shared" si="26"/>
        <v/>
      </c>
      <c r="DN27" s="17" t="str">
        <f t="shared" si="26"/>
        <v/>
      </c>
      <c r="DO27" s="46" t="str">
        <f t="shared" si="26"/>
        <v/>
      </c>
      <c r="DP27" s="17" t="str">
        <f t="shared" si="26"/>
        <v/>
      </c>
      <c r="DQ27" s="46" t="str">
        <f t="shared" si="26"/>
        <v/>
      </c>
      <c r="DR27" s="17" t="str">
        <f t="shared" si="26"/>
        <v/>
      </c>
      <c r="DS27" s="46" t="str">
        <f t="shared" si="26"/>
        <v/>
      </c>
      <c r="DT27" s="17" t="str">
        <f t="shared" si="26"/>
        <v/>
      </c>
      <c r="DU27" s="46" t="str">
        <f t="shared" si="26"/>
        <v/>
      </c>
      <c r="DV27" s="17" t="str">
        <f t="shared" si="26"/>
        <v/>
      </c>
      <c r="DW27" s="46" t="str">
        <f t="shared" si="26"/>
        <v/>
      </c>
      <c r="DX27" s="17" t="str">
        <f t="shared" si="26"/>
        <v/>
      </c>
      <c r="DY27" s="46" t="str">
        <f t="shared" si="26"/>
        <v/>
      </c>
      <c r="DZ27" s="17" t="str">
        <f t="shared" si="26"/>
        <v/>
      </c>
      <c r="EA27" s="46" t="str">
        <f t="shared" si="26"/>
        <v/>
      </c>
      <c r="EB27" s="17" t="str">
        <f t="shared" si="26"/>
        <v/>
      </c>
      <c r="EC27" s="46" t="str">
        <f t="shared" si="26"/>
        <v/>
      </c>
      <c r="ED27" s="17" t="str">
        <f t="shared" si="26"/>
        <v/>
      </c>
      <c r="EE27" s="46" t="str">
        <f t="shared" si="26"/>
        <v/>
      </c>
      <c r="EF27" s="17" t="str">
        <f t="shared" si="26"/>
        <v/>
      </c>
      <c r="EG27" s="46" t="str">
        <f t="shared" si="26"/>
        <v/>
      </c>
      <c r="EH27" s="17" t="str">
        <f t="shared" si="26"/>
        <v/>
      </c>
      <c r="EI27" s="46" t="str">
        <f t="shared" si="26"/>
        <v/>
      </c>
      <c r="EJ27" s="17" t="str">
        <f t="shared" si="26"/>
        <v/>
      </c>
      <c r="EK27" s="46" t="str">
        <f t="shared" si="26"/>
        <v/>
      </c>
      <c r="EL27" s="17" t="str">
        <f t="shared" si="26"/>
        <v/>
      </c>
      <c r="EM27" s="46" t="str">
        <f t="shared" si="26"/>
        <v/>
      </c>
      <c r="EN27" s="17" t="str">
        <f t="shared" si="26"/>
        <v/>
      </c>
      <c r="EO27" s="46" t="str">
        <f t="shared" si="26"/>
        <v/>
      </c>
      <c r="EP27" s="17" t="str">
        <f t="shared" si="26"/>
        <v/>
      </c>
    </row>
    <row r="28" ht="15.75" customHeight="1">
      <c r="A28" s="6" t="str">
        <f>Menus!B20</f>
        <v/>
      </c>
      <c r="B28" s="43">
        <f t="shared" si="11"/>
        <v>0</v>
      </c>
      <c r="C28" s="54" t="str">
        <f t="shared" ref="C28:EP28" si="27">IFERROR(
  LET(
    resultado,
      INDEX(
        INDIRECT($B$1),
        MATCH(RIGHT($A28, LEN($A28)-4), INDIRECT($B$3), 0),
        MATCH(C$1, INDIRECT($B$5), 0)
      ),
    IF(resultado="-", "", resultado) 
  ),
"")
</f>
        <v/>
      </c>
      <c r="D28" s="55" t="str">
        <f t="shared" si="27"/>
        <v/>
      </c>
      <c r="E28" s="46" t="str">
        <f t="shared" si="27"/>
        <v/>
      </c>
      <c r="F28" s="17" t="str">
        <f t="shared" si="27"/>
        <v/>
      </c>
      <c r="G28" s="46" t="str">
        <f t="shared" si="27"/>
        <v/>
      </c>
      <c r="H28" s="17" t="str">
        <f t="shared" si="27"/>
        <v/>
      </c>
      <c r="I28" s="46" t="str">
        <f t="shared" si="27"/>
        <v/>
      </c>
      <c r="J28" s="17" t="str">
        <f t="shared" si="27"/>
        <v/>
      </c>
      <c r="K28" s="46" t="str">
        <f t="shared" si="27"/>
        <v/>
      </c>
      <c r="L28" s="17" t="str">
        <f t="shared" si="27"/>
        <v/>
      </c>
      <c r="M28" s="46" t="str">
        <f t="shared" si="27"/>
        <v/>
      </c>
      <c r="N28" s="17" t="str">
        <f t="shared" si="27"/>
        <v/>
      </c>
      <c r="O28" s="46" t="str">
        <f t="shared" si="27"/>
        <v/>
      </c>
      <c r="P28" s="17" t="str">
        <f t="shared" si="27"/>
        <v/>
      </c>
      <c r="Q28" s="46" t="str">
        <f t="shared" si="27"/>
        <v/>
      </c>
      <c r="R28" s="17" t="str">
        <f t="shared" si="27"/>
        <v/>
      </c>
      <c r="S28" s="46" t="str">
        <f t="shared" si="27"/>
        <v/>
      </c>
      <c r="T28" s="17" t="str">
        <f t="shared" si="27"/>
        <v/>
      </c>
      <c r="U28" s="46" t="str">
        <f t="shared" si="27"/>
        <v/>
      </c>
      <c r="V28" s="17" t="str">
        <f t="shared" si="27"/>
        <v/>
      </c>
      <c r="W28" s="46" t="str">
        <f t="shared" si="27"/>
        <v/>
      </c>
      <c r="X28" s="17" t="str">
        <f t="shared" si="27"/>
        <v/>
      </c>
      <c r="Y28" s="46" t="str">
        <f t="shared" si="27"/>
        <v/>
      </c>
      <c r="Z28" s="17" t="str">
        <f t="shared" si="27"/>
        <v/>
      </c>
      <c r="AA28" s="46" t="str">
        <f t="shared" si="27"/>
        <v/>
      </c>
      <c r="AB28" s="17" t="str">
        <f t="shared" si="27"/>
        <v/>
      </c>
      <c r="AC28" s="46" t="str">
        <f t="shared" si="27"/>
        <v/>
      </c>
      <c r="AD28" s="17" t="str">
        <f t="shared" si="27"/>
        <v/>
      </c>
      <c r="AE28" s="46" t="str">
        <f t="shared" si="27"/>
        <v/>
      </c>
      <c r="AF28" s="17" t="str">
        <f t="shared" si="27"/>
        <v/>
      </c>
      <c r="AG28" s="46" t="str">
        <f t="shared" si="27"/>
        <v/>
      </c>
      <c r="AH28" s="17" t="str">
        <f t="shared" si="27"/>
        <v/>
      </c>
      <c r="AI28" s="46" t="str">
        <f t="shared" si="27"/>
        <v/>
      </c>
      <c r="AJ28" s="17" t="str">
        <f t="shared" si="27"/>
        <v/>
      </c>
      <c r="AK28" s="46" t="str">
        <f t="shared" si="27"/>
        <v/>
      </c>
      <c r="AL28" s="17" t="str">
        <f t="shared" si="27"/>
        <v/>
      </c>
      <c r="AM28" s="46" t="str">
        <f t="shared" si="27"/>
        <v/>
      </c>
      <c r="AN28" s="17" t="str">
        <f t="shared" si="27"/>
        <v/>
      </c>
      <c r="AO28" s="46" t="str">
        <f t="shared" si="27"/>
        <v/>
      </c>
      <c r="AP28" s="17" t="str">
        <f t="shared" si="27"/>
        <v/>
      </c>
      <c r="AQ28" s="46" t="str">
        <f t="shared" si="27"/>
        <v/>
      </c>
      <c r="AR28" s="17" t="str">
        <f t="shared" si="27"/>
        <v/>
      </c>
      <c r="AS28" s="46" t="str">
        <f t="shared" si="27"/>
        <v/>
      </c>
      <c r="AT28" s="17" t="str">
        <f t="shared" si="27"/>
        <v/>
      </c>
      <c r="AU28" s="46" t="str">
        <f t="shared" si="27"/>
        <v/>
      </c>
      <c r="AV28" s="17" t="str">
        <f t="shared" si="27"/>
        <v/>
      </c>
      <c r="AW28" s="46" t="str">
        <f t="shared" si="27"/>
        <v/>
      </c>
      <c r="AX28" s="17" t="str">
        <f t="shared" si="27"/>
        <v/>
      </c>
      <c r="AY28" s="46" t="str">
        <f t="shared" si="27"/>
        <v/>
      </c>
      <c r="AZ28" s="17" t="str">
        <f t="shared" si="27"/>
        <v/>
      </c>
      <c r="BA28" s="46" t="str">
        <f t="shared" si="27"/>
        <v/>
      </c>
      <c r="BB28" s="17" t="str">
        <f t="shared" si="27"/>
        <v/>
      </c>
      <c r="BC28" s="46" t="str">
        <f t="shared" si="27"/>
        <v/>
      </c>
      <c r="BD28" s="17" t="str">
        <f t="shared" si="27"/>
        <v/>
      </c>
      <c r="BE28" s="46" t="str">
        <f t="shared" si="27"/>
        <v/>
      </c>
      <c r="BF28" s="17" t="str">
        <f t="shared" si="27"/>
        <v/>
      </c>
      <c r="BG28" s="46" t="str">
        <f t="shared" si="27"/>
        <v/>
      </c>
      <c r="BH28" s="17" t="str">
        <f t="shared" si="27"/>
        <v/>
      </c>
      <c r="BI28" s="46" t="str">
        <f t="shared" si="27"/>
        <v/>
      </c>
      <c r="BJ28" s="17" t="str">
        <f t="shared" si="27"/>
        <v/>
      </c>
      <c r="BK28" s="46" t="str">
        <f t="shared" si="27"/>
        <v/>
      </c>
      <c r="BL28" s="17" t="str">
        <f t="shared" si="27"/>
        <v/>
      </c>
      <c r="BM28" s="46" t="str">
        <f t="shared" si="27"/>
        <v/>
      </c>
      <c r="BN28" s="17" t="str">
        <f t="shared" si="27"/>
        <v/>
      </c>
      <c r="BO28" s="46" t="str">
        <f t="shared" si="27"/>
        <v/>
      </c>
      <c r="BP28" s="17" t="str">
        <f t="shared" si="27"/>
        <v/>
      </c>
      <c r="BQ28" s="46" t="str">
        <f t="shared" si="27"/>
        <v/>
      </c>
      <c r="BR28" s="17" t="str">
        <f t="shared" si="27"/>
        <v/>
      </c>
      <c r="BS28" s="46" t="str">
        <f t="shared" si="27"/>
        <v/>
      </c>
      <c r="BT28" s="17" t="str">
        <f t="shared" si="27"/>
        <v/>
      </c>
      <c r="BU28" s="46" t="str">
        <f t="shared" si="27"/>
        <v/>
      </c>
      <c r="BV28" s="17" t="str">
        <f t="shared" si="27"/>
        <v/>
      </c>
      <c r="BW28" s="46" t="str">
        <f t="shared" si="27"/>
        <v/>
      </c>
      <c r="BX28" s="17" t="str">
        <f t="shared" si="27"/>
        <v/>
      </c>
      <c r="BY28" s="46" t="str">
        <f t="shared" si="27"/>
        <v/>
      </c>
      <c r="BZ28" s="17" t="str">
        <f t="shared" si="27"/>
        <v/>
      </c>
      <c r="CA28" s="46" t="str">
        <f t="shared" si="27"/>
        <v/>
      </c>
      <c r="CB28" s="17" t="str">
        <f t="shared" si="27"/>
        <v/>
      </c>
      <c r="CC28" s="46" t="str">
        <f t="shared" si="27"/>
        <v/>
      </c>
      <c r="CD28" s="17" t="str">
        <f t="shared" si="27"/>
        <v/>
      </c>
      <c r="CE28" s="46" t="str">
        <f t="shared" si="27"/>
        <v/>
      </c>
      <c r="CF28" s="17" t="str">
        <f t="shared" si="27"/>
        <v/>
      </c>
      <c r="CG28" s="46" t="str">
        <f t="shared" si="27"/>
        <v/>
      </c>
      <c r="CH28" s="17" t="str">
        <f t="shared" si="27"/>
        <v/>
      </c>
      <c r="CI28" s="46" t="str">
        <f t="shared" si="27"/>
        <v/>
      </c>
      <c r="CJ28" s="17" t="str">
        <f t="shared" si="27"/>
        <v/>
      </c>
      <c r="CK28" s="46" t="str">
        <f t="shared" si="27"/>
        <v/>
      </c>
      <c r="CL28" s="17" t="str">
        <f t="shared" si="27"/>
        <v/>
      </c>
      <c r="CM28" s="46" t="str">
        <f t="shared" si="27"/>
        <v/>
      </c>
      <c r="CN28" s="17" t="str">
        <f t="shared" si="27"/>
        <v/>
      </c>
      <c r="CO28" s="46" t="str">
        <f t="shared" si="27"/>
        <v/>
      </c>
      <c r="CP28" s="17" t="str">
        <f t="shared" si="27"/>
        <v/>
      </c>
      <c r="CQ28" s="46" t="str">
        <f t="shared" si="27"/>
        <v/>
      </c>
      <c r="CR28" s="17" t="str">
        <f t="shared" si="27"/>
        <v/>
      </c>
      <c r="CS28" s="46" t="str">
        <f t="shared" si="27"/>
        <v/>
      </c>
      <c r="CT28" s="17" t="str">
        <f t="shared" si="27"/>
        <v/>
      </c>
      <c r="CU28" s="46" t="str">
        <f t="shared" si="27"/>
        <v/>
      </c>
      <c r="CV28" s="17" t="str">
        <f t="shared" si="27"/>
        <v/>
      </c>
      <c r="CW28" s="46" t="str">
        <f t="shared" si="27"/>
        <v/>
      </c>
      <c r="CX28" s="17" t="str">
        <f t="shared" si="27"/>
        <v/>
      </c>
      <c r="CY28" s="46" t="str">
        <f t="shared" si="27"/>
        <v/>
      </c>
      <c r="CZ28" s="17" t="str">
        <f t="shared" si="27"/>
        <v/>
      </c>
      <c r="DA28" s="46" t="str">
        <f t="shared" si="27"/>
        <v/>
      </c>
      <c r="DB28" s="17" t="str">
        <f t="shared" si="27"/>
        <v/>
      </c>
      <c r="DC28" s="46" t="str">
        <f t="shared" si="27"/>
        <v/>
      </c>
      <c r="DD28" s="17" t="str">
        <f t="shared" si="27"/>
        <v/>
      </c>
      <c r="DE28" s="46" t="str">
        <f t="shared" si="27"/>
        <v/>
      </c>
      <c r="DF28" s="17" t="str">
        <f t="shared" si="27"/>
        <v/>
      </c>
      <c r="DG28" s="46" t="str">
        <f t="shared" si="27"/>
        <v/>
      </c>
      <c r="DH28" s="17" t="str">
        <f t="shared" si="27"/>
        <v/>
      </c>
      <c r="DI28" s="46" t="str">
        <f t="shared" si="27"/>
        <v/>
      </c>
      <c r="DJ28" s="17" t="str">
        <f t="shared" si="27"/>
        <v/>
      </c>
      <c r="DK28" s="46" t="str">
        <f t="shared" si="27"/>
        <v/>
      </c>
      <c r="DL28" s="17" t="str">
        <f t="shared" si="27"/>
        <v/>
      </c>
      <c r="DM28" s="46" t="str">
        <f t="shared" si="27"/>
        <v/>
      </c>
      <c r="DN28" s="17" t="str">
        <f t="shared" si="27"/>
        <v/>
      </c>
      <c r="DO28" s="46" t="str">
        <f t="shared" si="27"/>
        <v/>
      </c>
      <c r="DP28" s="17" t="str">
        <f t="shared" si="27"/>
        <v/>
      </c>
      <c r="DQ28" s="46" t="str">
        <f t="shared" si="27"/>
        <v/>
      </c>
      <c r="DR28" s="17" t="str">
        <f t="shared" si="27"/>
        <v/>
      </c>
      <c r="DS28" s="46" t="str">
        <f t="shared" si="27"/>
        <v/>
      </c>
      <c r="DT28" s="17" t="str">
        <f t="shared" si="27"/>
        <v/>
      </c>
      <c r="DU28" s="46" t="str">
        <f t="shared" si="27"/>
        <v/>
      </c>
      <c r="DV28" s="17" t="str">
        <f t="shared" si="27"/>
        <v/>
      </c>
      <c r="DW28" s="46" t="str">
        <f t="shared" si="27"/>
        <v/>
      </c>
      <c r="DX28" s="17" t="str">
        <f t="shared" si="27"/>
        <v/>
      </c>
      <c r="DY28" s="46" t="str">
        <f t="shared" si="27"/>
        <v/>
      </c>
      <c r="DZ28" s="17" t="str">
        <f t="shared" si="27"/>
        <v/>
      </c>
      <c r="EA28" s="46" t="str">
        <f t="shared" si="27"/>
        <v/>
      </c>
      <c r="EB28" s="17" t="str">
        <f t="shared" si="27"/>
        <v/>
      </c>
      <c r="EC28" s="46" t="str">
        <f t="shared" si="27"/>
        <v/>
      </c>
      <c r="ED28" s="17" t="str">
        <f t="shared" si="27"/>
        <v/>
      </c>
      <c r="EE28" s="46" t="str">
        <f t="shared" si="27"/>
        <v/>
      </c>
      <c r="EF28" s="17" t="str">
        <f t="shared" si="27"/>
        <v/>
      </c>
      <c r="EG28" s="46" t="str">
        <f t="shared" si="27"/>
        <v/>
      </c>
      <c r="EH28" s="17" t="str">
        <f t="shared" si="27"/>
        <v/>
      </c>
      <c r="EI28" s="46" t="str">
        <f t="shared" si="27"/>
        <v/>
      </c>
      <c r="EJ28" s="17" t="str">
        <f t="shared" si="27"/>
        <v/>
      </c>
      <c r="EK28" s="46" t="str">
        <f t="shared" si="27"/>
        <v/>
      </c>
      <c r="EL28" s="17" t="str">
        <f t="shared" si="27"/>
        <v/>
      </c>
      <c r="EM28" s="46" t="str">
        <f t="shared" si="27"/>
        <v/>
      </c>
      <c r="EN28" s="17" t="str">
        <f t="shared" si="27"/>
        <v/>
      </c>
      <c r="EO28" s="46" t="str">
        <f t="shared" si="27"/>
        <v/>
      </c>
      <c r="EP28" s="17" t="str">
        <f t="shared" si="27"/>
        <v/>
      </c>
    </row>
    <row r="29" ht="15.75" customHeight="1">
      <c r="A29" s="6" t="str">
        <f>Menus!B21</f>
        <v/>
      </c>
      <c r="B29" s="43">
        <f t="shared" si="11"/>
        <v>0</v>
      </c>
      <c r="C29" s="54" t="str">
        <f t="shared" ref="C29:EP29" si="28">IFERROR(
  LET(
    resultado,
      INDEX(
        INDIRECT($B$1),
        MATCH(RIGHT($A29, LEN($A29)-4), INDIRECT($B$3), 0),
        MATCH(C$1, INDIRECT($B$5), 0)
      ),
    IF(resultado="-", "", resultado) 
  ),
"")
</f>
        <v/>
      </c>
      <c r="D29" s="55" t="str">
        <f t="shared" si="28"/>
        <v/>
      </c>
      <c r="E29" s="46" t="str">
        <f t="shared" si="28"/>
        <v/>
      </c>
      <c r="F29" s="17" t="str">
        <f t="shared" si="28"/>
        <v/>
      </c>
      <c r="G29" s="46" t="str">
        <f t="shared" si="28"/>
        <v/>
      </c>
      <c r="H29" s="17" t="str">
        <f t="shared" si="28"/>
        <v/>
      </c>
      <c r="I29" s="46" t="str">
        <f t="shared" si="28"/>
        <v/>
      </c>
      <c r="J29" s="17" t="str">
        <f t="shared" si="28"/>
        <v/>
      </c>
      <c r="K29" s="46" t="str">
        <f t="shared" si="28"/>
        <v/>
      </c>
      <c r="L29" s="17" t="str">
        <f t="shared" si="28"/>
        <v/>
      </c>
      <c r="M29" s="46" t="str">
        <f t="shared" si="28"/>
        <v/>
      </c>
      <c r="N29" s="17" t="str">
        <f t="shared" si="28"/>
        <v/>
      </c>
      <c r="O29" s="46" t="str">
        <f t="shared" si="28"/>
        <v/>
      </c>
      <c r="P29" s="17" t="str">
        <f t="shared" si="28"/>
        <v/>
      </c>
      <c r="Q29" s="46" t="str">
        <f t="shared" si="28"/>
        <v/>
      </c>
      <c r="R29" s="17" t="str">
        <f t="shared" si="28"/>
        <v/>
      </c>
      <c r="S29" s="46" t="str">
        <f t="shared" si="28"/>
        <v/>
      </c>
      <c r="T29" s="17" t="str">
        <f t="shared" si="28"/>
        <v/>
      </c>
      <c r="U29" s="46" t="str">
        <f t="shared" si="28"/>
        <v/>
      </c>
      <c r="V29" s="17" t="str">
        <f t="shared" si="28"/>
        <v/>
      </c>
      <c r="W29" s="46" t="str">
        <f t="shared" si="28"/>
        <v/>
      </c>
      <c r="X29" s="17" t="str">
        <f t="shared" si="28"/>
        <v/>
      </c>
      <c r="Y29" s="46" t="str">
        <f t="shared" si="28"/>
        <v/>
      </c>
      <c r="Z29" s="17" t="str">
        <f t="shared" si="28"/>
        <v/>
      </c>
      <c r="AA29" s="46" t="str">
        <f t="shared" si="28"/>
        <v/>
      </c>
      <c r="AB29" s="17" t="str">
        <f t="shared" si="28"/>
        <v/>
      </c>
      <c r="AC29" s="46" t="str">
        <f t="shared" si="28"/>
        <v/>
      </c>
      <c r="AD29" s="17" t="str">
        <f t="shared" si="28"/>
        <v/>
      </c>
      <c r="AE29" s="46" t="str">
        <f t="shared" si="28"/>
        <v/>
      </c>
      <c r="AF29" s="17" t="str">
        <f t="shared" si="28"/>
        <v/>
      </c>
      <c r="AG29" s="46" t="str">
        <f t="shared" si="28"/>
        <v/>
      </c>
      <c r="AH29" s="17" t="str">
        <f t="shared" si="28"/>
        <v/>
      </c>
      <c r="AI29" s="46" t="str">
        <f t="shared" si="28"/>
        <v/>
      </c>
      <c r="AJ29" s="17" t="str">
        <f t="shared" si="28"/>
        <v/>
      </c>
      <c r="AK29" s="46" t="str">
        <f t="shared" si="28"/>
        <v/>
      </c>
      <c r="AL29" s="17" t="str">
        <f t="shared" si="28"/>
        <v/>
      </c>
      <c r="AM29" s="46" t="str">
        <f t="shared" si="28"/>
        <v/>
      </c>
      <c r="AN29" s="17" t="str">
        <f t="shared" si="28"/>
        <v/>
      </c>
      <c r="AO29" s="46" t="str">
        <f t="shared" si="28"/>
        <v/>
      </c>
      <c r="AP29" s="17" t="str">
        <f t="shared" si="28"/>
        <v/>
      </c>
      <c r="AQ29" s="46" t="str">
        <f t="shared" si="28"/>
        <v/>
      </c>
      <c r="AR29" s="17" t="str">
        <f t="shared" si="28"/>
        <v/>
      </c>
      <c r="AS29" s="46" t="str">
        <f t="shared" si="28"/>
        <v/>
      </c>
      <c r="AT29" s="17" t="str">
        <f t="shared" si="28"/>
        <v/>
      </c>
      <c r="AU29" s="46" t="str">
        <f t="shared" si="28"/>
        <v/>
      </c>
      <c r="AV29" s="17" t="str">
        <f t="shared" si="28"/>
        <v/>
      </c>
      <c r="AW29" s="46" t="str">
        <f t="shared" si="28"/>
        <v/>
      </c>
      <c r="AX29" s="17" t="str">
        <f t="shared" si="28"/>
        <v/>
      </c>
      <c r="AY29" s="46" t="str">
        <f t="shared" si="28"/>
        <v/>
      </c>
      <c r="AZ29" s="17" t="str">
        <f t="shared" si="28"/>
        <v/>
      </c>
      <c r="BA29" s="46" t="str">
        <f t="shared" si="28"/>
        <v/>
      </c>
      <c r="BB29" s="17" t="str">
        <f t="shared" si="28"/>
        <v/>
      </c>
      <c r="BC29" s="46" t="str">
        <f t="shared" si="28"/>
        <v/>
      </c>
      <c r="BD29" s="17" t="str">
        <f t="shared" si="28"/>
        <v/>
      </c>
      <c r="BE29" s="46" t="str">
        <f t="shared" si="28"/>
        <v/>
      </c>
      <c r="BF29" s="17" t="str">
        <f t="shared" si="28"/>
        <v/>
      </c>
      <c r="BG29" s="46" t="str">
        <f t="shared" si="28"/>
        <v/>
      </c>
      <c r="BH29" s="17" t="str">
        <f t="shared" si="28"/>
        <v/>
      </c>
      <c r="BI29" s="46" t="str">
        <f t="shared" si="28"/>
        <v/>
      </c>
      <c r="BJ29" s="17" t="str">
        <f t="shared" si="28"/>
        <v/>
      </c>
      <c r="BK29" s="46" t="str">
        <f t="shared" si="28"/>
        <v/>
      </c>
      <c r="BL29" s="17" t="str">
        <f t="shared" si="28"/>
        <v/>
      </c>
      <c r="BM29" s="46" t="str">
        <f t="shared" si="28"/>
        <v/>
      </c>
      <c r="BN29" s="17" t="str">
        <f t="shared" si="28"/>
        <v/>
      </c>
      <c r="BO29" s="46" t="str">
        <f t="shared" si="28"/>
        <v/>
      </c>
      <c r="BP29" s="17" t="str">
        <f t="shared" si="28"/>
        <v/>
      </c>
      <c r="BQ29" s="46" t="str">
        <f t="shared" si="28"/>
        <v/>
      </c>
      <c r="BR29" s="17" t="str">
        <f t="shared" si="28"/>
        <v/>
      </c>
      <c r="BS29" s="46" t="str">
        <f t="shared" si="28"/>
        <v/>
      </c>
      <c r="BT29" s="17" t="str">
        <f t="shared" si="28"/>
        <v/>
      </c>
      <c r="BU29" s="46" t="str">
        <f t="shared" si="28"/>
        <v/>
      </c>
      <c r="BV29" s="17" t="str">
        <f t="shared" si="28"/>
        <v/>
      </c>
      <c r="BW29" s="46" t="str">
        <f t="shared" si="28"/>
        <v/>
      </c>
      <c r="BX29" s="17" t="str">
        <f t="shared" si="28"/>
        <v/>
      </c>
      <c r="BY29" s="46" t="str">
        <f t="shared" si="28"/>
        <v/>
      </c>
      <c r="BZ29" s="17" t="str">
        <f t="shared" si="28"/>
        <v/>
      </c>
      <c r="CA29" s="46" t="str">
        <f t="shared" si="28"/>
        <v/>
      </c>
      <c r="CB29" s="17" t="str">
        <f t="shared" si="28"/>
        <v/>
      </c>
      <c r="CC29" s="46" t="str">
        <f t="shared" si="28"/>
        <v/>
      </c>
      <c r="CD29" s="17" t="str">
        <f t="shared" si="28"/>
        <v/>
      </c>
      <c r="CE29" s="46" t="str">
        <f t="shared" si="28"/>
        <v/>
      </c>
      <c r="CF29" s="17" t="str">
        <f t="shared" si="28"/>
        <v/>
      </c>
      <c r="CG29" s="46" t="str">
        <f t="shared" si="28"/>
        <v/>
      </c>
      <c r="CH29" s="17" t="str">
        <f t="shared" si="28"/>
        <v/>
      </c>
      <c r="CI29" s="46" t="str">
        <f t="shared" si="28"/>
        <v/>
      </c>
      <c r="CJ29" s="17" t="str">
        <f t="shared" si="28"/>
        <v/>
      </c>
      <c r="CK29" s="46" t="str">
        <f t="shared" si="28"/>
        <v/>
      </c>
      <c r="CL29" s="17" t="str">
        <f t="shared" si="28"/>
        <v/>
      </c>
      <c r="CM29" s="46" t="str">
        <f t="shared" si="28"/>
        <v/>
      </c>
      <c r="CN29" s="17" t="str">
        <f t="shared" si="28"/>
        <v/>
      </c>
      <c r="CO29" s="46" t="str">
        <f t="shared" si="28"/>
        <v/>
      </c>
      <c r="CP29" s="17" t="str">
        <f t="shared" si="28"/>
        <v/>
      </c>
      <c r="CQ29" s="46" t="str">
        <f t="shared" si="28"/>
        <v/>
      </c>
      <c r="CR29" s="17" t="str">
        <f t="shared" si="28"/>
        <v/>
      </c>
      <c r="CS29" s="46" t="str">
        <f t="shared" si="28"/>
        <v/>
      </c>
      <c r="CT29" s="17" t="str">
        <f t="shared" si="28"/>
        <v/>
      </c>
      <c r="CU29" s="46" t="str">
        <f t="shared" si="28"/>
        <v/>
      </c>
      <c r="CV29" s="17" t="str">
        <f t="shared" si="28"/>
        <v/>
      </c>
      <c r="CW29" s="46" t="str">
        <f t="shared" si="28"/>
        <v/>
      </c>
      <c r="CX29" s="17" t="str">
        <f t="shared" si="28"/>
        <v/>
      </c>
      <c r="CY29" s="46" t="str">
        <f t="shared" si="28"/>
        <v/>
      </c>
      <c r="CZ29" s="17" t="str">
        <f t="shared" si="28"/>
        <v/>
      </c>
      <c r="DA29" s="46" t="str">
        <f t="shared" si="28"/>
        <v/>
      </c>
      <c r="DB29" s="17" t="str">
        <f t="shared" si="28"/>
        <v/>
      </c>
      <c r="DC29" s="46" t="str">
        <f t="shared" si="28"/>
        <v/>
      </c>
      <c r="DD29" s="17" t="str">
        <f t="shared" si="28"/>
        <v/>
      </c>
      <c r="DE29" s="46" t="str">
        <f t="shared" si="28"/>
        <v/>
      </c>
      <c r="DF29" s="17" t="str">
        <f t="shared" si="28"/>
        <v/>
      </c>
      <c r="DG29" s="46" t="str">
        <f t="shared" si="28"/>
        <v/>
      </c>
      <c r="DH29" s="17" t="str">
        <f t="shared" si="28"/>
        <v/>
      </c>
      <c r="DI29" s="46" t="str">
        <f t="shared" si="28"/>
        <v/>
      </c>
      <c r="DJ29" s="17" t="str">
        <f t="shared" si="28"/>
        <v/>
      </c>
      <c r="DK29" s="46" t="str">
        <f t="shared" si="28"/>
        <v/>
      </c>
      <c r="DL29" s="17" t="str">
        <f t="shared" si="28"/>
        <v/>
      </c>
      <c r="DM29" s="46" t="str">
        <f t="shared" si="28"/>
        <v/>
      </c>
      <c r="DN29" s="17" t="str">
        <f t="shared" si="28"/>
        <v/>
      </c>
      <c r="DO29" s="46" t="str">
        <f t="shared" si="28"/>
        <v/>
      </c>
      <c r="DP29" s="17" t="str">
        <f t="shared" si="28"/>
        <v/>
      </c>
      <c r="DQ29" s="46" t="str">
        <f t="shared" si="28"/>
        <v/>
      </c>
      <c r="DR29" s="17" t="str">
        <f t="shared" si="28"/>
        <v/>
      </c>
      <c r="DS29" s="46" t="str">
        <f t="shared" si="28"/>
        <v/>
      </c>
      <c r="DT29" s="17" t="str">
        <f t="shared" si="28"/>
        <v/>
      </c>
      <c r="DU29" s="46" t="str">
        <f t="shared" si="28"/>
        <v/>
      </c>
      <c r="DV29" s="17" t="str">
        <f t="shared" si="28"/>
        <v/>
      </c>
      <c r="DW29" s="46" t="str">
        <f t="shared" si="28"/>
        <v/>
      </c>
      <c r="DX29" s="17" t="str">
        <f t="shared" si="28"/>
        <v/>
      </c>
      <c r="DY29" s="46" t="str">
        <f t="shared" si="28"/>
        <v/>
      </c>
      <c r="DZ29" s="17" t="str">
        <f t="shared" si="28"/>
        <v/>
      </c>
      <c r="EA29" s="46" t="str">
        <f t="shared" si="28"/>
        <v/>
      </c>
      <c r="EB29" s="17" t="str">
        <f t="shared" si="28"/>
        <v/>
      </c>
      <c r="EC29" s="46" t="str">
        <f t="shared" si="28"/>
        <v/>
      </c>
      <c r="ED29" s="17" t="str">
        <f t="shared" si="28"/>
        <v/>
      </c>
      <c r="EE29" s="46" t="str">
        <f t="shared" si="28"/>
        <v/>
      </c>
      <c r="EF29" s="17" t="str">
        <f t="shared" si="28"/>
        <v/>
      </c>
      <c r="EG29" s="46" t="str">
        <f t="shared" si="28"/>
        <v/>
      </c>
      <c r="EH29" s="17" t="str">
        <f t="shared" si="28"/>
        <v/>
      </c>
      <c r="EI29" s="46" t="str">
        <f t="shared" si="28"/>
        <v/>
      </c>
      <c r="EJ29" s="17" t="str">
        <f t="shared" si="28"/>
        <v/>
      </c>
      <c r="EK29" s="46" t="str">
        <f t="shared" si="28"/>
        <v/>
      </c>
      <c r="EL29" s="17" t="str">
        <f t="shared" si="28"/>
        <v/>
      </c>
      <c r="EM29" s="46" t="str">
        <f t="shared" si="28"/>
        <v/>
      </c>
      <c r="EN29" s="17" t="str">
        <f t="shared" si="28"/>
        <v/>
      </c>
      <c r="EO29" s="46" t="str">
        <f t="shared" si="28"/>
        <v/>
      </c>
      <c r="EP29" s="17" t="str">
        <f t="shared" si="28"/>
        <v/>
      </c>
    </row>
    <row r="30" ht="15.75" customHeight="1">
      <c r="A30" s="6" t="str">
        <f>Menus!B22</f>
        <v/>
      </c>
      <c r="B30" s="43">
        <f t="shared" si="11"/>
        <v>0</v>
      </c>
      <c r="C30" s="54" t="str">
        <f t="shared" ref="C30:EP30" si="29">IFERROR(
  LET(
    resultado,
      INDEX(
        INDIRECT($B$1),
        MATCH(RIGHT($A30, LEN($A30)-4), INDIRECT($B$3), 0),
        MATCH(C$1, INDIRECT($B$5), 0)
      ),
    IF(resultado="-", "", resultado) 
  ),
"")
</f>
        <v/>
      </c>
      <c r="D30" s="55" t="str">
        <f t="shared" si="29"/>
        <v/>
      </c>
      <c r="E30" s="46" t="str">
        <f t="shared" si="29"/>
        <v/>
      </c>
      <c r="F30" s="17" t="str">
        <f t="shared" si="29"/>
        <v/>
      </c>
      <c r="G30" s="46" t="str">
        <f t="shared" si="29"/>
        <v/>
      </c>
      <c r="H30" s="17" t="str">
        <f t="shared" si="29"/>
        <v/>
      </c>
      <c r="I30" s="46" t="str">
        <f t="shared" si="29"/>
        <v/>
      </c>
      <c r="J30" s="17" t="str">
        <f t="shared" si="29"/>
        <v/>
      </c>
      <c r="K30" s="46" t="str">
        <f t="shared" si="29"/>
        <v/>
      </c>
      <c r="L30" s="17" t="str">
        <f t="shared" si="29"/>
        <v/>
      </c>
      <c r="M30" s="46" t="str">
        <f t="shared" si="29"/>
        <v/>
      </c>
      <c r="N30" s="17" t="str">
        <f t="shared" si="29"/>
        <v/>
      </c>
      <c r="O30" s="46" t="str">
        <f t="shared" si="29"/>
        <v/>
      </c>
      <c r="P30" s="17" t="str">
        <f t="shared" si="29"/>
        <v/>
      </c>
      <c r="Q30" s="46" t="str">
        <f t="shared" si="29"/>
        <v/>
      </c>
      <c r="R30" s="17" t="str">
        <f t="shared" si="29"/>
        <v/>
      </c>
      <c r="S30" s="46" t="str">
        <f t="shared" si="29"/>
        <v/>
      </c>
      <c r="T30" s="17" t="str">
        <f t="shared" si="29"/>
        <v/>
      </c>
      <c r="U30" s="46" t="str">
        <f t="shared" si="29"/>
        <v/>
      </c>
      <c r="V30" s="17" t="str">
        <f t="shared" si="29"/>
        <v/>
      </c>
      <c r="W30" s="46" t="str">
        <f t="shared" si="29"/>
        <v/>
      </c>
      <c r="X30" s="17" t="str">
        <f t="shared" si="29"/>
        <v/>
      </c>
      <c r="Y30" s="46" t="str">
        <f t="shared" si="29"/>
        <v/>
      </c>
      <c r="Z30" s="17" t="str">
        <f t="shared" si="29"/>
        <v/>
      </c>
      <c r="AA30" s="46" t="str">
        <f t="shared" si="29"/>
        <v/>
      </c>
      <c r="AB30" s="17" t="str">
        <f t="shared" si="29"/>
        <v/>
      </c>
      <c r="AC30" s="46" t="str">
        <f t="shared" si="29"/>
        <v/>
      </c>
      <c r="AD30" s="17" t="str">
        <f t="shared" si="29"/>
        <v/>
      </c>
      <c r="AE30" s="46" t="str">
        <f t="shared" si="29"/>
        <v/>
      </c>
      <c r="AF30" s="17" t="str">
        <f t="shared" si="29"/>
        <v/>
      </c>
      <c r="AG30" s="46" t="str">
        <f t="shared" si="29"/>
        <v/>
      </c>
      <c r="AH30" s="17" t="str">
        <f t="shared" si="29"/>
        <v/>
      </c>
      <c r="AI30" s="46" t="str">
        <f t="shared" si="29"/>
        <v/>
      </c>
      <c r="AJ30" s="17" t="str">
        <f t="shared" si="29"/>
        <v/>
      </c>
      <c r="AK30" s="46" t="str">
        <f t="shared" si="29"/>
        <v/>
      </c>
      <c r="AL30" s="17" t="str">
        <f t="shared" si="29"/>
        <v/>
      </c>
      <c r="AM30" s="46" t="str">
        <f t="shared" si="29"/>
        <v/>
      </c>
      <c r="AN30" s="17" t="str">
        <f t="shared" si="29"/>
        <v/>
      </c>
      <c r="AO30" s="46" t="str">
        <f t="shared" si="29"/>
        <v/>
      </c>
      <c r="AP30" s="17" t="str">
        <f t="shared" si="29"/>
        <v/>
      </c>
      <c r="AQ30" s="46" t="str">
        <f t="shared" si="29"/>
        <v/>
      </c>
      <c r="AR30" s="17" t="str">
        <f t="shared" si="29"/>
        <v/>
      </c>
      <c r="AS30" s="46" t="str">
        <f t="shared" si="29"/>
        <v/>
      </c>
      <c r="AT30" s="17" t="str">
        <f t="shared" si="29"/>
        <v/>
      </c>
      <c r="AU30" s="46" t="str">
        <f t="shared" si="29"/>
        <v/>
      </c>
      <c r="AV30" s="17" t="str">
        <f t="shared" si="29"/>
        <v/>
      </c>
      <c r="AW30" s="46" t="str">
        <f t="shared" si="29"/>
        <v/>
      </c>
      <c r="AX30" s="17" t="str">
        <f t="shared" si="29"/>
        <v/>
      </c>
      <c r="AY30" s="46" t="str">
        <f t="shared" si="29"/>
        <v/>
      </c>
      <c r="AZ30" s="17" t="str">
        <f t="shared" si="29"/>
        <v/>
      </c>
      <c r="BA30" s="46" t="str">
        <f t="shared" si="29"/>
        <v/>
      </c>
      <c r="BB30" s="17" t="str">
        <f t="shared" si="29"/>
        <v/>
      </c>
      <c r="BC30" s="46" t="str">
        <f t="shared" si="29"/>
        <v/>
      </c>
      <c r="BD30" s="17" t="str">
        <f t="shared" si="29"/>
        <v/>
      </c>
      <c r="BE30" s="46" t="str">
        <f t="shared" si="29"/>
        <v/>
      </c>
      <c r="BF30" s="17" t="str">
        <f t="shared" si="29"/>
        <v/>
      </c>
      <c r="BG30" s="46" t="str">
        <f t="shared" si="29"/>
        <v/>
      </c>
      <c r="BH30" s="17" t="str">
        <f t="shared" si="29"/>
        <v/>
      </c>
      <c r="BI30" s="46" t="str">
        <f t="shared" si="29"/>
        <v/>
      </c>
      <c r="BJ30" s="17" t="str">
        <f t="shared" si="29"/>
        <v/>
      </c>
      <c r="BK30" s="46" t="str">
        <f t="shared" si="29"/>
        <v/>
      </c>
      <c r="BL30" s="17" t="str">
        <f t="shared" si="29"/>
        <v/>
      </c>
      <c r="BM30" s="46" t="str">
        <f t="shared" si="29"/>
        <v/>
      </c>
      <c r="BN30" s="17" t="str">
        <f t="shared" si="29"/>
        <v/>
      </c>
      <c r="BO30" s="46" t="str">
        <f t="shared" si="29"/>
        <v/>
      </c>
      <c r="BP30" s="17" t="str">
        <f t="shared" si="29"/>
        <v/>
      </c>
      <c r="BQ30" s="46" t="str">
        <f t="shared" si="29"/>
        <v/>
      </c>
      <c r="BR30" s="17" t="str">
        <f t="shared" si="29"/>
        <v/>
      </c>
      <c r="BS30" s="46" t="str">
        <f t="shared" si="29"/>
        <v/>
      </c>
      <c r="BT30" s="17" t="str">
        <f t="shared" si="29"/>
        <v/>
      </c>
      <c r="BU30" s="46" t="str">
        <f t="shared" si="29"/>
        <v/>
      </c>
      <c r="BV30" s="17" t="str">
        <f t="shared" si="29"/>
        <v/>
      </c>
      <c r="BW30" s="46" t="str">
        <f t="shared" si="29"/>
        <v/>
      </c>
      <c r="BX30" s="17" t="str">
        <f t="shared" si="29"/>
        <v/>
      </c>
      <c r="BY30" s="46" t="str">
        <f t="shared" si="29"/>
        <v/>
      </c>
      <c r="BZ30" s="17" t="str">
        <f t="shared" si="29"/>
        <v/>
      </c>
      <c r="CA30" s="46" t="str">
        <f t="shared" si="29"/>
        <v/>
      </c>
      <c r="CB30" s="17" t="str">
        <f t="shared" si="29"/>
        <v/>
      </c>
      <c r="CC30" s="46" t="str">
        <f t="shared" si="29"/>
        <v/>
      </c>
      <c r="CD30" s="17" t="str">
        <f t="shared" si="29"/>
        <v/>
      </c>
      <c r="CE30" s="46" t="str">
        <f t="shared" si="29"/>
        <v/>
      </c>
      <c r="CF30" s="17" t="str">
        <f t="shared" si="29"/>
        <v/>
      </c>
      <c r="CG30" s="46" t="str">
        <f t="shared" si="29"/>
        <v/>
      </c>
      <c r="CH30" s="17" t="str">
        <f t="shared" si="29"/>
        <v/>
      </c>
      <c r="CI30" s="46" t="str">
        <f t="shared" si="29"/>
        <v/>
      </c>
      <c r="CJ30" s="17" t="str">
        <f t="shared" si="29"/>
        <v/>
      </c>
      <c r="CK30" s="46" t="str">
        <f t="shared" si="29"/>
        <v/>
      </c>
      <c r="CL30" s="17" t="str">
        <f t="shared" si="29"/>
        <v/>
      </c>
      <c r="CM30" s="46" t="str">
        <f t="shared" si="29"/>
        <v/>
      </c>
      <c r="CN30" s="17" t="str">
        <f t="shared" si="29"/>
        <v/>
      </c>
      <c r="CO30" s="46" t="str">
        <f t="shared" si="29"/>
        <v/>
      </c>
      <c r="CP30" s="17" t="str">
        <f t="shared" si="29"/>
        <v/>
      </c>
      <c r="CQ30" s="46" t="str">
        <f t="shared" si="29"/>
        <v/>
      </c>
      <c r="CR30" s="17" t="str">
        <f t="shared" si="29"/>
        <v/>
      </c>
      <c r="CS30" s="46" t="str">
        <f t="shared" si="29"/>
        <v/>
      </c>
      <c r="CT30" s="17" t="str">
        <f t="shared" si="29"/>
        <v/>
      </c>
      <c r="CU30" s="46" t="str">
        <f t="shared" si="29"/>
        <v/>
      </c>
      <c r="CV30" s="17" t="str">
        <f t="shared" si="29"/>
        <v/>
      </c>
      <c r="CW30" s="46" t="str">
        <f t="shared" si="29"/>
        <v/>
      </c>
      <c r="CX30" s="17" t="str">
        <f t="shared" si="29"/>
        <v/>
      </c>
      <c r="CY30" s="46" t="str">
        <f t="shared" si="29"/>
        <v/>
      </c>
      <c r="CZ30" s="17" t="str">
        <f t="shared" si="29"/>
        <v/>
      </c>
      <c r="DA30" s="46" t="str">
        <f t="shared" si="29"/>
        <v/>
      </c>
      <c r="DB30" s="17" t="str">
        <f t="shared" si="29"/>
        <v/>
      </c>
      <c r="DC30" s="46" t="str">
        <f t="shared" si="29"/>
        <v/>
      </c>
      <c r="DD30" s="17" t="str">
        <f t="shared" si="29"/>
        <v/>
      </c>
      <c r="DE30" s="46" t="str">
        <f t="shared" si="29"/>
        <v/>
      </c>
      <c r="DF30" s="17" t="str">
        <f t="shared" si="29"/>
        <v/>
      </c>
      <c r="DG30" s="46" t="str">
        <f t="shared" si="29"/>
        <v/>
      </c>
      <c r="DH30" s="17" t="str">
        <f t="shared" si="29"/>
        <v/>
      </c>
      <c r="DI30" s="46" t="str">
        <f t="shared" si="29"/>
        <v/>
      </c>
      <c r="DJ30" s="17" t="str">
        <f t="shared" si="29"/>
        <v/>
      </c>
      <c r="DK30" s="46" t="str">
        <f t="shared" si="29"/>
        <v/>
      </c>
      <c r="DL30" s="17" t="str">
        <f t="shared" si="29"/>
        <v/>
      </c>
      <c r="DM30" s="46" t="str">
        <f t="shared" si="29"/>
        <v/>
      </c>
      <c r="DN30" s="17" t="str">
        <f t="shared" si="29"/>
        <v/>
      </c>
      <c r="DO30" s="46" t="str">
        <f t="shared" si="29"/>
        <v/>
      </c>
      <c r="DP30" s="17" t="str">
        <f t="shared" si="29"/>
        <v/>
      </c>
      <c r="DQ30" s="46" t="str">
        <f t="shared" si="29"/>
        <v/>
      </c>
      <c r="DR30" s="17" t="str">
        <f t="shared" si="29"/>
        <v/>
      </c>
      <c r="DS30" s="46" t="str">
        <f t="shared" si="29"/>
        <v/>
      </c>
      <c r="DT30" s="17" t="str">
        <f t="shared" si="29"/>
        <v/>
      </c>
      <c r="DU30" s="46" t="str">
        <f t="shared" si="29"/>
        <v/>
      </c>
      <c r="DV30" s="17" t="str">
        <f t="shared" si="29"/>
        <v/>
      </c>
      <c r="DW30" s="46" t="str">
        <f t="shared" si="29"/>
        <v/>
      </c>
      <c r="DX30" s="17" t="str">
        <f t="shared" si="29"/>
        <v/>
      </c>
      <c r="DY30" s="46" t="str">
        <f t="shared" si="29"/>
        <v/>
      </c>
      <c r="DZ30" s="17" t="str">
        <f t="shared" si="29"/>
        <v/>
      </c>
      <c r="EA30" s="46" t="str">
        <f t="shared" si="29"/>
        <v/>
      </c>
      <c r="EB30" s="17" t="str">
        <f t="shared" si="29"/>
        <v/>
      </c>
      <c r="EC30" s="46" t="str">
        <f t="shared" si="29"/>
        <v/>
      </c>
      <c r="ED30" s="17" t="str">
        <f t="shared" si="29"/>
        <v/>
      </c>
      <c r="EE30" s="46" t="str">
        <f t="shared" si="29"/>
        <v/>
      </c>
      <c r="EF30" s="17" t="str">
        <f t="shared" si="29"/>
        <v/>
      </c>
      <c r="EG30" s="46" t="str">
        <f t="shared" si="29"/>
        <v/>
      </c>
      <c r="EH30" s="17" t="str">
        <f t="shared" si="29"/>
        <v/>
      </c>
      <c r="EI30" s="46" t="str">
        <f t="shared" si="29"/>
        <v/>
      </c>
      <c r="EJ30" s="17" t="str">
        <f t="shared" si="29"/>
        <v/>
      </c>
      <c r="EK30" s="46" t="str">
        <f t="shared" si="29"/>
        <v/>
      </c>
      <c r="EL30" s="17" t="str">
        <f t="shared" si="29"/>
        <v/>
      </c>
      <c r="EM30" s="46" t="str">
        <f t="shared" si="29"/>
        <v/>
      </c>
      <c r="EN30" s="17" t="str">
        <f t="shared" si="29"/>
        <v/>
      </c>
      <c r="EO30" s="46" t="str">
        <f t="shared" si="29"/>
        <v/>
      </c>
      <c r="EP30" s="17" t="str">
        <f t="shared" si="29"/>
        <v/>
      </c>
    </row>
    <row r="31" ht="15.75" customHeight="1">
      <c r="A31" s="6" t="str">
        <f>Menus!B23</f>
        <v/>
      </c>
      <c r="B31" s="43">
        <f t="shared" si="11"/>
        <v>0</v>
      </c>
      <c r="C31" s="54" t="str">
        <f t="shared" ref="C31:EP31" si="30">IFERROR(
  LET(
    resultado,
      INDEX(
        INDIRECT($B$1),
        MATCH(RIGHT($A31, LEN($A31)-4), INDIRECT($B$3), 0),
        MATCH(C$1, INDIRECT($B$5), 0)
      ),
    IF(resultado="-", "", resultado) 
  ),
"")
</f>
        <v/>
      </c>
      <c r="D31" s="55" t="str">
        <f t="shared" si="30"/>
        <v/>
      </c>
      <c r="E31" s="46" t="str">
        <f t="shared" si="30"/>
        <v/>
      </c>
      <c r="F31" s="17" t="str">
        <f t="shared" si="30"/>
        <v/>
      </c>
      <c r="G31" s="46" t="str">
        <f t="shared" si="30"/>
        <v/>
      </c>
      <c r="H31" s="17" t="str">
        <f t="shared" si="30"/>
        <v/>
      </c>
      <c r="I31" s="46" t="str">
        <f t="shared" si="30"/>
        <v/>
      </c>
      <c r="J31" s="17" t="str">
        <f t="shared" si="30"/>
        <v/>
      </c>
      <c r="K31" s="46" t="str">
        <f t="shared" si="30"/>
        <v/>
      </c>
      <c r="L31" s="17" t="str">
        <f t="shared" si="30"/>
        <v/>
      </c>
      <c r="M31" s="46" t="str">
        <f t="shared" si="30"/>
        <v/>
      </c>
      <c r="N31" s="17" t="str">
        <f t="shared" si="30"/>
        <v/>
      </c>
      <c r="O31" s="46" t="str">
        <f t="shared" si="30"/>
        <v/>
      </c>
      <c r="P31" s="17" t="str">
        <f t="shared" si="30"/>
        <v/>
      </c>
      <c r="Q31" s="46" t="str">
        <f t="shared" si="30"/>
        <v/>
      </c>
      <c r="R31" s="17" t="str">
        <f t="shared" si="30"/>
        <v/>
      </c>
      <c r="S31" s="46" t="str">
        <f t="shared" si="30"/>
        <v/>
      </c>
      <c r="T31" s="17" t="str">
        <f t="shared" si="30"/>
        <v/>
      </c>
      <c r="U31" s="46" t="str">
        <f t="shared" si="30"/>
        <v/>
      </c>
      <c r="V31" s="17" t="str">
        <f t="shared" si="30"/>
        <v/>
      </c>
      <c r="W31" s="46" t="str">
        <f t="shared" si="30"/>
        <v/>
      </c>
      <c r="X31" s="17" t="str">
        <f t="shared" si="30"/>
        <v/>
      </c>
      <c r="Y31" s="46" t="str">
        <f t="shared" si="30"/>
        <v/>
      </c>
      <c r="Z31" s="17" t="str">
        <f t="shared" si="30"/>
        <v/>
      </c>
      <c r="AA31" s="46" t="str">
        <f t="shared" si="30"/>
        <v/>
      </c>
      <c r="AB31" s="17" t="str">
        <f t="shared" si="30"/>
        <v/>
      </c>
      <c r="AC31" s="46" t="str">
        <f t="shared" si="30"/>
        <v/>
      </c>
      <c r="AD31" s="17" t="str">
        <f t="shared" si="30"/>
        <v/>
      </c>
      <c r="AE31" s="46" t="str">
        <f t="shared" si="30"/>
        <v/>
      </c>
      <c r="AF31" s="17" t="str">
        <f t="shared" si="30"/>
        <v/>
      </c>
      <c r="AG31" s="46" t="str">
        <f t="shared" si="30"/>
        <v/>
      </c>
      <c r="AH31" s="17" t="str">
        <f t="shared" si="30"/>
        <v/>
      </c>
      <c r="AI31" s="46" t="str">
        <f t="shared" si="30"/>
        <v/>
      </c>
      <c r="AJ31" s="17" t="str">
        <f t="shared" si="30"/>
        <v/>
      </c>
      <c r="AK31" s="46" t="str">
        <f t="shared" si="30"/>
        <v/>
      </c>
      <c r="AL31" s="17" t="str">
        <f t="shared" si="30"/>
        <v/>
      </c>
      <c r="AM31" s="46" t="str">
        <f t="shared" si="30"/>
        <v/>
      </c>
      <c r="AN31" s="17" t="str">
        <f t="shared" si="30"/>
        <v/>
      </c>
      <c r="AO31" s="46" t="str">
        <f t="shared" si="30"/>
        <v/>
      </c>
      <c r="AP31" s="17" t="str">
        <f t="shared" si="30"/>
        <v/>
      </c>
      <c r="AQ31" s="46" t="str">
        <f t="shared" si="30"/>
        <v/>
      </c>
      <c r="AR31" s="17" t="str">
        <f t="shared" si="30"/>
        <v/>
      </c>
      <c r="AS31" s="46" t="str">
        <f t="shared" si="30"/>
        <v/>
      </c>
      <c r="AT31" s="17" t="str">
        <f t="shared" si="30"/>
        <v/>
      </c>
      <c r="AU31" s="46" t="str">
        <f t="shared" si="30"/>
        <v/>
      </c>
      <c r="AV31" s="17" t="str">
        <f t="shared" si="30"/>
        <v/>
      </c>
      <c r="AW31" s="46" t="str">
        <f t="shared" si="30"/>
        <v/>
      </c>
      <c r="AX31" s="17" t="str">
        <f t="shared" si="30"/>
        <v/>
      </c>
      <c r="AY31" s="46" t="str">
        <f t="shared" si="30"/>
        <v/>
      </c>
      <c r="AZ31" s="17" t="str">
        <f t="shared" si="30"/>
        <v/>
      </c>
      <c r="BA31" s="46" t="str">
        <f t="shared" si="30"/>
        <v/>
      </c>
      <c r="BB31" s="17" t="str">
        <f t="shared" si="30"/>
        <v/>
      </c>
      <c r="BC31" s="46" t="str">
        <f t="shared" si="30"/>
        <v/>
      </c>
      <c r="BD31" s="17" t="str">
        <f t="shared" si="30"/>
        <v/>
      </c>
      <c r="BE31" s="46" t="str">
        <f t="shared" si="30"/>
        <v/>
      </c>
      <c r="BF31" s="17" t="str">
        <f t="shared" si="30"/>
        <v/>
      </c>
      <c r="BG31" s="46" t="str">
        <f t="shared" si="30"/>
        <v/>
      </c>
      <c r="BH31" s="17" t="str">
        <f t="shared" si="30"/>
        <v/>
      </c>
      <c r="BI31" s="46" t="str">
        <f t="shared" si="30"/>
        <v/>
      </c>
      <c r="BJ31" s="17" t="str">
        <f t="shared" si="30"/>
        <v/>
      </c>
      <c r="BK31" s="46" t="str">
        <f t="shared" si="30"/>
        <v/>
      </c>
      <c r="BL31" s="17" t="str">
        <f t="shared" si="30"/>
        <v/>
      </c>
      <c r="BM31" s="46" t="str">
        <f t="shared" si="30"/>
        <v/>
      </c>
      <c r="BN31" s="17" t="str">
        <f t="shared" si="30"/>
        <v/>
      </c>
      <c r="BO31" s="46" t="str">
        <f t="shared" si="30"/>
        <v/>
      </c>
      <c r="BP31" s="17" t="str">
        <f t="shared" si="30"/>
        <v/>
      </c>
      <c r="BQ31" s="46" t="str">
        <f t="shared" si="30"/>
        <v/>
      </c>
      <c r="BR31" s="17" t="str">
        <f t="shared" si="30"/>
        <v/>
      </c>
      <c r="BS31" s="46" t="str">
        <f t="shared" si="30"/>
        <v/>
      </c>
      <c r="BT31" s="17" t="str">
        <f t="shared" si="30"/>
        <v/>
      </c>
      <c r="BU31" s="46" t="str">
        <f t="shared" si="30"/>
        <v/>
      </c>
      <c r="BV31" s="17" t="str">
        <f t="shared" si="30"/>
        <v/>
      </c>
      <c r="BW31" s="46" t="str">
        <f t="shared" si="30"/>
        <v/>
      </c>
      <c r="BX31" s="17" t="str">
        <f t="shared" si="30"/>
        <v/>
      </c>
      <c r="BY31" s="46" t="str">
        <f t="shared" si="30"/>
        <v/>
      </c>
      <c r="BZ31" s="17" t="str">
        <f t="shared" si="30"/>
        <v/>
      </c>
      <c r="CA31" s="46" t="str">
        <f t="shared" si="30"/>
        <v/>
      </c>
      <c r="CB31" s="17" t="str">
        <f t="shared" si="30"/>
        <v/>
      </c>
      <c r="CC31" s="46" t="str">
        <f t="shared" si="30"/>
        <v/>
      </c>
      <c r="CD31" s="17" t="str">
        <f t="shared" si="30"/>
        <v/>
      </c>
      <c r="CE31" s="46" t="str">
        <f t="shared" si="30"/>
        <v/>
      </c>
      <c r="CF31" s="17" t="str">
        <f t="shared" si="30"/>
        <v/>
      </c>
      <c r="CG31" s="46" t="str">
        <f t="shared" si="30"/>
        <v/>
      </c>
      <c r="CH31" s="17" t="str">
        <f t="shared" si="30"/>
        <v/>
      </c>
      <c r="CI31" s="46" t="str">
        <f t="shared" si="30"/>
        <v/>
      </c>
      <c r="CJ31" s="17" t="str">
        <f t="shared" si="30"/>
        <v/>
      </c>
      <c r="CK31" s="46" t="str">
        <f t="shared" si="30"/>
        <v/>
      </c>
      <c r="CL31" s="17" t="str">
        <f t="shared" si="30"/>
        <v/>
      </c>
      <c r="CM31" s="46" t="str">
        <f t="shared" si="30"/>
        <v/>
      </c>
      <c r="CN31" s="17" t="str">
        <f t="shared" si="30"/>
        <v/>
      </c>
      <c r="CO31" s="46" t="str">
        <f t="shared" si="30"/>
        <v/>
      </c>
      <c r="CP31" s="17" t="str">
        <f t="shared" si="30"/>
        <v/>
      </c>
      <c r="CQ31" s="46" t="str">
        <f t="shared" si="30"/>
        <v/>
      </c>
      <c r="CR31" s="17" t="str">
        <f t="shared" si="30"/>
        <v/>
      </c>
      <c r="CS31" s="46" t="str">
        <f t="shared" si="30"/>
        <v/>
      </c>
      <c r="CT31" s="17" t="str">
        <f t="shared" si="30"/>
        <v/>
      </c>
      <c r="CU31" s="46" t="str">
        <f t="shared" si="30"/>
        <v/>
      </c>
      <c r="CV31" s="17" t="str">
        <f t="shared" si="30"/>
        <v/>
      </c>
      <c r="CW31" s="46" t="str">
        <f t="shared" si="30"/>
        <v/>
      </c>
      <c r="CX31" s="17" t="str">
        <f t="shared" si="30"/>
        <v/>
      </c>
      <c r="CY31" s="46" t="str">
        <f t="shared" si="30"/>
        <v/>
      </c>
      <c r="CZ31" s="17" t="str">
        <f t="shared" si="30"/>
        <v/>
      </c>
      <c r="DA31" s="46" t="str">
        <f t="shared" si="30"/>
        <v/>
      </c>
      <c r="DB31" s="17" t="str">
        <f t="shared" si="30"/>
        <v/>
      </c>
      <c r="DC31" s="46" t="str">
        <f t="shared" si="30"/>
        <v/>
      </c>
      <c r="DD31" s="17" t="str">
        <f t="shared" si="30"/>
        <v/>
      </c>
      <c r="DE31" s="46" t="str">
        <f t="shared" si="30"/>
        <v/>
      </c>
      <c r="DF31" s="17" t="str">
        <f t="shared" si="30"/>
        <v/>
      </c>
      <c r="DG31" s="46" t="str">
        <f t="shared" si="30"/>
        <v/>
      </c>
      <c r="DH31" s="17" t="str">
        <f t="shared" si="30"/>
        <v/>
      </c>
      <c r="DI31" s="46" t="str">
        <f t="shared" si="30"/>
        <v/>
      </c>
      <c r="DJ31" s="17" t="str">
        <f t="shared" si="30"/>
        <v/>
      </c>
      <c r="DK31" s="46" t="str">
        <f t="shared" si="30"/>
        <v/>
      </c>
      <c r="DL31" s="17" t="str">
        <f t="shared" si="30"/>
        <v/>
      </c>
      <c r="DM31" s="46" t="str">
        <f t="shared" si="30"/>
        <v/>
      </c>
      <c r="DN31" s="17" t="str">
        <f t="shared" si="30"/>
        <v/>
      </c>
      <c r="DO31" s="46" t="str">
        <f t="shared" si="30"/>
        <v/>
      </c>
      <c r="DP31" s="17" t="str">
        <f t="shared" si="30"/>
        <v/>
      </c>
      <c r="DQ31" s="46" t="str">
        <f t="shared" si="30"/>
        <v/>
      </c>
      <c r="DR31" s="17" t="str">
        <f t="shared" si="30"/>
        <v/>
      </c>
      <c r="DS31" s="46" t="str">
        <f t="shared" si="30"/>
        <v/>
      </c>
      <c r="DT31" s="17" t="str">
        <f t="shared" si="30"/>
        <v/>
      </c>
      <c r="DU31" s="46" t="str">
        <f t="shared" si="30"/>
        <v/>
      </c>
      <c r="DV31" s="17" t="str">
        <f t="shared" si="30"/>
        <v/>
      </c>
      <c r="DW31" s="46" t="str">
        <f t="shared" si="30"/>
        <v/>
      </c>
      <c r="DX31" s="17" t="str">
        <f t="shared" si="30"/>
        <v/>
      </c>
      <c r="DY31" s="46" t="str">
        <f t="shared" si="30"/>
        <v/>
      </c>
      <c r="DZ31" s="17" t="str">
        <f t="shared" si="30"/>
        <v/>
      </c>
      <c r="EA31" s="46" t="str">
        <f t="shared" si="30"/>
        <v/>
      </c>
      <c r="EB31" s="17" t="str">
        <f t="shared" si="30"/>
        <v/>
      </c>
      <c r="EC31" s="46" t="str">
        <f t="shared" si="30"/>
        <v/>
      </c>
      <c r="ED31" s="17" t="str">
        <f t="shared" si="30"/>
        <v/>
      </c>
      <c r="EE31" s="46" t="str">
        <f t="shared" si="30"/>
        <v/>
      </c>
      <c r="EF31" s="17" t="str">
        <f t="shared" si="30"/>
        <v/>
      </c>
      <c r="EG31" s="46" t="str">
        <f t="shared" si="30"/>
        <v/>
      </c>
      <c r="EH31" s="17" t="str">
        <f t="shared" si="30"/>
        <v/>
      </c>
      <c r="EI31" s="46" t="str">
        <f t="shared" si="30"/>
        <v/>
      </c>
      <c r="EJ31" s="17" t="str">
        <f t="shared" si="30"/>
        <v/>
      </c>
      <c r="EK31" s="46" t="str">
        <f t="shared" si="30"/>
        <v/>
      </c>
      <c r="EL31" s="17" t="str">
        <f t="shared" si="30"/>
        <v/>
      </c>
      <c r="EM31" s="46" t="str">
        <f t="shared" si="30"/>
        <v/>
      </c>
      <c r="EN31" s="17" t="str">
        <f t="shared" si="30"/>
        <v/>
      </c>
      <c r="EO31" s="46" t="str">
        <f t="shared" si="30"/>
        <v/>
      </c>
      <c r="EP31" s="17" t="str">
        <f t="shared" si="30"/>
        <v/>
      </c>
    </row>
    <row r="32" ht="15.75" customHeight="1">
      <c r="A32" s="6" t="str">
        <f>Menus!B24</f>
        <v/>
      </c>
      <c r="B32" s="43">
        <f t="shared" si="11"/>
        <v>0</v>
      </c>
      <c r="C32" s="54" t="str">
        <f t="shared" ref="C32:EP32" si="31">IFERROR(
  LET(
    resultado,
      INDEX(
        INDIRECT($B$1),
        MATCH(RIGHT($A32, LEN($A32)-4), INDIRECT($B$3), 0),
        MATCH(C$1, INDIRECT($B$5), 0)
      ),
    IF(resultado="-", "", resultado) 
  ),
"")
</f>
        <v/>
      </c>
      <c r="D32" s="55" t="str">
        <f t="shared" si="31"/>
        <v/>
      </c>
      <c r="E32" s="46" t="str">
        <f t="shared" si="31"/>
        <v/>
      </c>
      <c r="F32" s="17" t="str">
        <f t="shared" si="31"/>
        <v/>
      </c>
      <c r="G32" s="46" t="str">
        <f t="shared" si="31"/>
        <v/>
      </c>
      <c r="H32" s="17" t="str">
        <f t="shared" si="31"/>
        <v/>
      </c>
      <c r="I32" s="46" t="str">
        <f t="shared" si="31"/>
        <v/>
      </c>
      <c r="J32" s="17" t="str">
        <f t="shared" si="31"/>
        <v/>
      </c>
      <c r="K32" s="46" t="str">
        <f t="shared" si="31"/>
        <v/>
      </c>
      <c r="L32" s="17" t="str">
        <f t="shared" si="31"/>
        <v/>
      </c>
      <c r="M32" s="46" t="str">
        <f t="shared" si="31"/>
        <v/>
      </c>
      <c r="N32" s="17" t="str">
        <f t="shared" si="31"/>
        <v/>
      </c>
      <c r="O32" s="46" t="str">
        <f t="shared" si="31"/>
        <v/>
      </c>
      <c r="P32" s="17" t="str">
        <f t="shared" si="31"/>
        <v/>
      </c>
      <c r="Q32" s="46" t="str">
        <f t="shared" si="31"/>
        <v/>
      </c>
      <c r="R32" s="17" t="str">
        <f t="shared" si="31"/>
        <v/>
      </c>
      <c r="S32" s="46" t="str">
        <f t="shared" si="31"/>
        <v/>
      </c>
      <c r="T32" s="17" t="str">
        <f t="shared" si="31"/>
        <v/>
      </c>
      <c r="U32" s="46" t="str">
        <f t="shared" si="31"/>
        <v/>
      </c>
      <c r="V32" s="17" t="str">
        <f t="shared" si="31"/>
        <v/>
      </c>
      <c r="W32" s="46" t="str">
        <f t="shared" si="31"/>
        <v/>
      </c>
      <c r="X32" s="17" t="str">
        <f t="shared" si="31"/>
        <v/>
      </c>
      <c r="Y32" s="46" t="str">
        <f t="shared" si="31"/>
        <v/>
      </c>
      <c r="Z32" s="17" t="str">
        <f t="shared" si="31"/>
        <v/>
      </c>
      <c r="AA32" s="46" t="str">
        <f t="shared" si="31"/>
        <v/>
      </c>
      <c r="AB32" s="17" t="str">
        <f t="shared" si="31"/>
        <v/>
      </c>
      <c r="AC32" s="46" t="str">
        <f t="shared" si="31"/>
        <v/>
      </c>
      <c r="AD32" s="17" t="str">
        <f t="shared" si="31"/>
        <v/>
      </c>
      <c r="AE32" s="46" t="str">
        <f t="shared" si="31"/>
        <v/>
      </c>
      <c r="AF32" s="17" t="str">
        <f t="shared" si="31"/>
        <v/>
      </c>
      <c r="AG32" s="46" t="str">
        <f t="shared" si="31"/>
        <v/>
      </c>
      <c r="AH32" s="17" t="str">
        <f t="shared" si="31"/>
        <v/>
      </c>
      <c r="AI32" s="46" t="str">
        <f t="shared" si="31"/>
        <v/>
      </c>
      <c r="AJ32" s="17" t="str">
        <f t="shared" si="31"/>
        <v/>
      </c>
      <c r="AK32" s="46" t="str">
        <f t="shared" si="31"/>
        <v/>
      </c>
      <c r="AL32" s="17" t="str">
        <f t="shared" si="31"/>
        <v/>
      </c>
      <c r="AM32" s="46" t="str">
        <f t="shared" si="31"/>
        <v/>
      </c>
      <c r="AN32" s="17" t="str">
        <f t="shared" si="31"/>
        <v/>
      </c>
      <c r="AO32" s="46" t="str">
        <f t="shared" si="31"/>
        <v/>
      </c>
      <c r="AP32" s="17" t="str">
        <f t="shared" si="31"/>
        <v/>
      </c>
      <c r="AQ32" s="46" t="str">
        <f t="shared" si="31"/>
        <v/>
      </c>
      <c r="AR32" s="17" t="str">
        <f t="shared" si="31"/>
        <v/>
      </c>
      <c r="AS32" s="46" t="str">
        <f t="shared" si="31"/>
        <v/>
      </c>
      <c r="AT32" s="17" t="str">
        <f t="shared" si="31"/>
        <v/>
      </c>
      <c r="AU32" s="46" t="str">
        <f t="shared" si="31"/>
        <v/>
      </c>
      <c r="AV32" s="17" t="str">
        <f t="shared" si="31"/>
        <v/>
      </c>
      <c r="AW32" s="46" t="str">
        <f t="shared" si="31"/>
        <v/>
      </c>
      <c r="AX32" s="17" t="str">
        <f t="shared" si="31"/>
        <v/>
      </c>
      <c r="AY32" s="46" t="str">
        <f t="shared" si="31"/>
        <v/>
      </c>
      <c r="AZ32" s="17" t="str">
        <f t="shared" si="31"/>
        <v/>
      </c>
      <c r="BA32" s="46" t="str">
        <f t="shared" si="31"/>
        <v/>
      </c>
      <c r="BB32" s="17" t="str">
        <f t="shared" si="31"/>
        <v/>
      </c>
      <c r="BC32" s="46" t="str">
        <f t="shared" si="31"/>
        <v/>
      </c>
      <c r="BD32" s="17" t="str">
        <f t="shared" si="31"/>
        <v/>
      </c>
      <c r="BE32" s="46" t="str">
        <f t="shared" si="31"/>
        <v/>
      </c>
      <c r="BF32" s="17" t="str">
        <f t="shared" si="31"/>
        <v/>
      </c>
      <c r="BG32" s="46" t="str">
        <f t="shared" si="31"/>
        <v/>
      </c>
      <c r="BH32" s="17" t="str">
        <f t="shared" si="31"/>
        <v/>
      </c>
      <c r="BI32" s="46" t="str">
        <f t="shared" si="31"/>
        <v/>
      </c>
      <c r="BJ32" s="17" t="str">
        <f t="shared" si="31"/>
        <v/>
      </c>
      <c r="BK32" s="46" t="str">
        <f t="shared" si="31"/>
        <v/>
      </c>
      <c r="BL32" s="17" t="str">
        <f t="shared" si="31"/>
        <v/>
      </c>
      <c r="BM32" s="46" t="str">
        <f t="shared" si="31"/>
        <v/>
      </c>
      <c r="BN32" s="17" t="str">
        <f t="shared" si="31"/>
        <v/>
      </c>
      <c r="BO32" s="46" t="str">
        <f t="shared" si="31"/>
        <v/>
      </c>
      <c r="BP32" s="17" t="str">
        <f t="shared" si="31"/>
        <v/>
      </c>
      <c r="BQ32" s="46" t="str">
        <f t="shared" si="31"/>
        <v/>
      </c>
      <c r="BR32" s="17" t="str">
        <f t="shared" si="31"/>
        <v/>
      </c>
      <c r="BS32" s="46" t="str">
        <f t="shared" si="31"/>
        <v/>
      </c>
      <c r="BT32" s="17" t="str">
        <f t="shared" si="31"/>
        <v/>
      </c>
      <c r="BU32" s="46" t="str">
        <f t="shared" si="31"/>
        <v/>
      </c>
      <c r="BV32" s="17" t="str">
        <f t="shared" si="31"/>
        <v/>
      </c>
      <c r="BW32" s="46" t="str">
        <f t="shared" si="31"/>
        <v/>
      </c>
      <c r="BX32" s="17" t="str">
        <f t="shared" si="31"/>
        <v/>
      </c>
      <c r="BY32" s="46" t="str">
        <f t="shared" si="31"/>
        <v/>
      </c>
      <c r="BZ32" s="17" t="str">
        <f t="shared" si="31"/>
        <v/>
      </c>
      <c r="CA32" s="46" t="str">
        <f t="shared" si="31"/>
        <v/>
      </c>
      <c r="CB32" s="17" t="str">
        <f t="shared" si="31"/>
        <v/>
      </c>
      <c r="CC32" s="46" t="str">
        <f t="shared" si="31"/>
        <v/>
      </c>
      <c r="CD32" s="17" t="str">
        <f t="shared" si="31"/>
        <v/>
      </c>
      <c r="CE32" s="46" t="str">
        <f t="shared" si="31"/>
        <v/>
      </c>
      <c r="CF32" s="17" t="str">
        <f t="shared" si="31"/>
        <v/>
      </c>
      <c r="CG32" s="46" t="str">
        <f t="shared" si="31"/>
        <v/>
      </c>
      <c r="CH32" s="17" t="str">
        <f t="shared" si="31"/>
        <v/>
      </c>
      <c r="CI32" s="46" t="str">
        <f t="shared" si="31"/>
        <v/>
      </c>
      <c r="CJ32" s="17" t="str">
        <f t="shared" si="31"/>
        <v/>
      </c>
      <c r="CK32" s="46" t="str">
        <f t="shared" si="31"/>
        <v/>
      </c>
      <c r="CL32" s="17" t="str">
        <f t="shared" si="31"/>
        <v/>
      </c>
      <c r="CM32" s="46" t="str">
        <f t="shared" si="31"/>
        <v/>
      </c>
      <c r="CN32" s="17" t="str">
        <f t="shared" si="31"/>
        <v/>
      </c>
      <c r="CO32" s="46" t="str">
        <f t="shared" si="31"/>
        <v/>
      </c>
      <c r="CP32" s="17" t="str">
        <f t="shared" si="31"/>
        <v/>
      </c>
      <c r="CQ32" s="46" t="str">
        <f t="shared" si="31"/>
        <v/>
      </c>
      <c r="CR32" s="17" t="str">
        <f t="shared" si="31"/>
        <v/>
      </c>
      <c r="CS32" s="46" t="str">
        <f t="shared" si="31"/>
        <v/>
      </c>
      <c r="CT32" s="17" t="str">
        <f t="shared" si="31"/>
        <v/>
      </c>
      <c r="CU32" s="46" t="str">
        <f t="shared" si="31"/>
        <v/>
      </c>
      <c r="CV32" s="17" t="str">
        <f t="shared" si="31"/>
        <v/>
      </c>
      <c r="CW32" s="46" t="str">
        <f t="shared" si="31"/>
        <v/>
      </c>
      <c r="CX32" s="17" t="str">
        <f t="shared" si="31"/>
        <v/>
      </c>
      <c r="CY32" s="46" t="str">
        <f t="shared" si="31"/>
        <v/>
      </c>
      <c r="CZ32" s="17" t="str">
        <f t="shared" si="31"/>
        <v/>
      </c>
      <c r="DA32" s="46" t="str">
        <f t="shared" si="31"/>
        <v/>
      </c>
      <c r="DB32" s="17" t="str">
        <f t="shared" si="31"/>
        <v/>
      </c>
      <c r="DC32" s="46" t="str">
        <f t="shared" si="31"/>
        <v/>
      </c>
      <c r="DD32" s="17" t="str">
        <f t="shared" si="31"/>
        <v/>
      </c>
      <c r="DE32" s="46" t="str">
        <f t="shared" si="31"/>
        <v/>
      </c>
      <c r="DF32" s="17" t="str">
        <f t="shared" si="31"/>
        <v/>
      </c>
      <c r="DG32" s="46" t="str">
        <f t="shared" si="31"/>
        <v/>
      </c>
      <c r="DH32" s="17" t="str">
        <f t="shared" si="31"/>
        <v/>
      </c>
      <c r="DI32" s="46" t="str">
        <f t="shared" si="31"/>
        <v/>
      </c>
      <c r="DJ32" s="17" t="str">
        <f t="shared" si="31"/>
        <v/>
      </c>
      <c r="DK32" s="46" t="str">
        <f t="shared" si="31"/>
        <v/>
      </c>
      <c r="DL32" s="17" t="str">
        <f t="shared" si="31"/>
        <v/>
      </c>
      <c r="DM32" s="46" t="str">
        <f t="shared" si="31"/>
        <v/>
      </c>
      <c r="DN32" s="17" t="str">
        <f t="shared" si="31"/>
        <v/>
      </c>
      <c r="DO32" s="46" t="str">
        <f t="shared" si="31"/>
        <v/>
      </c>
      <c r="DP32" s="17" t="str">
        <f t="shared" si="31"/>
        <v/>
      </c>
      <c r="DQ32" s="46" t="str">
        <f t="shared" si="31"/>
        <v/>
      </c>
      <c r="DR32" s="17" t="str">
        <f t="shared" si="31"/>
        <v/>
      </c>
      <c r="DS32" s="46" t="str">
        <f t="shared" si="31"/>
        <v/>
      </c>
      <c r="DT32" s="17" t="str">
        <f t="shared" si="31"/>
        <v/>
      </c>
      <c r="DU32" s="46" t="str">
        <f t="shared" si="31"/>
        <v/>
      </c>
      <c r="DV32" s="17" t="str">
        <f t="shared" si="31"/>
        <v/>
      </c>
      <c r="DW32" s="46" t="str">
        <f t="shared" si="31"/>
        <v/>
      </c>
      <c r="DX32" s="17" t="str">
        <f t="shared" si="31"/>
        <v/>
      </c>
      <c r="DY32" s="46" t="str">
        <f t="shared" si="31"/>
        <v/>
      </c>
      <c r="DZ32" s="17" t="str">
        <f t="shared" si="31"/>
        <v/>
      </c>
      <c r="EA32" s="46" t="str">
        <f t="shared" si="31"/>
        <v/>
      </c>
      <c r="EB32" s="17" t="str">
        <f t="shared" si="31"/>
        <v/>
      </c>
      <c r="EC32" s="46" t="str">
        <f t="shared" si="31"/>
        <v/>
      </c>
      <c r="ED32" s="17" t="str">
        <f t="shared" si="31"/>
        <v/>
      </c>
      <c r="EE32" s="46" t="str">
        <f t="shared" si="31"/>
        <v/>
      </c>
      <c r="EF32" s="17" t="str">
        <f t="shared" si="31"/>
        <v/>
      </c>
      <c r="EG32" s="46" t="str">
        <f t="shared" si="31"/>
        <v/>
      </c>
      <c r="EH32" s="17" t="str">
        <f t="shared" si="31"/>
        <v/>
      </c>
      <c r="EI32" s="46" t="str">
        <f t="shared" si="31"/>
        <v/>
      </c>
      <c r="EJ32" s="17" t="str">
        <f t="shared" si="31"/>
        <v/>
      </c>
      <c r="EK32" s="46" t="str">
        <f t="shared" si="31"/>
        <v/>
      </c>
      <c r="EL32" s="17" t="str">
        <f t="shared" si="31"/>
        <v/>
      </c>
      <c r="EM32" s="46" t="str">
        <f t="shared" si="31"/>
        <v/>
      </c>
      <c r="EN32" s="17" t="str">
        <f t="shared" si="31"/>
        <v/>
      </c>
      <c r="EO32" s="46" t="str">
        <f t="shared" si="31"/>
        <v/>
      </c>
      <c r="EP32" s="17" t="str">
        <f t="shared" si="31"/>
        <v/>
      </c>
    </row>
    <row r="33" ht="15.75" customHeight="1">
      <c r="A33" s="6" t="str">
        <f>Menus!B25</f>
        <v/>
      </c>
      <c r="B33" s="43">
        <f t="shared" si="11"/>
        <v>0</v>
      </c>
      <c r="C33" s="54" t="str">
        <f t="shared" ref="C33:EP33" si="32">IFERROR(
  LET(
    resultado,
      INDEX(
        INDIRECT($B$1),
        MATCH(RIGHT($A33, LEN($A33)-4), INDIRECT($B$3), 0),
        MATCH(C$1, INDIRECT($B$5), 0)
      ),
    IF(resultado="-", "", resultado) 
  ),
"")
</f>
        <v/>
      </c>
      <c r="D33" s="55" t="str">
        <f t="shared" si="32"/>
        <v/>
      </c>
      <c r="E33" s="46" t="str">
        <f t="shared" si="32"/>
        <v/>
      </c>
      <c r="F33" s="17" t="str">
        <f t="shared" si="32"/>
        <v/>
      </c>
      <c r="G33" s="46" t="str">
        <f t="shared" si="32"/>
        <v/>
      </c>
      <c r="H33" s="17" t="str">
        <f t="shared" si="32"/>
        <v/>
      </c>
      <c r="I33" s="46" t="str">
        <f t="shared" si="32"/>
        <v/>
      </c>
      <c r="J33" s="17" t="str">
        <f t="shared" si="32"/>
        <v/>
      </c>
      <c r="K33" s="46" t="str">
        <f t="shared" si="32"/>
        <v/>
      </c>
      <c r="L33" s="17" t="str">
        <f t="shared" si="32"/>
        <v/>
      </c>
      <c r="M33" s="46" t="str">
        <f t="shared" si="32"/>
        <v/>
      </c>
      <c r="N33" s="17" t="str">
        <f t="shared" si="32"/>
        <v/>
      </c>
      <c r="O33" s="46" t="str">
        <f t="shared" si="32"/>
        <v/>
      </c>
      <c r="P33" s="17" t="str">
        <f t="shared" si="32"/>
        <v/>
      </c>
      <c r="Q33" s="46" t="str">
        <f t="shared" si="32"/>
        <v/>
      </c>
      <c r="R33" s="17" t="str">
        <f t="shared" si="32"/>
        <v/>
      </c>
      <c r="S33" s="46" t="str">
        <f t="shared" si="32"/>
        <v/>
      </c>
      <c r="T33" s="17" t="str">
        <f t="shared" si="32"/>
        <v/>
      </c>
      <c r="U33" s="46" t="str">
        <f t="shared" si="32"/>
        <v/>
      </c>
      <c r="V33" s="17" t="str">
        <f t="shared" si="32"/>
        <v/>
      </c>
      <c r="W33" s="46" t="str">
        <f t="shared" si="32"/>
        <v/>
      </c>
      <c r="X33" s="17" t="str">
        <f t="shared" si="32"/>
        <v/>
      </c>
      <c r="Y33" s="46" t="str">
        <f t="shared" si="32"/>
        <v/>
      </c>
      <c r="Z33" s="17" t="str">
        <f t="shared" si="32"/>
        <v/>
      </c>
      <c r="AA33" s="46" t="str">
        <f t="shared" si="32"/>
        <v/>
      </c>
      <c r="AB33" s="17" t="str">
        <f t="shared" si="32"/>
        <v/>
      </c>
      <c r="AC33" s="46" t="str">
        <f t="shared" si="32"/>
        <v/>
      </c>
      <c r="AD33" s="17" t="str">
        <f t="shared" si="32"/>
        <v/>
      </c>
      <c r="AE33" s="46" t="str">
        <f t="shared" si="32"/>
        <v/>
      </c>
      <c r="AF33" s="17" t="str">
        <f t="shared" si="32"/>
        <v/>
      </c>
      <c r="AG33" s="46" t="str">
        <f t="shared" si="32"/>
        <v/>
      </c>
      <c r="AH33" s="17" t="str">
        <f t="shared" si="32"/>
        <v/>
      </c>
      <c r="AI33" s="46" t="str">
        <f t="shared" si="32"/>
        <v/>
      </c>
      <c r="AJ33" s="17" t="str">
        <f t="shared" si="32"/>
        <v/>
      </c>
      <c r="AK33" s="46" t="str">
        <f t="shared" si="32"/>
        <v/>
      </c>
      <c r="AL33" s="17" t="str">
        <f t="shared" si="32"/>
        <v/>
      </c>
      <c r="AM33" s="46" t="str">
        <f t="shared" si="32"/>
        <v/>
      </c>
      <c r="AN33" s="17" t="str">
        <f t="shared" si="32"/>
        <v/>
      </c>
      <c r="AO33" s="46" t="str">
        <f t="shared" si="32"/>
        <v/>
      </c>
      <c r="AP33" s="17" t="str">
        <f t="shared" si="32"/>
        <v/>
      </c>
      <c r="AQ33" s="46" t="str">
        <f t="shared" si="32"/>
        <v/>
      </c>
      <c r="AR33" s="17" t="str">
        <f t="shared" si="32"/>
        <v/>
      </c>
      <c r="AS33" s="46" t="str">
        <f t="shared" si="32"/>
        <v/>
      </c>
      <c r="AT33" s="17" t="str">
        <f t="shared" si="32"/>
        <v/>
      </c>
      <c r="AU33" s="46" t="str">
        <f t="shared" si="32"/>
        <v/>
      </c>
      <c r="AV33" s="17" t="str">
        <f t="shared" si="32"/>
        <v/>
      </c>
      <c r="AW33" s="46" t="str">
        <f t="shared" si="32"/>
        <v/>
      </c>
      <c r="AX33" s="17" t="str">
        <f t="shared" si="32"/>
        <v/>
      </c>
      <c r="AY33" s="46" t="str">
        <f t="shared" si="32"/>
        <v/>
      </c>
      <c r="AZ33" s="17" t="str">
        <f t="shared" si="32"/>
        <v/>
      </c>
      <c r="BA33" s="46" t="str">
        <f t="shared" si="32"/>
        <v/>
      </c>
      <c r="BB33" s="17" t="str">
        <f t="shared" si="32"/>
        <v/>
      </c>
      <c r="BC33" s="46" t="str">
        <f t="shared" si="32"/>
        <v/>
      </c>
      <c r="BD33" s="17" t="str">
        <f t="shared" si="32"/>
        <v/>
      </c>
      <c r="BE33" s="46" t="str">
        <f t="shared" si="32"/>
        <v/>
      </c>
      <c r="BF33" s="17" t="str">
        <f t="shared" si="32"/>
        <v/>
      </c>
      <c r="BG33" s="46" t="str">
        <f t="shared" si="32"/>
        <v/>
      </c>
      <c r="BH33" s="17" t="str">
        <f t="shared" si="32"/>
        <v/>
      </c>
      <c r="BI33" s="46" t="str">
        <f t="shared" si="32"/>
        <v/>
      </c>
      <c r="BJ33" s="17" t="str">
        <f t="shared" si="32"/>
        <v/>
      </c>
      <c r="BK33" s="46" t="str">
        <f t="shared" si="32"/>
        <v/>
      </c>
      <c r="BL33" s="17" t="str">
        <f t="shared" si="32"/>
        <v/>
      </c>
      <c r="BM33" s="46" t="str">
        <f t="shared" si="32"/>
        <v/>
      </c>
      <c r="BN33" s="17" t="str">
        <f t="shared" si="32"/>
        <v/>
      </c>
      <c r="BO33" s="46" t="str">
        <f t="shared" si="32"/>
        <v/>
      </c>
      <c r="BP33" s="17" t="str">
        <f t="shared" si="32"/>
        <v/>
      </c>
      <c r="BQ33" s="46" t="str">
        <f t="shared" si="32"/>
        <v/>
      </c>
      <c r="BR33" s="17" t="str">
        <f t="shared" si="32"/>
        <v/>
      </c>
      <c r="BS33" s="46" t="str">
        <f t="shared" si="32"/>
        <v/>
      </c>
      <c r="BT33" s="17" t="str">
        <f t="shared" si="32"/>
        <v/>
      </c>
      <c r="BU33" s="46" t="str">
        <f t="shared" si="32"/>
        <v/>
      </c>
      <c r="BV33" s="17" t="str">
        <f t="shared" si="32"/>
        <v/>
      </c>
      <c r="BW33" s="46" t="str">
        <f t="shared" si="32"/>
        <v/>
      </c>
      <c r="BX33" s="17" t="str">
        <f t="shared" si="32"/>
        <v/>
      </c>
      <c r="BY33" s="46" t="str">
        <f t="shared" si="32"/>
        <v/>
      </c>
      <c r="BZ33" s="17" t="str">
        <f t="shared" si="32"/>
        <v/>
      </c>
      <c r="CA33" s="46" t="str">
        <f t="shared" si="32"/>
        <v/>
      </c>
      <c r="CB33" s="17" t="str">
        <f t="shared" si="32"/>
        <v/>
      </c>
      <c r="CC33" s="46" t="str">
        <f t="shared" si="32"/>
        <v/>
      </c>
      <c r="CD33" s="17" t="str">
        <f t="shared" si="32"/>
        <v/>
      </c>
      <c r="CE33" s="46" t="str">
        <f t="shared" si="32"/>
        <v/>
      </c>
      <c r="CF33" s="17" t="str">
        <f t="shared" si="32"/>
        <v/>
      </c>
      <c r="CG33" s="46" t="str">
        <f t="shared" si="32"/>
        <v/>
      </c>
      <c r="CH33" s="17" t="str">
        <f t="shared" si="32"/>
        <v/>
      </c>
      <c r="CI33" s="46" t="str">
        <f t="shared" si="32"/>
        <v/>
      </c>
      <c r="CJ33" s="17" t="str">
        <f t="shared" si="32"/>
        <v/>
      </c>
      <c r="CK33" s="46" t="str">
        <f t="shared" si="32"/>
        <v/>
      </c>
      <c r="CL33" s="17" t="str">
        <f t="shared" si="32"/>
        <v/>
      </c>
      <c r="CM33" s="46" t="str">
        <f t="shared" si="32"/>
        <v/>
      </c>
      <c r="CN33" s="17" t="str">
        <f t="shared" si="32"/>
        <v/>
      </c>
      <c r="CO33" s="46" t="str">
        <f t="shared" si="32"/>
        <v/>
      </c>
      <c r="CP33" s="17" t="str">
        <f t="shared" si="32"/>
        <v/>
      </c>
      <c r="CQ33" s="46" t="str">
        <f t="shared" si="32"/>
        <v/>
      </c>
      <c r="CR33" s="17" t="str">
        <f t="shared" si="32"/>
        <v/>
      </c>
      <c r="CS33" s="46" t="str">
        <f t="shared" si="32"/>
        <v/>
      </c>
      <c r="CT33" s="17" t="str">
        <f t="shared" si="32"/>
        <v/>
      </c>
      <c r="CU33" s="46" t="str">
        <f t="shared" si="32"/>
        <v/>
      </c>
      <c r="CV33" s="17" t="str">
        <f t="shared" si="32"/>
        <v/>
      </c>
      <c r="CW33" s="46" t="str">
        <f t="shared" si="32"/>
        <v/>
      </c>
      <c r="CX33" s="17" t="str">
        <f t="shared" si="32"/>
        <v/>
      </c>
      <c r="CY33" s="46" t="str">
        <f t="shared" si="32"/>
        <v/>
      </c>
      <c r="CZ33" s="17" t="str">
        <f t="shared" si="32"/>
        <v/>
      </c>
      <c r="DA33" s="46" t="str">
        <f t="shared" si="32"/>
        <v/>
      </c>
      <c r="DB33" s="17" t="str">
        <f t="shared" si="32"/>
        <v/>
      </c>
      <c r="DC33" s="46" t="str">
        <f t="shared" si="32"/>
        <v/>
      </c>
      <c r="DD33" s="17" t="str">
        <f t="shared" si="32"/>
        <v/>
      </c>
      <c r="DE33" s="46" t="str">
        <f t="shared" si="32"/>
        <v/>
      </c>
      <c r="DF33" s="17" t="str">
        <f t="shared" si="32"/>
        <v/>
      </c>
      <c r="DG33" s="46" t="str">
        <f t="shared" si="32"/>
        <v/>
      </c>
      <c r="DH33" s="17" t="str">
        <f t="shared" si="32"/>
        <v/>
      </c>
      <c r="DI33" s="46" t="str">
        <f t="shared" si="32"/>
        <v/>
      </c>
      <c r="DJ33" s="17" t="str">
        <f t="shared" si="32"/>
        <v/>
      </c>
      <c r="DK33" s="46" t="str">
        <f t="shared" si="32"/>
        <v/>
      </c>
      <c r="DL33" s="17" t="str">
        <f t="shared" si="32"/>
        <v/>
      </c>
      <c r="DM33" s="46" t="str">
        <f t="shared" si="32"/>
        <v/>
      </c>
      <c r="DN33" s="17" t="str">
        <f t="shared" si="32"/>
        <v/>
      </c>
      <c r="DO33" s="46" t="str">
        <f t="shared" si="32"/>
        <v/>
      </c>
      <c r="DP33" s="17" t="str">
        <f t="shared" si="32"/>
        <v/>
      </c>
      <c r="DQ33" s="46" t="str">
        <f t="shared" si="32"/>
        <v/>
      </c>
      <c r="DR33" s="17" t="str">
        <f t="shared" si="32"/>
        <v/>
      </c>
      <c r="DS33" s="46" t="str">
        <f t="shared" si="32"/>
        <v/>
      </c>
      <c r="DT33" s="17" t="str">
        <f t="shared" si="32"/>
        <v/>
      </c>
      <c r="DU33" s="46" t="str">
        <f t="shared" si="32"/>
        <v/>
      </c>
      <c r="DV33" s="17" t="str">
        <f t="shared" si="32"/>
        <v/>
      </c>
      <c r="DW33" s="46" t="str">
        <f t="shared" si="32"/>
        <v/>
      </c>
      <c r="DX33" s="17" t="str">
        <f t="shared" si="32"/>
        <v/>
      </c>
      <c r="DY33" s="46" t="str">
        <f t="shared" si="32"/>
        <v/>
      </c>
      <c r="DZ33" s="17" t="str">
        <f t="shared" si="32"/>
        <v/>
      </c>
      <c r="EA33" s="46" t="str">
        <f t="shared" si="32"/>
        <v/>
      </c>
      <c r="EB33" s="17" t="str">
        <f t="shared" si="32"/>
        <v/>
      </c>
      <c r="EC33" s="46" t="str">
        <f t="shared" si="32"/>
        <v/>
      </c>
      <c r="ED33" s="17" t="str">
        <f t="shared" si="32"/>
        <v/>
      </c>
      <c r="EE33" s="46" t="str">
        <f t="shared" si="32"/>
        <v/>
      </c>
      <c r="EF33" s="17" t="str">
        <f t="shared" si="32"/>
        <v/>
      </c>
      <c r="EG33" s="46" t="str">
        <f t="shared" si="32"/>
        <v/>
      </c>
      <c r="EH33" s="17" t="str">
        <f t="shared" si="32"/>
        <v/>
      </c>
      <c r="EI33" s="46" t="str">
        <f t="shared" si="32"/>
        <v/>
      </c>
      <c r="EJ33" s="17" t="str">
        <f t="shared" si="32"/>
        <v/>
      </c>
      <c r="EK33" s="46" t="str">
        <f t="shared" si="32"/>
        <v/>
      </c>
      <c r="EL33" s="17" t="str">
        <f t="shared" si="32"/>
        <v/>
      </c>
      <c r="EM33" s="46" t="str">
        <f t="shared" si="32"/>
        <v/>
      </c>
      <c r="EN33" s="17" t="str">
        <f t="shared" si="32"/>
        <v/>
      </c>
      <c r="EO33" s="46" t="str">
        <f t="shared" si="32"/>
        <v/>
      </c>
      <c r="EP33" s="17" t="str">
        <f t="shared" si="32"/>
        <v/>
      </c>
    </row>
    <row r="34" ht="15.75" customHeight="1">
      <c r="A34" s="6" t="str">
        <f>Menus!B26</f>
        <v/>
      </c>
      <c r="B34" s="43">
        <f t="shared" si="11"/>
        <v>0</v>
      </c>
      <c r="C34" s="54" t="str">
        <f t="shared" ref="C34:EP34" si="33">IFERROR(
  LET(
    resultado,
      INDEX(
        INDIRECT($B$1),
        MATCH(RIGHT($A34, LEN($A34)-4), INDIRECT($B$3), 0),
        MATCH(C$1, INDIRECT($B$5), 0)
      ),
    IF(resultado="-", "", resultado) 
  ),
"")
</f>
        <v/>
      </c>
      <c r="D34" s="55" t="str">
        <f t="shared" si="33"/>
        <v/>
      </c>
      <c r="E34" s="46" t="str">
        <f t="shared" si="33"/>
        <v/>
      </c>
      <c r="F34" s="17" t="str">
        <f t="shared" si="33"/>
        <v/>
      </c>
      <c r="G34" s="46" t="str">
        <f t="shared" si="33"/>
        <v/>
      </c>
      <c r="H34" s="17" t="str">
        <f t="shared" si="33"/>
        <v/>
      </c>
      <c r="I34" s="46" t="str">
        <f t="shared" si="33"/>
        <v/>
      </c>
      <c r="J34" s="17" t="str">
        <f t="shared" si="33"/>
        <v/>
      </c>
      <c r="K34" s="46" t="str">
        <f t="shared" si="33"/>
        <v/>
      </c>
      <c r="L34" s="17" t="str">
        <f t="shared" si="33"/>
        <v/>
      </c>
      <c r="M34" s="46" t="str">
        <f t="shared" si="33"/>
        <v/>
      </c>
      <c r="N34" s="17" t="str">
        <f t="shared" si="33"/>
        <v/>
      </c>
      <c r="O34" s="46" t="str">
        <f t="shared" si="33"/>
        <v/>
      </c>
      <c r="P34" s="17" t="str">
        <f t="shared" si="33"/>
        <v/>
      </c>
      <c r="Q34" s="46" t="str">
        <f t="shared" si="33"/>
        <v/>
      </c>
      <c r="R34" s="17" t="str">
        <f t="shared" si="33"/>
        <v/>
      </c>
      <c r="S34" s="46" t="str">
        <f t="shared" si="33"/>
        <v/>
      </c>
      <c r="T34" s="17" t="str">
        <f t="shared" si="33"/>
        <v/>
      </c>
      <c r="U34" s="46" t="str">
        <f t="shared" si="33"/>
        <v/>
      </c>
      <c r="V34" s="17" t="str">
        <f t="shared" si="33"/>
        <v/>
      </c>
      <c r="W34" s="46" t="str">
        <f t="shared" si="33"/>
        <v/>
      </c>
      <c r="X34" s="17" t="str">
        <f t="shared" si="33"/>
        <v/>
      </c>
      <c r="Y34" s="46" t="str">
        <f t="shared" si="33"/>
        <v/>
      </c>
      <c r="Z34" s="17" t="str">
        <f t="shared" si="33"/>
        <v/>
      </c>
      <c r="AA34" s="46" t="str">
        <f t="shared" si="33"/>
        <v/>
      </c>
      <c r="AB34" s="17" t="str">
        <f t="shared" si="33"/>
        <v/>
      </c>
      <c r="AC34" s="46" t="str">
        <f t="shared" si="33"/>
        <v/>
      </c>
      <c r="AD34" s="17" t="str">
        <f t="shared" si="33"/>
        <v/>
      </c>
      <c r="AE34" s="46" t="str">
        <f t="shared" si="33"/>
        <v/>
      </c>
      <c r="AF34" s="17" t="str">
        <f t="shared" si="33"/>
        <v/>
      </c>
      <c r="AG34" s="46" t="str">
        <f t="shared" si="33"/>
        <v/>
      </c>
      <c r="AH34" s="17" t="str">
        <f t="shared" si="33"/>
        <v/>
      </c>
      <c r="AI34" s="46" t="str">
        <f t="shared" si="33"/>
        <v/>
      </c>
      <c r="AJ34" s="17" t="str">
        <f t="shared" si="33"/>
        <v/>
      </c>
      <c r="AK34" s="46" t="str">
        <f t="shared" si="33"/>
        <v/>
      </c>
      <c r="AL34" s="17" t="str">
        <f t="shared" si="33"/>
        <v/>
      </c>
      <c r="AM34" s="46" t="str">
        <f t="shared" si="33"/>
        <v/>
      </c>
      <c r="AN34" s="17" t="str">
        <f t="shared" si="33"/>
        <v/>
      </c>
      <c r="AO34" s="46" t="str">
        <f t="shared" si="33"/>
        <v/>
      </c>
      <c r="AP34" s="17" t="str">
        <f t="shared" si="33"/>
        <v/>
      </c>
      <c r="AQ34" s="46" t="str">
        <f t="shared" si="33"/>
        <v/>
      </c>
      <c r="AR34" s="17" t="str">
        <f t="shared" si="33"/>
        <v/>
      </c>
      <c r="AS34" s="46" t="str">
        <f t="shared" si="33"/>
        <v/>
      </c>
      <c r="AT34" s="17" t="str">
        <f t="shared" si="33"/>
        <v/>
      </c>
      <c r="AU34" s="46" t="str">
        <f t="shared" si="33"/>
        <v/>
      </c>
      <c r="AV34" s="17" t="str">
        <f t="shared" si="33"/>
        <v/>
      </c>
      <c r="AW34" s="46" t="str">
        <f t="shared" si="33"/>
        <v/>
      </c>
      <c r="AX34" s="17" t="str">
        <f t="shared" si="33"/>
        <v/>
      </c>
      <c r="AY34" s="46" t="str">
        <f t="shared" si="33"/>
        <v/>
      </c>
      <c r="AZ34" s="17" t="str">
        <f t="shared" si="33"/>
        <v/>
      </c>
      <c r="BA34" s="46" t="str">
        <f t="shared" si="33"/>
        <v/>
      </c>
      <c r="BB34" s="17" t="str">
        <f t="shared" si="33"/>
        <v/>
      </c>
      <c r="BC34" s="46" t="str">
        <f t="shared" si="33"/>
        <v/>
      </c>
      <c r="BD34" s="17" t="str">
        <f t="shared" si="33"/>
        <v/>
      </c>
      <c r="BE34" s="46" t="str">
        <f t="shared" si="33"/>
        <v/>
      </c>
      <c r="BF34" s="17" t="str">
        <f t="shared" si="33"/>
        <v/>
      </c>
      <c r="BG34" s="46" t="str">
        <f t="shared" si="33"/>
        <v/>
      </c>
      <c r="BH34" s="17" t="str">
        <f t="shared" si="33"/>
        <v/>
      </c>
      <c r="BI34" s="46" t="str">
        <f t="shared" si="33"/>
        <v/>
      </c>
      <c r="BJ34" s="17" t="str">
        <f t="shared" si="33"/>
        <v/>
      </c>
      <c r="BK34" s="46" t="str">
        <f t="shared" si="33"/>
        <v/>
      </c>
      <c r="BL34" s="17" t="str">
        <f t="shared" si="33"/>
        <v/>
      </c>
      <c r="BM34" s="46" t="str">
        <f t="shared" si="33"/>
        <v/>
      </c>
      <c r="BN34" s="17" t="str">
        <f t="shared" si="33"/>
        <v/>
      </c>
      <c r="BO34" s="46" t="str">
        <f t="shared" si="33"/>
        <v/>
      </c>
      <c r="BP34" s="17" t="str">
        <f t="shared" si="33"/>
        <v/>
      </c>
      <c r="BQ34" s="46" t="str">
        <f t="shared" si="33"/>
        <v/>
      </c>
      <c r="BR34" s="17" t="str">
        <f t="shared" si="33"/>
        <v/>
      </c>
      <c r="BS34" s="46" t="str">
        <f t="shared" si="33"/>
        <v/>
      </c>
      <c r="BT34" s="17" t="str">
        <f t="shared" si="33"/>
        <v/>
      </c>
      <c r="BU34" s="46" t="str">
        <f t="shared" si="33"/>
        <v/>
      </c>
      <c r="BV34" s="17" t="str">
        <f t="shared" si="33"/>
        <v/>
      </c>
      <c r="BW34" s="46" t="str">
        <f t="shared" si="33"/>
        <v/>
      </c>
      <c r="BX34" s="17" t="str">
        <f t="shared" si="33"/>
        <v/>
      </c>
      <c r="BY34" s="46" t="str">
        <f t="shared" si="33"/>
        <v/>
      </c>
      <c r="BZ34" s="17" t="str">
        <f t="shared" si="33"/>
        <v/>
      </c>
      <c r="CA34" s="46" t="str">
        <f t="shared" si="33"/>
        <v/>
      </c>
      <c r="CB34" s="17" t="str">
        <f t="shared" si="33"/>
        <v/>
      </c>
      <c r="CC34" s="46" t="str">
        <f t="shared" si="33"/>
        <v/>
      </c>
      <c r="CD34" s="17" t="str">
        <f t="shared" si="33"/>
        <v/>
      </c>
      <c r="CE34" s="46" t="str">
        <f t="shared" si="33"/>
        <v/>
      </c>
      <c r="CF34" s="17" t="str">
        <f t="shared" si="33"/>
        <v/>
      </c>
      <c r="CG34" s="46" t="str">
        <f t="shared" si="33"/>
        <v/>
      </c>
      <c r="CH34" s="17" t="str">
        <f t="shared" si="33"/>
        <v/>
      </c>
      <c r="CI34" s="46" t="str">
        <f t="shared" si="33"/>
        <v/>
      </c>
      <c r="CJ34" s="17" t="str">
        <f t="shared" si="33"/>
        <v/>
      </c>
      <c r="CK34" s="46" t="str">
        <f t="shared" si="33"/>
        <v/>
      </c>
      <c r="CL34" s="17" t="str">
        <f t="shared" si="33"/>
        <v/>
      </c>
      <c r="CM34" s="46" t="str">
        <f t="shared" si="33"/>
        <v/>
      </c>
      <c r="CN34" s="17" t="str">
        <f t="shared" si="33"/>
        <v/>
      </c>
      <c r="CO34" s="46" t="str">
        <f t="shared" si="33"/>
        <v/>
      </c>
      <c r="CP34" s="17" t="str">
        <f t="shared" si="33"/>
        <v/>
      </c>
      <c r="CQ34" s="46" t="str">
        <f t="shared" si="33"/>
        <v/>
      </c>
      <c r="CR34" s="17" t="str">
        <f t="shared" si="33"/>
        <v/>
      </c>
      <c r="CS34" s="46" t="str">
        <f t="shared" si="33"/>
        <v/>
      </c>
      <c r="CT34" s="17" t="str">
        <f t="shared" si="33"/>
        <v/>
      </c>
      <c r="CU34" s="46" t="str">
        <f t="shared" si="33"/>
        <v/>
      </c>
      <c r="CV34" s="17" t="str">
        <f t="shared" si="33"/>
        <v/>
      </c>
      <c r="CW34" s="46" t="str">
        <f t="shared" si="33"/>
        <v/>
      </c>
      <c r="CX34" s="17" t="str">
        <f t="shared" si="33"/>
        <v/>
      </c>
      <c r="CY34" s="46" t="str">
        <f t="shared" si="33"/>
        <v/>
      </c>
      <c r="CZ34" s="17" t="str">
        <f t="shared" si="33"/>
        <v/>
      </c>
      <c r="DA34" s="46" t="str">
        <f t="shared" si="33"/>
        <v/>
      </c>
      <c r="DB34" s="17" t="str">
        <f t="shared" si="33"/>
        <v/>
      </c>
      <c r="DC34" s="46" t="str">
        <f t="shared" si="33"/>
        <v/>
      </c>
      <c r="DD34" s="17" t="str">
        <f t="shared" si="33"/>
        <v/>
      </c>
      <c r="DE34" s="46" t="str">
        <f t="shared" si="33"/>
        <v/>
      </c>
      <c r="DF34" s="17" t="str">
        <f t="shared" si="33"/>
        <v/>
      </c>
      <c r="DG34" s="46" t="str">
        <f t="shared" si="33"/>
        <v/>
      </c>
      <c r="DH34" s="17" t="str">
        <f t="shared" si="33"/>
        <v/>
      </c>
      <c r="DI34" s="46" t="str">
        <f t="shared" si="33"/>
        <v/>
      </c>
      <c r="DJ34" s="17" t="str">
        <f t="shared" si="33"/>
        <v/>
      </c>
      <c r="DK34" s="46" t="str">
        <f t="shared" si="33"/>
        <v/>
      </c>
      <c r="DL34" s="17" t="str">
        <f t="shared" si="33"/>
        <v/>
      </c>
      <c r="DM34" s="46" t="str">
        <f t="shared" si="33"/>
        <v/>
      </c>
      <c r="DN34" s="17" t="str">
        <f t="shared" si="33"/>
        <v/>
      </c>
      <c r="DO34" s="46" t="str">
        <f t="shared" si="33"/>
        <v/>
      </c>
      <c r="DP34" s="17" t="str">
        <f t="shared" si="33"/>
        <v/>
      </c>
      <c r="DQ34" s="46" t="str">
        <f t="shared" si="33"/>
        <v/>
      </c>
      <c r="DR34" s="17" t="str">
        <f t="shared" si="33"/>
        <v/>
      </c>
      <c r="DS34" s="46" t="str">
        <f t="shared" si="33"/>
        <v/>
      </c>
      <c r="DT34" s="17" t="str">
        <f t="shared" si="33"/>
        <v/>
      </c>
      <c r="DU34" s="46" t="str">
        <f t="shared" si="33"/>
        <v/>
      </c>
      <c r="DV34" s="17" t="str">
        <f t="shared" si="33"/>
        <v/>
      </c>
      <c r="DW34" s="46" t="str">
        <f t="shared" si="33"/>
        <v/>
      </c>
      <c r="DX34" s="17" t="str">
        <f t="shared" si="33"/>
        <v/>
      </c>
      <c r="DY34" s="46" t="str">
        <f t="shared" si="33"/>
        <v/>
      </c>
      <c r="DZ34" s="17" t="str">
        <f t="shared" si="33"/>
        <v/>
      </c>
      <c r="EA34" s="46" t="str">
        <f t="shared" si="33"/>
        <v/>
      </c>
      <c r="EB34" s="17" t="str">
        <f t="shared" si="33"/>
        <v/>
      </c>
      <c r="EC34" s="46" t="str">
        <f t="shared" si="33"/>
        <v/>
      </c>
      <c r="ED34" s="17" t="str">
        <f t="shared" si="33"/>
        <v/>
      </c>
      <c r="EE34" s="46" t="str">
        <f t="shared" si="33"/>
        <v/>
      </c>
      <c r="EF34" s="17" t="str">
        <f t="shared" si="33"/>
        <v/>
      </c>
      <c r="EG34" s="46" t="str">
        <f t="shared" si="33"/>
        <v/>
      </c>
      <c r="EH34" s="17" t="str">
        <f t="shared" si="33"/>
        <v/>
      </c>
      <c r="EI34" s="46" t="str">
        <f t="shared" si="33"/>
        <v/>
      </c>
      <c r="EJ34" s="17" t="str">
        <f t="shared" si="33"/>
        <v/>
      </c>
      <c r="EK34" s="46" t="str">
        <f t="shared" si="33"/>
        <v/>
      </c>
      <c r="EL34" s="17" t="str">
        <f t="shared" si="33"/>
        <v/>
      </c>
      <c r="EM34" s="46" t="str">
        <f t="shared" si="33"/>
        <v/>
      </c>
      <c r="EN34" s="17" t="str">
        <f t="shared" si="33"/>
        <v/>
      </c>
      <c r="EO34" s="46" t="str">
        <f t="shared" si="33"/>
        <v/>
      </c>
      <c r="EP34" s="17" t="str">
        <f t="shared" si="33"/>
        <v/>
      </c>
    </row>
    <row r="35" ht="15.75" customHeight="1">
      <c r="A35" s="6" t="str">
        <f>Menus!B27</f>
        <v/>
      </c>
      <c r="B35" s="43">
        <f t="shared" si="11"/>
        <v>0</v>
      </c>
      <c r="C35" s="54" t="str">
        <f t="shared" ref="C35:EP35" si="34">IFERROR(
  LET(
    resultado,
      INDEX(
        INDIRECT($B$1),
        MATCH(RIGHT($A35, LEN($A35)-4), INDIRECT($B$3), 0),
        MATCH(C$1, INDIRECT($B$5), 0)
      ),
    IF(resultado="-", "", resultado) 
  ),
"")
</f>
        <v/>
      </c>
      <c r="D35" s="55" t="str">
        <f t="shared" si="34"/>
        <v/>
      </c>
      <c r="E35" s="46" t="str">
        <f t="shared" si="34"/>
        <v/>
      </c>
      <c r="F35" s="17" t="str">
        <f t="shared" si="34"/>
        <v/>
      </c>
      <c r="G35" s="46" t="str">
        <f t="shared" si="34"/>
        <v/>
      </c>
      <c r="H35" s="17" t="str">
        <f t="shared" si="34"/>
        <v/>
      </c>
      <c r="I35" s="46" t="str">
        <f t="shared" si="34"/>
        <v/>
      </c>
      <c r="J35" s="17" t="str">
        <f t="shared" si="34"/>
        <v/>
      </c>
      <c r="K35" s="46" t="str">
        <f t="shared" si="34"/>
        <v/>
      </c>
      <c r="L35" s="17" t="str">
        <f t="shared" si="34"/>
        <v/>
      </c>
      <c r="M35" s="46" t="str">
        <f t="shared" si="34"/>
        <v/>
      </c>
      <c r="N35" s="17" t="str">
        <f t="shared" si="34"/>
        <v/>
      </c>
      <c r="O35" s="46" t="str">
        <f t="shared" si="34"/>
        <v/>
      </c>
      <c r="P35" s="17" t="str">
        <f t="shared" si="34"/>
        <v/>
      </c>
      <c r="Q35" s="46" t="str">
        <f t="shared" si="34"/>
        <v/>
      </c>
      <c r="R35" s="17" t="str">
        <f t="shared" si="34"/>
        <v/>
      </c>
      <c r="S35" s="46" t="str">
        <f t="shared" si="34"/>
        <v/>
      </c>
      <c r="T35" s="17" t="str">
        <f t="shared" si="34"/>
        <v/>
      </c>
      <c r="U35" s="46" t="str">
        <f t="shared" si="34"/>
        <v/>
      </c>
      <c r="V35" s="17" t="str">
        <f t="shared" si="34"/>
        <v/>
      </c>
      <c r="W35" s="46" t="str">
        <f t="shared" si="34"/>
        <v/>
      </c>
      <c r="X35" s="17" t="str">
        <f t="shared" si="34"/>
        <v/>
      </c>
      <c r="Y35" s="46" t="str">
        <f t="shared" si="34"/>
        <v/>
      </c>
      <c r="Z35" s="17" t="str">
        <f t="shared" si="34"/>
        <v/>
      </c>
      <c r="AA35" s="46" t="str">
        <f t="shared" si="34"/>
        <v/>
      </c>
      <c r="AB35" s="17" t="str">
        <f t="shared" si="34"/>
        <v/>
      </c>
      <c r="AC35" s="46" t="str">
        <f t="shared" si="34"/>
        <v/>
      </c>
      <c r="AD35" s="17" t="str">
        <f t="shared" si="34"/>
        <v/>
      </c>
      <c r="AE35" s="46" t="str">
        <f t="shared" si="34"/>
        <v/>
      </c>
      <c r="AF35" s="17" t="str">
        <f t="shared" si="34"/>
        <v/>
      </c>
      <c r="AG35" s="46" t="str">
        <f t="shared" si="34"/>
        <v/>
      </c>
      <c r="AH35" s="17" t="str">
        <f t="shared" si="34"/>
        <v/>
      </c>
      <c r="AI35" s="46" t="str">
        <f t="shared" si="34"/>
        <v/>
      </c>
      <c r="AJ35" s="17" t="str">
        <f t="shared" si="34"/>
        <v/>
      </c>
      <c r="AK35" s="46" t="str">
        <f t="shared" si="34"/>
        <v/>
      </c>
      <c r="AL35" s="17" t="str">
        <f t="shared" si="34"/>
        <v/>
      </c>
      <c r="AM35" s="46" t="str">
        <f t="shared" si="34"/>
        <v/>
      </c>
      <c r="AN35" s="17" t="str">
        <f t="shared" si="34"/>
        <v/>
      </c>
      <c r="AO35" s="46" t="str">
        <f t="shared" si="34"/>
        <v/>
      </c>
      <c r="AP35" s="17" t="str">
        <f t="shared" si="34"/>
        <v/>
      </c>
      <c r="AQ35" s="46" t="str">
        <f t="shared" si="34"/>
        <v/>
      </c>
      <c r="AR35" s="17" t="str">
        <f t="shared" si="34"/>
        <v/>
      </c>
      <c r="AS35" s="46" t="str">
        <f t="shared" si="34"/>
        <v/>
      </c>
      <c r="AT35" s="17" t="str">
        <f t="shared" si="34"/>
        <v/>
      </c>
      <c r="AU35" s="46" t="str">
        <f t="shared" si="34"/>
        <v/>
      </c>
      <c r="AV35" s="17" t="str">
        <f t="shared" si="34"/>
        <v/>
      </c>
      <c r="AW35" s="46" t="str">
        <f t="shared" si="34"/>
        <v/>
      </c>
      <c r="AX35" s="17" t="str">
        <f t="shared" si="34"/>
        <v/>
      </c>
      <c r="AY35" s="46" t="str">
        <f t="shared" si="34"/>
        <v/>
      </c>
      <c r="AZ35" s="17" t="str">
        <f t="shared" si="34"/>
        <v/>
      </c>
      <c r="BA35" s="46" t="str">
        <f t="shared" si="34"/>
        <v/>
      </c>
      <c r="BB35" s="17" t="str">
        <f t="shared" si="34"/>
        <v/>
      </c>
      <c r="BC35" s="46" t="str">
        <f t="shared" si="34"/>
        <v/>
      </c>
      <c r="BD35" s="17" t="str">
        <f t="shared" si="34"/>
        <v/>
      </c>
      <c r="BE35" s="46" t="str">
        <f t="shared" si="34"/>
        <v/>
      </c>
      <c r="BF35" s="17" t="str">
        <f t="shared" si="34"/>
        <v/>
      </c>
      <c r="BG35" s="46" t="str">
        <f t="shared" si="34"/>
        <v/>
      </c>
      <c r="BH35" s="17" t="str">
        <f t="shared" si="34"/>
        <v/>
      </c>
      <c r="BI35" s="46" t="str">
        <f t="shared" si="34"/>
        <v/>
      </c>
      <c r="BJ35" s="17" t="str">
        <f t="shared" si="34"/>
        <v/>
      </c>
      <c r="BK35" s="46" t="str">
        <f t="shared" si="34"/>
        <v/>
      </c>
      <c r="BL35" s="17" t="str">
        <f t="shared" si="34"/>
        <v/>
      </c>
      <c r="BM35" s="46" t="str">
        <f t="shared" si="34"/>
        <v/>
      </c>
      <c r="BN35" s="17" t="str">
        <f t="shared" si="34"/>
        <v/>
      </c>
      <c r="BO35" s="46" t="str">
        <f t="shared" si="34"/>
        <v/>
      </c>
      <c r="BP35" s="17" t="str">
        <f t="shared" si="34"/>
        <v/>
      </c>
      <c r="BQ35" s="46" t="str">
        <f t="shared" si="34"/>
        <v/>
      </c>
      <c r="BR35" s="17" t="str">
        <f t="shared" si="34"/>
        <v/>
      </c>
      <c r="BS35" s="46" t="str">
        <f t="shared" si="34"/>
        <v/>
      </c>
      <c r="BT35" s="17" t="str">
        <f t="shared" si="34"/>
        <v/>
      </c>
      <c r="BU35" s="46" t="str">
        <f t="shared" si="34"/>
        <v/>
      </c>
      <c r="BV35" s="17" t="str">
        <f t="shared" si="34"/>
        <v/>
      </c>
      <c r="BW35" s="46" t="str">
        <f t="shared" si="34"/>
        <v/>
      </c>
      <c r="BX35" s="17" t="str">
        <f t="shared" si="34"/>
        <v/>
      </c>
      <c r="BY35" s="46" t="str">
        <f t="shared" si="34"/>
        <v/>
      </c>
      <c r="BZ35" s="17" t="str">
        <f t="shared" si="34"/>
        <v/>
      </c>
      <c r="CA35" s="46" t="str">
        <f t="shared" si="34"/>
        <v/>
      </c>
      <c r="CB35" s="17" t="str">
        <f t="shared" si="34"/>
        <v/>
      </c>
      <c r="CC35" s="46" t="str">
        <f t="shared" si="34"/>
        <v/>
      </c>
      <c r="CD35" s="17" t="str">
        <f t="shared" si="34"/>
        <v/>
      </c>
      <c r="CE35" s="46" t="str">
        <f t="shared" si="34"/>
        <v/>
      </c>
      <c r="CF35" s="17" t="str">
        <f t="shared" si="34"/>
        <v/>
      </c>
      <c r="CG35" s="46" t="str">
        <f t="shared" si="34"/>
        <v/>
      </c>
      <c r="CH35" s="17" t="str">
        <f t="shared" si="34"/>
        <v/>
      </c>
      <c r="CI35" s="46" t="str">
        <f t="shared" si="34"/>
        <v/>
      </c>
      <c r="CJ35" s="17" t="str">
        <f t="shared" si="34"/>
        <v/>
      </c>
      <c r="CK35" s="46" t="str">
        <f t="shared" si="34"/>
        <v/>
      </c>
      <c r="CL35" s="17" t="str">
        <f t="shared" si="34"/>
        <v/>
      </c>
      <c r="CM35" s="46" t="str">
        <f t="shared" si="34"/>
        <v/>
      </c>
      <c r="CN35" s="17" t="str">
        <f t="shared" si="34"/>
        <v/>
      </c>
      <c r="CO35" s="46" t="str">
        <f t="shared" si="34"/>
        <v/>
      </c>
      <c r="CP35" s="17" t="str">
        <f t="shared" si="34"/>
        <v/>
      </c>
      <c r="CQ35" s="46" t="str">
        <f t="shared" si="34"/>
        <v/>
      </c>
      <c r="CR35" s="17" t="str">
        <f t="shared" si="34"/>
        <v/>
      </c>
      <c r="CS35" s="46" t="str">
        <f t="shared" si="34"/>
        <v/>
      </c>
      <c r="CT35" s="17" t="str">
        <f t="shared" si="34"/>
        <v/>
      </c>
      <c r="CU35" s="46" t="str">
        <f t="shared" si="34"/>
        <v/>
      </c>
      <c r="CV35" s="17" t="str">
        <f t="shared" si="34"/>
        <v/>
      </c>
      <c r="CW35" s="46" t="str">
        <f t="shared" si="34"/>
        <v/>
      </c>
      <c r="CX35" s="17" t="str">
        <f t="shared" si="34"/>
        <v/>
      </c>
      <c r="CY35" s="46" t="str">
        <f t="shared" si="34"/>
        <v/>
      </c>
      <c r="CZ35" s="17" t="str">
        <f t="shared" si="34"/>
        <v/>
      </c>
      <c r="DA35" s="46" t="str">
        <f t="shared" si="34"/>
        <v/>
      </c>
      <c r="DB35" s="17" t="str">
        <f t="shared" si="34"/>
        <v/>
      </c>
      <c r="DC35" s="46" t="str">
        <f t="shared" si="34"/>
        <v/>
      </c>
      <c r="DD35" s="17" t="str">
        <f t="shared" si="34"/>
        <v/>
      </c>
      <c r="DE35" s="46" t="str">
        <f t="shared" si="34"/>
        <v/>
      </c>
      <c r="DF35" s="17" t="str">
        <f t="shared" si="34"/>
        <v/>
      </c>
      <c r="DG35" s="46" t="str">
        <f t="shared" si="34"/>
        <v/>
      </c>
      <c r="DH35" s="17" t="str">
        <f t="shared" si="34"/>
        <v/>
      </c>
      <c r="DI35" s="46" t="str">
        <f t="shared" si="34"/>
        <v/>
      </c>
      <c r="DJ35" s="17" t="str">
        <f t="shared" si="34"/>
        <v/>
      </c>
      <c r="DK35" s="46" t="str">
        <f t="shared" si="34"/>
        <v/>
      </c>
      <c r="DL35" s="17" t="str">
        <f t="shared" si="34"/>
        <v/>
      </c>
      <c r="DM35" s="46" t="str">
        <f t="shared" si="34"/>
        <v/>
      </c>
      <c r="DN35" s="17" t="str">
        <f t="shared" si="34"/>
        <v/>
      </c>
      <c r="DO35" s="46" t="str">
        <f t="shared" si="34"/>
        <v/>
      </c>
      <c r="DP35" s="17" t="str">
        <f t="shared" si="34"/>
        <v/>
      </c>
      <c r="DQ35" s="46" t="str">
        <f t="shared" si="34"/>
        <v/>
      </c>
      <c r="DR35" s="17" t="str">
        <f t="shared" si="34"/>
        <v/>
      </c>
      <c r="DS35" s="46" t="str">
        <f t="shared" si="34"/>
        <v/>
      </c>
      <c r="DT35" s="17" t="str">
        <f t="shared" si="34"/>
        <v/>
      </c>
      <c r="DU35" s="46" t="str">
        <f t="shared" si="34"/>
        <v/>
      </c>
      <c r="DV35" s="17" t="str">
        <f t="shared" si="34"/>
        <v/>
      </c>
      <c r="DW35" s="46" t="str">
        <f t="shared" si="34"/>
        <v/>
      </c>
      <c r="DX35" s="17" t="str">
        <f t="shared" si="34"/>
        <v/>
      </c>
      <c r="DY35" s="46" t="str">
        <f t="shared" si="34"/>
        <v/>
      </c>
      <c r="DZ35" s="17" t="str">
        <f t="shared" si="34"/>
        <v/>
      </c>
      <c r="EA35" s="46" t="str">
        <f t="shared" si="34"/>
        <v/>
      </c>
      <c r="EB35" s="17" t="str">
        <f t="shared" si="34"/>
        <v/>
      </c>
      <c r="EC35" s="46" t="str">
        <f t="shared" si="34"/>
        <v/>
      </c>
      <c r="ED35" s="17" t="str">
        <f t="shared" si="34"/>
        <v/>
      </c>
      <c r="EE35" s="46" t="str">
        <f t="shared" si="34"/>
        <v/>
      </c>
      <c r="EF35" s="17" t="str">
        <f t="shared" si="34"/>
        <v/>
      </c>
      <c r="EG35" s="46" t="str">
        <f t="shared" si="34"/>
        <v/>
      </c>
      <c r="EH35" s="17" t="str">
        <f t="shared" si="34"/>
        <v/>
      </c>
      <c r="EI35" s="46" t="str">
        <f t="shared" si="34"/>
        <v/>
      </c>
      <c r="EJ35" s="17" t="str">
        <f t="shared" si="34"/>
        <v/>
      </c>
      <c r="EK35" s="46" t="str">
        <f t="shared" si="34"/>
        <v/>
      </c>
      <c r="EL35" s="17" t="str">
        <f t="shared" si="34"/>
        <v/>
      </c>
      <c r="EM35" s="46" t="str">
        <f t="shared" si="34"/>
        <v/>
      </c>
      <c r="EN35" s="17" t="str">
        <f t="shared" si="34"/>
        <v/>
      </c>
      <c r="EO35" s="46" t="str">
        <f t="shared" si="34"/>
        <v/>
      </c>
      <c r="EP35" s="17" t="str">
        <f t="shared" si="34"/>
        <v/>
      </c>
    </row>
    <row r="36" ht="15.75" customHeight="1">
      <c r="A36" s="6" t="str">
        <f>Menus!B28</f>
        <v/>
      </c>
      <c r="B36" s="43">
        <f t="shared" si="11"/>
        <v>0</v>
      </c>
      <c r="C36" s="54" t="str">
        <f t="shared" ref="C36:EP36" si="35">IFERROR(
  LET(
    resultado,
      INDEX(
        INDIRECT($B$1),
        MATCH(RIGHT($A36, LEN($A36)-4), INDIRECT($B$3), 0),
        MATCH(C$1, INDIRECT($B$5), 0)
      ),
    IF(resultado="-", "", resultado) 
  ),
"")
</f>
        <v/>
      </c>
      <c r="D36" s="55" t="str">
        <f t="shared" si="35"/>
        <v/>
      </c>
      <c r="E36" s="46" t="str">
        <f t="shared" si="35"/>
        <v/>
      </c>
      <c r="F36" s="17" t="str">
        <f t="shared" si="35"/>
        <v/>
      </c>
      <c r="G36" s="46" t="str">
        <f t="shared" si="35"/>
        <v/>
      </c>
      <c r="H36" s="17" t="str">
        <f t="shared" si="35"/>
        <v/>
      </c>
      <c r="I36" s="46" t="str">
        <f t="shared" si="35"/>
        <v/>
      </c>
      <c r="J36" s="17" t="str">
        <f t="shared" si="35"/>
        <v/>
      </c>
      <c r="K36" s="46" t="str">
        <f t="shared" si="35"/>
        <v/>
      </c>
      <c r="L36" s="17" t="str">
        <f t="shared" si="35"/>
        <v/>
      </c>
      <c r="M36" s="46" t="str">
        <f t="shared" si="35"/>
        <v/>
      </c>
      <c r="N36" s="17" t="str">
        <f t="shared" si="35"/>
        <v/>
      </c>
      <c r="O36" s="46" t="str">
        <f t="shared" si="35"/>
        <v/>
      </c>
      <c r="P36" s="17" t="str">
        <f t="shared" si="35"/>
        <v/>
      </c>
      <c r="Q36" s="46" t="str">
        <f t="shared" si="35"/>
        <v/>
      </c>
      <c r="R36" s="17" t="str">
        <f t="shared" si="35"/>
        <v/>
      </c>
      <c r="S36" s="46" t="str">
        <f t="shared" si="35"/>
        <v/>
      </c>
      <c r="T36" s="17" t="str">
        <f t="shared" si="35"/>
        <v/>
      </c>
      <c r="U36" s="46" t="str">
        <f t="shared" si="35"/>
        <v/>
      </c>
      <c r="V36" s="17" t="str">
        <f t="shared" si="35"/>
        <v/>
      </c>
      <c r="W36" s="46" t="str">
        <f t="shared" si="35"/>
        <v/>
      </c>
      <c r="X36" s="17" t="str">
        <f t="shared" si="35"/>
        <v/>
      </c>
      <c r="Y36" s="46" t="str">
        <f t="shared" si="35"/>
        <v/>
      </c>
      <c r="Z36" s="17" t="str">
        <f t="shared" si="35"/>
        <v/>
      </c>
      <c r="AA36" s="46" t="str">
        <f t="shared" si="35"/>
        <v/>
      </c>
      <c r="AB36" s="17" t="str">
        <f t="shared" si="35"/>
        <v/>
      </c>
      <c r="AC36" s="46" t="str">
        <f t="shared" si="35"/>
        <v/>
      </c>
      <c r="AD36" s="17" t="str">
        <f t="shared" si="35"/>
        <v/>
      </c>
      <c r="AE36" s="46" t="str">
        <f t="shared" si="35"/>
        <v/>
      </c>
      <c r="AF36" s="17" t="str">
        <f t="shared" si="35"/>
        <v/>
      </c>
      <c r="AG36" s="46" t="str">
        <f t="shared" si="35"/>
        <v/>
      </c>
      <c r="AH36" s="17" t="str">
        <f t="shared" si="35"/>
        <v/>
      </c>
      <c r="AI36" s="46" t="str">
        <f t="shared" si="35"/>
        <v/>
      </c>
      <c r="AJ36" s="17" t="str">
        <f t="shared" si="35"/>
        <v/>
      </c>
      <c r="AK36" s="46" t="str">
        <f t="shared" si="35"/>
        <v/>
      </c>
      <c r="AL36" s="17" t="str">
        <f t="shared" si="35"/>
        <v/>
      </c>
      <c r="AM36" s="46" t="str">
        <f t="shared" si="35"/>
        <v/>
      </c>
      <c r="AN36" s="17" t="str">
        <f t="shared" si="35"/>
        <v/>
      </c>
      <c r="AO36" s="46" t="str">
        <f t="shared" si="35"/>
        <v/>
      </c>
      <c r="AP36" s="17" t="str">
        <f t="shared" si="35"/>
        <v/>
      </c>
      <c r="AQ36" s="46" t="str">
        <f t="shared" si="35"/>
        <v/>
      </c>
      <c r="AR36" s="17" t="str">
        <f t="shared" si="35"/>
        <v/>
      </c>
      <c r="AS36" s="46" t="str">
        <f t="shared" si="35"/>
        <v/>
      </c>
      <c r="AT36" s="17" t="str">
        <f t="shared" si="35"/>
        <v/>
      </c>
      <c r="AU36" s="46" t="str">
        <f t="shared" si="35"/>
        <v/>
      </c>
      <c r="AV36" s="17" t="str">
        <f t="shared" si="35"/>
        <v/>
      </c>
      <c r="AW36" s="46" t="str">
        <f t="shared" si="35"/>
        <v/>
      </c>
      <c r="AX36" s="17" t="str">
        <f t="shared" si="35"/>
        <v/>
      </c>
      <c r="AY36" s="46" t="str">
        <f t="shared" si="35"/>
        <v/>
      </c>
      <c r="AZ36" s="17" t="str">
        <f t="shared" si="35"/>
        <v/>
      </c>
      <c r="BA36" s="46" t="str">
        <f t="shared" si="35"/>
        <v/>
      </c>
      <c r="BB36" s="17" t="str">
        <f t="shared" si="35"/>
        <v/>
      </c>
      <c r="BC36" s="46" t="str">
        <f t="shared" si="35"/>
        <v/>
      </c>
      <c r="BD36" s="17" t="str">
        <f t="shared" si="35"/>
        <v/>
      </c>
      <c r="BE36" s="46" t="str">
        <f t="shared" si="35"/>
        <v/>
      </c>
      <c r="BF36" s="17" t="str">
        <f t="shared" si="35"/>
        <v/>
      </c>
      <c r="BG36" s="46" t="str">
        <f t="shared" si="35"/>
        <v/>
      </c>
      <c r="BH36" s="17" t="str">
        <f t="shared" si="35"/>
        <v/>
      </c>
      <c r="BI36" s="46" t="str">
        <f t="shared" si="35"/>
        <v/>
      </c>
      <c r="BJ36" s="17" t="str">
        <f t="shared" si="35"/>
        <v/>
      </c>
      <c r="BK36" s="46" t="str">
        <f t="shared" si="35"/>
        <v/>
      </c>
      <c r="BL36" s="17" t="str">
        <f t="shared" si="35"/>
        <v/>
      </c>
      <c r="BM36" s="46" t="str">
        <f t="shared" si="35"/>
        <v/>
      </c>
      <c r="BN36" s="17" t="str">
        <f t="shared" si="35"/>
        <v/>
      </c>
      <c r="BO36" s="46" t="str">
        <f t="shared" si="35"/>
        <v/>
      </c>
      <c r="BP36" s="17" t="str">
        <f t="shared" si="35"/>
        <v/>
      </c>
      <c r="BQ36" s="46" t="str">
        <f t="shared" si="35"/>
        <v/>
      </c>
      <c r="BR36" s="17" t="str">
        <f t="shared" si="35"/>
        <v/>
      </c>
      <c r="BS36" s="46" t="str">
        <f t="shared" si="35"/>
        <v/>
      </c>
      <c r="BT36" s="17" t="str">
        <f t="shared" si="35"/>
        <v/>
      </c>
      <c r="BU36" s="46" t="str">
        <f t="shared" si="35"/>
        <v/>
      </c>
      <c r="BV36" s="17" t="str">
        <f t="shared" si="35"/>
        <v/>
      </c>
      <c r="BW36" s="46" t="str">
        <f t="shared" si="35"/>
        <v/>
      </c>
      <c r="BX36" s="17" t="str">
        <f t="shared" si="35"/>
        <v/>
      </c>
      <c r="BY36" s="46" t="str">
        <f t="shared" si="35"/>
        <v/>
      </c>
      <c r="BZ36" s="17" t="str">
        <f t="shared" si="35"/>
        <v/>
      </c>
      <c r="CA36" s="46" t="str">
        <f t="shared" si="35"/>
        <v/>
      </c>
      <c r="CB36" s="17" t="str">
        <f t="shared" si="35"/>
        <v/>
      </c>
      <c r="CC36" s="46" t="str">
        <f t="shared" si="35"/>
        <v/>
      </c>
      <c r="CD36" s="17" t="str">
        <f t="shared" si="35"/>
        <v/>
      </c>
      <c r="CE36" s="46" t="str">
        <f t="shared" si="35"/>
        <v/>
      </c>
      <c r="CF36" s="17" t="str">
        <f t="shared" si="35"/>
        <v/>
      </c>
      <c r="CG36" s="46" t="str">
        <f t="shared" si="35"/>
        <v/>
      </c>
      <c r="CH36" s="17" t="str">
        <f t="shared" si="35"/>
        <v/>
      </c>
      <c r="CI36" s="46" t="str">
        <f t="shared" si="35"/>
        <v/>
      </c>
      <c r="CJ36" s="17" t="str">
        <f t="shared" si="35"/>
        <v/>
      </c>
      <c r="CK36" s="46" t="str">
        <f t="shared" si="35"/>
        <v/>
      </c>
      <c r="CL36" s="17" t="str">
        <f t="shared" si="35"/>
        <v/>
      </c>
      <c r="CM36" s="46" t="str">
        <f t="shared" si="35"/>
        <v/>
      </c>
      <c r="CN36" s="17" t="str">
        <f t="shared" si="35"/>
        <v/>
      </c>
      <c r="CO36" s="46" t="str">
        <f t="shared" si="35"/>
        <v/>
      </c>
      <c r="CP36" s="17" t="str">
        <f t="shared" si="35"/>
        <v/>
      </c>
      <c r="CQ36" s="46" t="str">
        <f t="shared" si="35"/>
        <v/>
      </c>
      <c r="CR36" s="17" t="str">
        <f t="shared" si="35"/>
        <v/>
      </c>
      <c r="CS36" s="46" t="str">
        <f t="shared" si="35"/>
        <v/>
      </c>
      <c r="CT36" s="17" t="str">
        <f t="shared" si="35"/>
        <v/>
      </c>
      <c r="CU36" s="46" t="str">
        <f t="shared" si="35"/>
        <v/>
      </c>
      <c r="CV36" s="17" t="str">
        <f t="shared" si="35"/>
        <v/>
      </c>
      <c r="CW36" s="46" t="str">
        <f t="shared" si="35"/>
        <v/>
      </c>
      <c r="CX36" s="17" t="str">
        <f t="shared" si="35"/>
        <v/>
      </c>
      <c r="CY36" s="46" t="str">
        <f t="shared" si="35"/>
        <v/>
      </c>
      <c r="CZ36" s="17" t="str">
        <f t="shared" si="35"/>
        <v/>
      </c>
      <c r="DA36" s="46" t="str">
        <f t="shared" si="35"/>
        <v/>
      </c>
      <c r="DB36" s="17" t="str">
        <f t="shared" si="35"/>
        <v/>
      </c>
      <c r="DC36" s="46" t="str">
        <f t="shared" si="35"/>
        <v/>
      </c>
      <c r="DD36" s="17" t="str">
        <f t="shared" si="35"/>
        <v/>
      </c>
      <c r="DE36" s="46" t="str">
        <f t="shared" si="35"/>
        <v/>
      </c>
      <c r="DF36" s="17" t="str">
        <f t="shared" si="35"/>
        <v/>
      </c>
      <c r="DG36" s="46" t="str">
        <f t="shared" si="35"/>
        <v/>
      </c>
      <c r="DH36" s="17" t="str">
        <f t="shared" si="35"/>
        <v/>
      </c>
      <c r="DI36" s="46" t="str">
        <f t="shared" si="35"/>
        <v/>
      </c>
      <c r="DJ36" s="17" t="str">
        <f t="shared" si="35"/>
        <v/>
      </c>
      <c r="DK36" s="46" t="str">
        <f t="shared" si="35"/>
        <v/>
      </c>
      <c r="DL36" s="17" t="str">
        <f t="shared" si="35"/>
        <v/>
      </c>
      <c r="DM36" s="46" t="str">
        <f t="shared" si="35"/>
        <v/>
      </c>
      <c r="DN36" s="17" t="str">
        <f t="shared" si="35"/>
        <v/>
      </c>
      <c r="DO36" s="46" t="str">
        <f t="shared" si="35"/>
        <v/>
      </c>
      <c r="DP36" s="17" t="str">
        <f t="shared" si="35"/>
        <v/>
      </c>
      <c r="DQ36" s="46" t="str">
        <f t="shared" si="35"/>
        <v/>
      </c>
      <c r="DR36" s="17" t="str">
        <f t="shared" si="35"/>
        <v/>
      </c>
      <c r="DS36" s="46" t="str">
        <f t="shared" si="35"/>
        <v/>
      </c>
      <c r="DT36" s="17" t="str">
        <f t="shared" si="35"/>
        <v/>
      </c>
      <c r="DU36" s="46" t="str">
        <f t="shared" si="35"/>
        <v/>
      </c>
      <c r="DV36" s="17" t="str">
        <f t="shared" si="35"/>
        <v/>
      </c>
      <c r="DW36" s="46" t="str">
        <f t="shared" si="35"/>
        <v/>
      </c>
      <c r="DX36" s="17" t="str">
        <f t="shared" si="35"/>
        <v/>
      </c>
      <c r="DY36" s="46" t="str">
        <f t="shared" si="35"/>
        <v/>
      </c>
      <c r="DZ36" s="17" t="str">
        <f t="shared" si="35"/>
        <v/>
      </c>
      <c r="EA36" s="46" t="str">
        <f t="shared" si="35"/>
        <v/>
      </c>
      <c r="EB36" s="17" t="str">
        <f t="shared" si="35"/>
        <v/>
      </c>
      <c r="EC36" s="46" t="str">
        <f t="shared" si="35"/>
        <v/>
      </c>
      <c r="ED36" s="17" t="str">
        <f t="shared" si="35"/>
        <v/>
      </c>
      <c r="EE36" s="46" t="str">
        <f t="shared" si="35"/>
        <v/>
      </c>
      <c r="EF36" s="17" t="str">
        <f t="shared" si="35"/>
        <v/>
      </c>
      <c r="EG36" s="46" t="str">
        <f t="shared" si="35"/>
        <v/>
      </c>
      <c r="EH36" s="17" t="str">
        <f t="shared" si="35"/>
        <v/>
      </c>
      <c r="EI36" s="46" t="str">
        <f t="shared" si="35"/>
        <v/>
      </c>
      <c r="EJ36" s="17" t="str">
        <f t="shared" si="35"/>
        <v/>
      </c>
      <c r="EK36" s="46" t="str">
        <f t="shared" si="35"/>
        <v/>
      </c>
      <c r="EL36" s="17" t="str">
        <f t="shared" si="35"/>
        <v/>
      </c>
      <c r="EM36" s="46" t="str">
        <f t="shared" si="35"/>
        <v/>
      </c>
      <c r="EN36" s="17" t="str">
        <f t="shared" si="35"/>
        <v/>
      </c>
      <c r="EO36" s="46" t="str">
        <f t="shared" si="35"/>
        <v/>
      </c>
      <c r="EP36" s="17" t="str">
        <f t="shared" si="35"/>
        <v/>
      </c>
    </row>
    <row r="37" ht="15.75" customHeight="1">
      <c r="A37" s="6" t="str">
        <f>Menus!B29</f>
        <v/>
      </c>
      <c r="B37" s="43">
        <f t="shared" si="11"/>
        <v>0</v>
      </c>
      <c r="C37" s="54" t="str">
        <f t="shared" ref="C37:EP37" si="36">IFERROR(
  LET(
    resultado,
      INDEX(
        INDIRECT($B$1),
        MATCH(RIGHT($A37, LEN($A37)-4), INDIRECT($B$3), 0),
        MATCH(C$1, INDIRECT($B$5), 0)
      ),
    IF(resultado="-", "", resultado) 
  ),
"")
</f>
        <v/>
      </c>
      <c r="D37" s="55" t="str">
        <f t="shared" si="36"/>
        <v/>
      </c>
      <c r="E37" s="46" t="str">
        <f t="shared" si="36"/>
        <v/>
      </c>
      <c r="F37" s="17" t="str">
        <f t="shared" si="36"/>
        <v/>
      </c>
      <c r="G37" s="46" t="str">
        <f t="shared" si="36"/>
        <v/>
      </c>
      <c r="H37" s="17" t="str">
        <f t="shared" si="36"/>
        <v/>
      </c>
      <c r="I37" s="46" t="str">
        <f t="shared" si="36"/>
        <v/>
      </c>
      <c r="J37" s="17" t="str">
        <f t="shared" si="36"/>
        <v/>
      </c>
      <c r="K37" s="46" t="str">
        <f t="shared" si="36"/>
        <v/>
      </c>
      <c r="L37" s="17" t="str">
        <f t="shared" si="36"/>
        <v/>
      </c>
      <c r="M37" s="46" t="str">
        <f t="shared" si="36"/>
        <v/>
      </c>
      <c r="N37" s="17" t="str">
        <f t="shared" si="36"/>
        <v/>
      </c>
      <c r="O37" s="46" t="str">
        <f t="shared" si="36"/>
        <v/>
      </c>
      <c r="P37" s="17" t="str">
        <f t="shared" si="36"/>
        <v/>
      </c>
      <c r="Q37" s="46" t="str">
        <f t="shared" si="36"/>
        <v/>
      </c>
      <c r="R37" s="17" t="str">
        <f t="shared" si="36"/>
        <v/>
      </c>
      <c r="S37" s="46" t="str">
        <f t="shared" si="36"/>
        <v/>
      </c>
      <c r="T37" s="17" t="str">
        <f t="shared" si="36"/>
        <v/>
      </c>
      <c r="U37" s="46" t="str">
        <f t="shared" si="36"/>
        <v/>
      </c>
      <c r="V37" s="17" t="str">
        <f t="shared" si="36"/>
        <v/>
      </c>
      <c r="W37" s="46" t="str">
        <f t="shared" si="36"/>
        <v/>
      </c>
      <c r="X37" s="17" t="str">
        <f t="shared" si="36"/>
        <v/>
      </c>
      <c r="Y37" s="46" t="str">
        <f t="shared" si="36"/>
        <v/>
      </c>
      <c r="Z37" s="17" t="str">
        <f t="shared" si="36"/>
        <v/>
      </c>
      <c r="AA37" s="46" t="str">
        <f t="shared" si="36"/>
        <v/>
      </c>
      <c r="AB37" s="17" t="str">
        <f t="shared" si="36"/>
        <v/>
      </c>
      <c r="AC37" s="46" t="str">
        <f t="shared" si="36"/>
        <v/>
      </c>
      <c r="AD37" s="17" t="str">
        <f t="shared" si="36"/>
        <v/>
      </c>
      <c r="AE37" s="46" t="str">
        <f t="shared" si="36"/>
        <v/>
      </c>
      <c r="AF37" s="17" t="str">
        <f t="shared" si="36"/>
        <v/>
      </c>
      <c r="AG37" s="46" t="str">
        <f t="shared" si="36"/>
        <v/>
      </c>
      <c r="AH37" s="17" t="str">
        <f t="shared" si="36"/>
        <v/>
      </c>
      <c r="AI37" s="46" t="str">
        <f t="shared" si="36"/>
        <v/>
      </c>
      <c r="AJ37" s="17" t="str">
        <f t="shared" si="36"/>
        <v/>
      </c>
      <c r="AK37" s="46" t="str">
        <f t="shared" si="36"/>
        <v/>
      </c>
      <c r="AL37" s="17" t="str">
        <f t="shared" si="36"/>
        <v/>
      </c>
      <c r="AM37" s="46" t="str">
        <f t="shared" si="36"/>
        <v/>
      </c>
      <c r="AN37" s="17" t="str">
        <f t="shared" si="36"/>
        <v/>
      </c>
      <c r="AO37" s="46" t="str">
        <f t="shared" si="36"/>
        <v/>
      </c>
      <c r="AP37" s="17" t="str">
        <f t="shared" si="36"/>
        <v/>
      </c>
      <c r="AQ37" s="46" t="str">
        <f t="shared" si="36"/>
        <v/>
      </c>
      <c r="AR37" s="17" t="str">
        <f t="shared" si="36"/>
        <v/>
      </c>
      <c r="AS37" s="46" t="str">
        <f t="shared" si="36"/>
        <v/>
      </c>
      <c r="AT37" s="17" t="str">
        <f t="shared" si="36"/>
        <v/>
      </c>
      <c r="AU37" s="46" t="str">
        <f t="shared" si="36"/>
        <v/>
      </c>
      <c r="AV37" s="17" t="str">
        <f t="shared" si="36"/>
        <v/>
      </c>
      <c r="AW37" s="46" t="str">
        <f t="shared" si="36"/>
        <v/>
      </c>
      <c r="AX37" s="17" t="str">
        <f t="shared" si="36"/>
        <v/>
      </c>
      <c r="AY37" s="46" t="str">
        <f t="shared" si="36"/>
        <v/>
      </c>
      <c r="AZ37" s="17" t="str">
        <f t="shared" si="36"/>
        <v/>
      </c>
      <c r="BA37" s="46" t="str">
        <f t="shared" si="36"/>
        <v/>
      </c>
      <c r="BB37" s="17" t="str">
        <f t="shared" si="36"/>
        <v/>
      </c>
      <c r="BC37" s="46" t="str">
        <f t="shared" si="36"/>
        <v/>
      </c>
      <c r="BD37" s="17" t="str">
        <f t="shared" si="36"/>
        <v/>
      </c>
      <c r="BE37" s="46" t="str">
        <f t="shared" si="36"/>
        <v/>
      </c>
      <c r="BF37" s="17" t="str">
        <f t="shared" si="36"/>
        <v/>
      </c>
      <c r="BG37" s="46" t="str">
        <f t="shared" si="36"/>
        <v/>
      </c>
      <c r="BH37" s="17" t="str">
        <f t="shared" si="36"/>
        <v/>
      </c>
      <c r="BI37" s="46" t="str">
        <f t="shared" si="36"/>
        <v/>
      </c>
      <c r="BJ37" s="17" t="str">
        <f t="shared" si="36"/>
        <v/>
      </c>
      <c r="BK37" s="46" t="str">
        <f t="shared" si="36"/>
        <v/>
      </c>
      <c r="BL37" s="17" t="str">
        <f t="shared" si="36"/>
        <v/>
      </c>
      <c r="BM37" s="46" t="str">
        <f t="shared" si="36"/>
        <v/>
      </c>
      <c r="BN37" s="17" t="str">
        <f t="shared" si="36"/>
        <v/>
      </c>
      <c r="BO37" s="46" t="str">
        <f t="shared" si="36"/>
        <v/>
      </c>
      <c r="BP37" s="17" t="str">
        <f t="shared" si="36"/>
        <v/>
      </c>
      <c r="BQ37" s="46" t="str">
        <f t="shared" si="36"/>
        <v/>
      </c>
      <c r="BR37" s="17" t="str">
        <f t="shared" si="36"/>
        <v/>
      </c>
      <c r="BS37" s="46" t="str">
        <f t="shared" si="36"/>
        <v/>
      </c>
      <c r="BT37" s="17" t="str">
        <f t="shared" si="36"/>
        <v/>
      </c>
      <c r="BU37" s="46" t="str">
        <f t="shared" si="36"/>
        <v/>
      </c>
      <c r="BV37" s="17" t="str">
        <f t="shared" si="36"/>
        <v/>
      </c>
      <c r="BW37" s="46" t="str">
        <f t="shared" si="36"/>
        <v/>
      </c>
      <c r="BX37" s="17" t="str">
        <f t="shared" si="36"/>
        <v/>
      </c>
      <c r="BY37" s="46" t="str">
        <f t="shared" si="36"/>
        <v/>
      </c>
      <c r="BZ37" s="17" t="str">
        <f t="shared" si="36"/>
        <v/>
      </c>
      <c r="CA37" s="46" t="str">
        <f t="shared" si="36"/>
        <v/>
      </c>
      <c r="CB37" s="17" t="str">
        <f t="shared" si="36"/>
        <v/>
      </c>
      <c r="CC37" s="46" t="str">
        <f t="shared" si="36"/>
        <v/>
      </c>
      <c r="CD37" s="17" t="str">
        <f t="shared" si="36"/>
        <v/>
      </c>
      <c r="CE37" s="46" t="str">
        <f t="shared" si="36"/>
        <v/>
      </c>
      <c r="CF37" s="17" t="str">
        <f t="shared" si="36"/>
        <v/>
      </c>
      <c r="CG37" s="46" t="str">
        <f t="shared" si="36"/>
        <v/>
      </c>
      <c r="CH37" s="17" t="str">
        <f t="shared" si="36"/>
        <v/>
      </c>
      <c r="CI37" s="46" t="str">
        <f t="shared" si="36"/>
        <v/>
      </c>
      <c r="CJ37" s="17" t="str">
        <f t="shared" si="36"/>
        <v/>
      </c>
      <c r="CK37" s="46" t="str">
        <f t="shared" si="36"/>
        <v/>
      </c>
      <c r="CL37" s="17" t="str">
        <f t="shared" si="36"/>
        <v/>
      </c>
      <c r="CM37" s="46" t="str">
        <f t="shared" si="36"/>
        <v/>
      </c>
      <c r="CN37" s="17" t="str">
        <f t="shared" si="36"/>
        <v/>
      </c>
      <c r="CO37" s="46" t="str">
        <f t="shared" si="36"/>
        <v/>
      </c>
      <c r="CP37" s="17" t="str">
        <f t="shared" si="36"/>
        <v/>
      </c>
      <c r="CQ37" s="46" t="str">
        <f t="shared" si="36"/>
        <v/>
      </c>
      <c r="CR37" s="17" t="str">
        <f t="shared" si="36"/>
        <v/>
      </c>
      <c r="CS37" s="46" t="str">
        <f t="shared" si="36"/>
        <v/>
      </c>
      <c r="CT37" s="17" t="str">
        <f t="shared" si="36"/>
        <v/>
      </c>
      <c r="CU37" s="46" t="str">
        <f t="shared" si="36"/>
        <v/>
      </c>
      <c r="CV37" s="17" t="str">
        <f t="shared" si="36"/>
        <v/>
      </c>
      <c r="CW37" s="46" t="str">
        <f t="shared" si="36"/>
        <v/>
      </c>
      <c r="CX37" s="17" t="str">
        <f t="shared" si="36"/>
        <v/>
      </c>
      <c r="CY37" s="46" t="str">
        <f t="shared" si="36"/>
        <v/>
      </c>
      <c r="CZ37" s="17" t="str">
        <f t="shared" si="36"/>
        <v/>
      </c>
      <c r="DA37" s="46" t="str">
        <f t="shared" si="36"/>
        <v/>
      </c>
      <c r="DB37" s="17" t="str">
        <f t="shared" si="36"/>
        <v/>
      </c>
      <c r="DC37" s="46" t="str">
        <f t="shared" si="36"/>
        <v/>
      </c>
      <c r="DD37" s="17" t="str">
        <f t="shared" si="36"/>
        <v/>
      </c>
      <c r="DE37" s="46" t="str">
        <f t="shared" si="36"/>
        <v/>
      </c>
      <c r="DF37" s="17" t="str">
        <f t="shared" si="36"/>
        <v/>
      </c>
      <c r="DG37" s="46" t="str">
        <f t="shared" si="36"/>
        <v/>
      </c>
      <c r="DH37" s="17" t="str">
        <f t="shared" si="36"/>
        <v/>
      </c>
      <c r="DI37" s="46" t="str">
        <f t="shared" si="36"/>
        <v/>
      </c>
      <c r="DJ37" s="17" t="str">
        <f t="shared" si="36"/>
        <v/>
      </c>
      <c r="DK37" s="46" t="str">
        <f t="shared" si="36"/>
        <v/>
      </c>
      <c r="DL37" s="17" t="str">
        <f t="shared" si="36"/>
        <v/>
      </c>
      <c r="DM37" s="46" t="str">
        <f t="shared" si="36"/>
        <v/>
      </c>
      <c r="DN37" s="17" t="str">
        <f t="shared" si="36"/>
        <v/>
      </c>
      <c r="DO37" s="46" t="str">
        <f t="shared" si="36"/>
        <v/>
      </c>
      <c r="DP37" s="17" t="str">
        <f t="shared" si="36"/>
        <v/>
      </c>
      <c r="DQ37" s="46" t="str">
        <f t="shared" si="36"/>
        <v/>
      </c>
      <c r="DR37" s="17" t="str">
        <f t="shared" si="36"/>
        <v/>
      </c>
      <c r="DS37" s="46" t="str">
        <f t="shared" si="36"/>
        <v/>
      </c>
      <c r="DT37" s="17" t="str">
        <f t="shared" si="36"/>
        <v/>
      </c>
      <c r="DU37" s="46" t="str">
        <f t="shared" si="36"/>
        <v/>
      </c>
      <c r="DV37" s="17" t="str">
        <f t="shared" si="36"/>
        <v/>
      </c>
      <c r="DW37" s="46" t="str">
        <f t="shared" si="36"/>
        <v/>
      </c>
      <c r="DX37" s="17" t="str">
        <f t="shared" si="36"/>
        <v/>
      </c>
      <c r="DY37" s="46" t="str">
        <f t="shared" si="36"/>
        <v/>
      </c>
      <c r="DZ37" s="17" t="str">
        <f t="shared" si="36"/>
        <v/>
      </c>
      <c r="EA37" s="46" t="str">
        <f t="shared" si="36"/>
        <v/>
      </c>
      <c r="EB37" s="17" t="str">
        <f t="shared" si="36"/>
        <v/>
      </c>
      <c r="EC37" s="46" t="str">
        <f t="shared" si="36"/>
        <v/>
      </c>
      <c r="ED37" s="17" t="str">
        <f t="shared" si="36"/>
        <v/>
      </c>
      <c r="EE37" s="46" t="str">
        <f t="shared" si="36"/>
        <v/>
      </c>
      <c r="EF37" s="17" t="str">
        <f t="shared" si="36"/>
        <v/>
      </c>
      <c r="EG37" s="46" t="str">
        <f t="shared" si="36"/>
        <v/>
      </c>
      <c r="EH37" s="17" t="str">
        <f t="shared" si="36"/>
        <v/>
      </c>
      <c r="EI37" s="46" t="str">
        <f t="shared" si="36"/>
        <v/>
      </c>
      <c r="EJ37" s="17" t="str">
        <f t="shared" si="36"/>
        <v/>
      </c>
      <c r="EK37" s="46" t="str">
        <f t="shared" si="36"/>
        <v/>
      </c>
      <c r="EL37" s="17" t="str">
        <f t="shared" si="36"/>
        <v/>
      </c>
      <c r="EM37" s="46" t="str">
        <f t="shared" si="36"/>
        <v/>
      </c>
      <c r="EN37" s="17" t="str">
        <f t="shared" si="36"/>
        <v/>
      </c>
      <c r="EO37" s="46" t="str">
        <f t="shared" si="36"/>
        <v/>
      </c>
      <c r="EP37" s="17" t="str">
        <f t="shared" si="36"/>
        <v/>
      </c>
    </row>
    <row r="38" ht="15.75" customHeight="1">
      <c r="A38" s="6" t="str">
        <f>Menus!B30</f>
        <v/>
      </c>
      <c r="B38" s="43">
        <f t="shared" si="11"/>
        <v>0</v>
      </c>
      <c r="C38" s="54" t="str">
        <f t="shared" ref="C38:EP38" si="37">IFERROR(
  LET(
    resultado,
      INDEX(
        INDIRECT($B$1),
        MATCH(RIGHT($A38, LEN($A38)-4), INDIRECT($B$3), 0),
        MATCH(C$1, INDIRECT($B$5), 0)
      ),
    IF(resultado="-", "", resultado) 
  ),
"")
</f>
        <v/>
      </c>
      <c r="D38" s="55" t="str">
        <f t="shared" si="37"/>
        <v/>
      </c>
      <c r="E38" s="46" t="str">
        <f t="shared" si="37"/>
        <v/>
      </c>
      <c r="F38" s="17" t="str">
        <f t="shared" si="37"/>
        <v/>
      </c>
      <c r="G38" s="46" t="str">
        <f t="shared" si="37"/>
        <v/>
      </c>
      <c r="H38" s="17" t="str">
        <f t="shared" si="37"/>
        <v/>
      </c>
      <c r="I38" s="46" t="str">
        <f t="shared" si="37"/>
        <v/>
      </c>
      <c r="J38" s="17" t="str">
        <f t="shared" si="37"/>
        <v/>
      </c>
      <c r="K38" s="46" t="str">
        <f t="shared" si="37"/>
        <v/>
      </c>
      <c r="L38" s="17" t="str">
        <f t="shared" si="37"/>
        <v/>
      </c>
      <c r="M38" s="46" t="str">
        <f t="shared" si="37"/>
        <v/>
      </c>
      <c r="N38" s="17" t="str">
        <f t="shared" si="37"/>
        <v/>
      </c>
      <c r="O38" s="46" t="str">
        <f t="shared" si="37"/>
        <v/>
      </c>
      <c r="P38" s="17" t="str">
        <f t="shared" si="37"/>
        <v/>
      </c>
      <c r="Q38" s="46" t="str">
        <f t="shared" si="37"/>
        <v/>
      </c>
      <c r="R38" s="17" t="str">
        <f t="shared" si="37"/>
        <v/>
      </c>
      <c r="S38" s="46" t="str">
        <f t="shared" si="37"/>
        <v/>
      </c>
      <c r="T38" s="17" t="str">
        <f t="shared" si="37"/>
        <v/>
      </c>
      <c r="U38" s="46" t="str">
        <f t="shared" si="37"/>
        <v/>
      </c>
      <c r="V38" s="17" t="str">
        <f t="shared" si="37"/>
        <v/>
      </c>
      <c r="W38" s="46" t="str">
        <f t="shared" si="37"/>
        <v/>
      </c>
      <c r="X38" s="17" t="str">
        <f t="shared" si="37"/>
        <v/>
      </c>
      <c r="Y38" s="46" t="str">
        <f t="shared" si="37"/>
        <v/>
      </c>
      <c r="Z38" s="17" t="str">
        <f t="shared" si="37"/>
        <v/>
      </c>
      <c r="AA38" s="46" t="str">
        <f t="shared" si="37"/>
        <v/>
      </c>
      <c r="AB38" s="17" t="str">
        <f t="shared" si="37"/>
        <v/>
      </c>
      <c r="AC38" s="46" t="str">
        <f t="shared" si="37"/>
        <v/>
      </c>
      <c r="AD38" s="17" t="str">
        <f t="shared" si="37"/>
        <v/>
      </c>
      <c r="AE38" s="46" t="str">
        <f t="shared" si="37"/>
        <v/>
      </c>
      <c r="AF38" s="17" t="str">
        <f t="shared" si="37"/>
        <v/>
      </c>
      <c r="AG38" s="46" t="str">
        <f t="shared" si="37"/>
        <v/>
      </c>
      <c r="AH38" s="17" t="str">
        <f t="shared" si="37"/>
        <v/>
      </c>
      <c r="AI38" s="46" t="str">
        <f t="shared" si="37"/>
        <v/>
      </c>
      <c r="AJ38" s="17" t="str">
        <f t="shared" si="37"/>
        <v/>
      </c>
      <c r="AK38" s="46" t="str">
        <f t="shared" si="37"/>
        <v/>
      </c>
      <c r="AL38" s="17" t="str">
        <f t="shared" si="37"/>
        <v/>
      </c>
      <c r="AM38" s="46" t="str">
        <f t="shared" si="37"/>
        <v/>
      </c>
      <c r="AN38" s="17" t="str">
        <f t="shared" si="37"/>
        <v/>
      </c>
      <c r="AO38" s="46" t="str">
        <f t="shared" si="37"/>
        <v/>
      </c>
      <c r="AP38" s="17" t="str">
        <f t="shared" si="37"/>
        <v/>
      </c>
      <c r="AQ38" s="46" t="str">
        <f t="shared" si="37"/>
        <v/>
      </c>
      <c r="AR38" s="17" t="str">
        <f t="shared" si="37"/>
        <v/>
      </c>
      <c r="AS38" s="46" t="str">
        <f t="shared" si="37"/>
        <v/>
      </c>
      <c r="AT38" s="17" t="str">
        <f t="shared" si="37"/>
        <v/>
      </c>
      <c r="AU38" s="46" t="str">
        <f t="shared" si="37"/>
        <v/>
      </c>
      <c r="AV38" s="17" t="str">
        <f t="shared" si="37"/>
        <v/>
      </c>
      <c r="AW38" s="46" t="str">
        <f t="shared" si="37"/>
        <v/>
      </c>
      <c r="AX38" s="17" t="str">
        <f t="shared" si="37"/>
        <v/>
      </c>
      <c r="AY38" s="46" t="str">
        <f t="shared" si="37"/>
        <v/>
      </c>
      <c r="AZ38" s="17" t="str">
        <f t="shared" si="37"/>
        <v/>
      </c>
      <c r="BA38" s="46" t="str">
        <f t="shared" si="37"/>
        <v/>
      </c>
      <c r="BB38" s="17" t="str">
        <f t="shared" si="37"/>
        <v/>
      </c>
      <c r="BC38" s="46" t="str">
        <f t="shared" si="37"/>
        <v/>
      </c>
      <c r="BD38" s="17" t="str">
        <f t="shared" si="37"/>
        <v/>
      </c>
      <c r="BE38" s="46" t="str">
        <f t="shared" si="37"/>
        <v/>
      </c>
      <c r="BF38" s="17" t="str">
        <f t="shared" si="37"/>
        <v/>
      </c>
      <c r="BG38" s="46" t="str">
        <f t="shared" si="37"/>
        <v/>
      </c>
      <c r="BH38" s="17" t="str">
        <f t="shared" si="37"/>
        <v/>
      </c>
      <c r="BI38" s="46" t="str">
        <f t="shared" si="37"/>
        <v/>
      </c>
      <c r="BJ38" s="17" t="str">
        <f t="shared" si="37"/>
        <v/>
      </c>
      <c r="BK38" s="46" t="str">
        <f t="shared" si="37"/>
        <v/>
      </c>
      <c r="BL38" s="17" t="str">
        <f t="shared" si="37"/>
        <v/>
      </c>
      <c r="BM38" s="46" t="str">
        <f t="shared" si="37"/>
        <v/>
      </c>
      <c r="BN38" s="17" t="str">
        <f t="shared" si="37"/>
        <v/>
      </c>
      <c r="BO38" s="46" t="str">
        <f t="shared" si="37"/>
        <v/>
      </c>
      <c r="BP38" s="17" t="str">
        <f t="shared" si="37"/>
        <v/>
      </c>
      <c r="BQ38" s="46" t="str">
        <f t="shared" si="37"/>
        <v/>
      </c>
      <c r="BR38" s="17" t="str">
        <f t="shared" si="37"/>
        <v/>
      </c>
      <c r="BS38" s="46" t="str">
        <f t="shared" si="37"/>
        <v/>
      </c>
      <c r="BT38" s="17" t="str">
        <f t="shared" si="37"/>
        <v/>
      </c>
      <c r="BU38" s="46" t="str">
        <f t="shared" si="37"/>
        <v/>
      </c>
      <c r="BV38" s="17" t="str">
        <f t="shared" si="37"/>
        <v/>
      </c>
      <c r="BW38" s="46" t="str">
        <f t="shared" si="37"/>
        <v/>
      </c>
      <c r="BX38" s="17" t="str">
        <f t="shared" si="37"/>
        <v/>
      </c>
      <c r="BY38" s="46" t="str">
        <f t="shared" si="37"/>
        <v/>
      </c>
      <c r="BZ38" s="17" t="str">
        <f t="shared" si="37"/>
        <v/>
      </c>
      <c r="CA38" s="46" t="str">
        <f t="shared" si="37"/>
        <v/>
      </c>
      <c r="CB38" s="17" t="str">
        <f t="shared" si="37"/>
        <v/>
      </c>
      <c r="CC38" s="46" t="str">
        <f t="shared" si="37"/>
        <v/>
      </c>
      <c r="CD38" s="17" t="str">
        <f t="shared" si="37"/>
        <v/>
      </c>
      <c r="CE38" s="46" t="str">
        <f t="shared" si="37"/>
        <v/>
      </c>
      <c r="CF38" s="17" t="str">
        <f t="shared" si="37"/>
        <v/>
      </c>
      <c r="CG38" s="46" t="str">
        <f t="shared" si="37"/>
        <v/>
      </c>
      <c r="CH38" s="17" t="str">
        <f t="shared" si="37"/>
        <v/>
      </c>
      <c r="CI38" s="46" t="str">
        <f t="shared" si="37"/>
        <v/>
      </c>
      <c r="CJ38" s="17" t="str">
        <f t="shared" si="37"/>
        <v/>
      </c>
      <c r="CK38" s="46" t="str">
        <f t="shared" si="37"/>
        <v/>
      </c>
      <c r="CL38" s="17" t="str">
        <f t="shared" si="37"/>
        <v/>
      </c>
      <c r="CM38" s="46" t="str">
        <f t="shared" si="37"/>
        <v/>
      </c>
      <c r="CN38" s="17" t="str">
        <f t="shared" si="37"/>
        <v/>
      </c>
      <c r="CO38" s="46" t="str">
        <f t="shared" si="37"/>
        <v/>
      </c>
      <c r="CP38" s="17" t="str">
        <f t="shared" si="37"/>
        <v/>
      </c>
      <c r="CQ38" s="46" t="str">
        <f t="shared" si="37"/>
        <v/>
      </c>
      <c r="CR38" s="17" t="str">
        <f t="shared" si="37"/>
        <v/>
      </c>
      <c r="CS38" s="46" t="str">
        <f t="shared" si="37"/>
        <v/>
      </c>
      <c r="CT38" s="17" t="str">
        <f t="shared" si="37"/>
        <v/>
      </c>
      <c r="CU38" s="46" t="str">
        <f t="shared" si="37"/>
        <v/>
      </c>
      <c r="CV38" s="17" t="str">
        <f t="shared" si="37"/>
        <v/>
      </c>
      <c r="CW38" s="46" t="str">
        <f t="shared" si="37"/>
        <v/>
      </c>
      <c r="CX38" s="17" t="str">
        <f t="shared" si="37"/>
        <v/>
      </c>
      <c r="CY38" s="46" t="str">
        <f t="shared" si="37"/>
        <v/>
      </c>
      <c r="CZ38" s="17" t="str">
        <f t="shared" si="37"/>
        <v/>
      </c>
      <c r="DA38" s="46" t="str">
        <f t="shared" si="37"/>
        <v/>
      </c>
      <c r="DB38" s="17" t="str">
        <f t="shared" si="37"/>
        <v/>
      </c>
      <c r="DC38" s="46" t="str">
        <f t="shared" si="37"/>
        <v/>
      </c>
      <c r="DD38" s="17" t="str">
        <f t="shared" si="37"/>
        <v/>
      </c>
      <c r="DE38" s="46" t="str">
        <f t="shared" si="37"/>
        <v/>
      </c>
      <c r="DF38" s="17" t="str">
        <f t="shared" si="37"/>
        <v/>
      </c>
      <c r="DG38" s="46" t="str">
        <f t="shared" si="37"/>
        <v/>
      </c>
      <c r="DH38" s="17" t="str">
        <f t="shared" si="37"/>
        <v/>
      </c>
      <c r="DI38" s="46" t="str">
        <f t="shared" si="37"/>
        <v/>
      </c>
      <c r="DJ38" s="17" t="str">
        <f t="shared" si="37"/>
        <v/>
      </c>
      <c r="DK38" s="46" t="str">
        <f t="shared" si="37"/>
        <v/>
      </c>
      <c r="DL38" s="17" t="str">
        <f t="shared" si="37"/>
        <v/>
      </c>
      <c r="DM38" s="46" t="str">
        <f t="shared" si="37"/>
        <v/>
      </c>
      <c r="DN38" s="17" t="str">
        <f t="shared" si="37"/>
        <v/>
      </c>
      <c r="DO38" s="46" t="str">
        <f t="shared" si="37"/>
        <v/>
      </c>
      <c r="DP38" s="17" t="str">
        <f t="shared" si="37"/>
        <v/>
      </c>
      <c r="DQ38" s="46" t="str">
        <f t="shared" si="37"/>
        <v/>
      </c>
      <c r="DR38" s="17" t="str">
        <f t="shared" si="37"/>
        <v/>
      </c>
      <c r="DS38" s="46" t="str">
        <f t="shared" si="37"/>
        <v/>
      </c>
      <c r="DT38" s="17" t="str">
        <f t="shared" si="37"/>
        <v/>
      </c>
      <c r="DU38" s="46" t="str">
        <f t="shared" si="37"/>
        <v/>
      </c>
      <c r="DV38" s="17" t="str">
        <f t="shared" si="37"/>
        <v/>
      </c>
      <c r="DW38" s="46" t="str">
        <f t="shared" si="37"/>
        <v/>
      </c>
      <c r="DX38" s="17" t="str">
        <f t="shared" si="37"/>
        <v/>
      </c>
      <c r="DY38" s="46" t="str">
        <f t="shared" si="37"/>
        <v/>
      </c>
      <c r="DZ38" s="17" t="str">
        <f t="shared" si="37"/>
        <v/>
      </c>
      <c r="EA38" s="46" t="str">
        <f t="shared" si="37"/>
        <v/>
      </c>
      <c r="EB38" s="17" t="str">
        <f t="shared" si="37"/>
        <v/>
      </c>
      <c r="EC38" s="46" t="str">
        <f t="shared" si="37"/>
        <v/>
      </c>
      <c r="ED38" s="17" t="str">
        <f t="shared" si="37"/>
        <v/>
      </c>
      <c r="EE38" s="46" t="str">
        <f t="shared" si="37"/>
        <v/>
      </c>
      <c r="EF38" s="17" t="str">
        <f t="shared" si="37"/>
        <v/>
      </c>
      <c r="EG38" s="46" t="str">
        <f t="shared" si="37"/>
        <v/>
      </c>
      <c r="EH38" s="17" t="str">
        <f t="shared" si="37"/>
        <v/>
      </c>
      <c r="EI38" s="46" t="str">
        <f t="shared" si="37"/>
        <v/>
      </c>
      <c r="EJ38" s="17" t="str">
        <f t="shared" si="37"/>
        <v/>
      </c>
      <c r="EK38" s="46" t="str">
        <f t="shared" si="37"/>
        <v/>
      </c>
      <c r="EL38" s="17" t="str">
        <f t="shared" si="37"/>
        <v/>
      </c>
      <c r="EM38" s="46" t="str">
        <f t="shared" si="37"/>
        <v/>
      </c>
      <c r="EN38" s="17" t="str">
        <f t="shared" si="37"/>
        <v/>
      </c>
      <c r="EO38" s="46" t="str">
        <f t="shared" si="37"/>
        <v/>
      </c>
      <c r="EP38" s="17" t="str">
        <f t="shared" si="37"/>
        <v/>
      </c>
    </row>
    <row r="39" ht="15.75" customHeight="1">
      <c r="A39" s="6" t="str">
        <f>Menus!B31</f>
        <v/>
      </c>
      <c r="B39" s="43">
        <f t="shared" si="11"/>
        <v>0</v>
      </c>
      <c r="C39" s="54" t="str">
        <f t="shared" ref="C39:EP39" si="38">IFERROR(
  LET(
    resultado,
      INDEX(
        INDIRECT($B$1),
        MATCH(RIGHT($A39, LEN($A39)-4), INDIRECT($B$3), 0),
        MATCH(C$1, INDIRECT($B$5), 0)
      ),
    IF(resultado="-", "", resultado) 
  ),
"")
</f>
        <v/>
      </c>
      <c r="D39" s="55" t="str">
        <f t="shared" si="38"/>
        <v/>
      </c>
      <c r="E39" s="46" t="str">
        <f t="shared" si="38"/>
        <v/>
      </c>
      <c r="F39" s="17" t="str">
        <f t="shared" si="38"/>
        <v/>
      </c>
      <c r="G39" s="46" t="str">
        <f t="shared" si="38"/>
        <v/>
      </c>
      <c r="H39" s="17" t="str">
        <f t="shared" si="38"/>
        <v/>
      </c>
      <c r="I39" s="46" t="str">
        <f t="shared" si="38"/>
        <v/>
      </c>
      <c r="J39" s="17" t="str">
        <f t="shared" si="38"/>
        <v/>
      </c>
      <c r="K39" s="46" t="str">
        <f t="shared" si="38"/>
        <v/>
      </c>
      <c r="L39" s="17" t="str">
        <f t="shared" si="38"/>
        <v/>
      </c>
      <c r="M39" s="46" t="str">
        <f t="shared" si="38"/>
        <v/>
      </c>
      <c r="N39" s="17" t="str">
        <f t="shared" si="38"/>
        <v/>
      </c>
      <c r="O39" s="46" t="str">
        <f t="shared" si="38"/>
        <v/>
      </c>
      <c r="P39" s="17" t="str">
        <f t="shared" si="38"/>
        <v/>
      </c>
      <c r="Q39" s="46" t="str">
        <f t="shared" si="38"/>
        <v/>
      </c>
      <c r="R39" s="17" t="str">
        <f t="shared" si="38"/>
        <v/>
      </c>
      <c r="S39" s="46" t="str">
        <f t="shared" si="38"/>
        <v/>
      </c>
      <c r="T39" s="17" t="str">
        <f t="shared" si="38"/>
        <v/>
      </c>
      <c r="U39" s="46" t="str">
        <f t="shared" si="38"/>
        <v/>
      </c>
      <c r="V39" s="17" t="str">
        <f t="shared" si="38"/>
        <v/>
      </c>
      <c r="W39" s="46" t="str">
        <f t="shared" si="38"/>
        <v/>
      </c>
      <c r="X39" s="17" t="str">
        <f t="shared" si="38"/>
        <v/>
      </c>
      <c r="Y39" s="46" t="str">
        <f t="shared" si="38"/>
        <v/>
      </c>
      <c r="Z39" s="17" t="str">
        <f t="shared" si="38"/>
        <v/>
      </c>
      <c r="AA39" s="46" t="str">
        <f t="shared" si="38"/>
        <v/>
      </c>
      <c r="AB39" s="17" t="str">
        <f t="shared" si="38"/>
        <v/>
      </c>
      <c r="AC39" s="46" t="str">
        <f t="shared" si="38"/>
        <v/>
      </c>
      <c r="AD39" s="17" t="str">
        <f t="shared" si="38"/>
        <v/>
      </c>
      <c r="AE39" s="46" t="str">
        <f t="shared" si="38"/>
        <v/>
      </c>
      <c r="AF39" s="17" t="str">
        <f t="shared" si="38"/>
        <v/>
      </c>
      <c r="AG39" s="46" t="str">
        <f t="shared" si="38"/>
        <v/>
      </c>
      <c r="AH39" s="17" t="str">
        <f t="shared" si="38"/>
        <v/>
      </c>
      <c r="AI39" s="46" t="str">
        <f t="shared" si="38"/>
        <v/>
      </c>
      <c r="AJ39" s="17" t="str">
        <f t="shared" si="38"/>
        <v/>
      </c>
      <c r="AK39" s="46" t="str">
        <f t="shared" si="38"/>
        <v/>
      </c>
      <c r="AL39" s="17" t="str">
        <f t="shared" si="38"/>
        <v/>
      </c>
      <c r="AM39" s="46" t="str">
        <f t="shared" si="38"/>
        <v/>
      </c>
      <c r="AN39" s="17" t="str">
        <f t="shared" si="38"/>
        <v/>
      </c>
      <c r="AO39" s="46" t="str">
        <f t="shared" si="38"/>
        <v/>
      </c>
      <c r="AP39" s="17" t="str">
        <f t="shared" si="38"/>
        <v/>
      </c>
      <c r="AQ39" s="46" t="str">
        <f t="shared" si="38"/>
        <v/>
      </c>
      <c r="AR39" s="17" t="str">
        <f t="shared" si="38"/>
        <v/>
      </c>
      <c r="AS39" s="46" t="str">
        <f t="shared" si="38"/>
        <v/>
      </c>
      <c r="AT39" s="17" t="str">
        <f t="shared" si="38"/>
        <v/>
      </c>
      <c r="AU39" s="46" t="str">
        <f t="shared" si="38"/>
        <v/>
      </c>
      <c r="AV39" s="17" t="str">
        <f t="shared" si="38"/>
        <v/>
      </c>
      <c r="AW39" s="46" t="str">
        <f t="shared" si="38"/>
        <v/>
      </c>
      <c r="AX39" s="17" t="str">
        <f t="shared" si="38"/>
        <v/>
      </c>
      <c r="AY39" s="46" t="str">
        <f t="shared" si="38"/>
        <v/>
      </c>
      <c r="AZ39" s="17" t="str">
        <f t="shared" si="38"/>
        <v/>
      </c>
      <c r="BA39" s="46" t="str">
        <f t="shared" si="38"/>
        <v/>
      </c>
      <c r="BB39" s="17" t="str">
        <f t="shared" si="38"/>
        <v/>
      </c>
      <c r="BC39" s="46" t="str">
        <f t="shared" si="38"/>
        <v/>
      </c>
      <c r="BD39" s="17" t="str">
        <f t="shared" si="38"/>
        <v/>
      </c>
      <c r="BE39" s="46" t="str">
        <f t="shared" si="38"/>
        <v/>
      </c>
      <c r="BF39" s="17" t="str">
        <f t="shared" si="38"/>
        <v/>
      </c>
      <c r="BG39" s="46" t="str">
        <f t="shared" si="38"/>
        <v/>
      </c>
      <c r="BH39" s="17" t="str">
        <f t="shared" si="38"/>
        <v/>
      </c>
      <c r="BI39" s="46" t="str">
        <f t="shared" si="38"/>
        <v/>
      </c>
      <c r="BJ39" s="17" t="str">
        <f t="shared" si="38"/>
        <v/>
      </c>
      <c r="BK39" s="46" t="str">
        <f t="shared" si="38"/>
        <v/>
      </c>
      <c r="BL39" s="17" t="str">
        <f t="shared" si="38"/>
        <v/>
      </c>
      <c r="BM39" s="46" t="str">
        <f t="shared" si="38"/>
        <v/>
      </c>
      <c r="BN39" s="17" t="str">
        <f t="shared" si="38"/>
        <v/>
      </c>
      <c r="BO39" s="46" t="str">
        <f t="shared" si="38"/>
        <v/>
      </c>
      <c r="BP39" s="17" t="str">
        <f t="shared" si="38"/>
        <v/>
      </c>
      <c r="BQ39" s="46" t="str">
        <f t="shared" si="38"/>
        <v/>
      </c>
      <c r="BR39" s="17" t="str">
        <f t="shared" si="38"/>
        <v/>
      </c>
      <c r="BS39" s="46" t="str">
        <f t="shared" si="38"/>
        <v/>
      </c>
      <c r="BT39" s="17" t="str">
        <f t="shared" si="38"/>
        <v/>
      </c>
      <c r="BU39" s="46" t="str">
        <f t="shared" si="38"/>
        <v/>
      </c>
      <c r="BV39" s="17" t="str">
        <f t="shared" si="38"/>
        <v/>
      </c>
      <c r="BW39" s="46" t="str">
        <f t="shared" si="38"/>
        <v/>
      </c>
      <c r="BX39" s="17" t="str">
        <f t="shared" si="38"/>
        <v/>
      </c>
      <c r="BY39" s="46" t="str">
        <f t="shared" si="38"/>
        <v/>
      </c>
      <c r="BZ39" s="17" t="str">
        <f t="shared" si="38"/>
        <v/>
      </c>
      <c r="CA39" s="46" t="str">
        <f t="shared" si="38"/>
        <v/>
      </c>
      <c r="CB39" s="17" t="str">
        <f t="shared" si="38"/>
        <v/>
      </c>
      <c r="CC39" s="46" t="str">
        <f t="shared" si="38"/>
        <v/>
      </c>
      <c r="CD39" s="17" t="str">
        <f t="shared" si="38"/>
        <v/>
      </c>
      <c r="CE39" s="46" t="str">
        <f t="shared" si="38"/>
        <v/>
      </c>
      <c r="CF39" s="17" t="str">
        <f t="shared" si="38"/>
        <v/>
      </c>
      <c r="CG39" s="46" t="str">
        <f t="shared" si="38"/>
        <v/>
      </c>
      <c r="CH39" s="17" t="str">
        <f t="shared" si="38"/>
        <v/>
      </c>
      <c r="CI39" s="46" t="str">
        <f t="shared" si="38"/>
        <v/>
      </c>
      <c r="CJ39" s="17" t="str">
        <f t="shared" si="38"/>
        <v/>
      </c>
      <c r="CK39" s="46" t="str">
        <f t="shared" si="38"/>
        <v/>
      </c>
      <c r="CL39" s="17" t="str">
        <f t="shared" si="38"/>
        <v/>
      </c>
      <c r="CM39" s="46" t="str">
        <f t="shared" si="38"/>
        <v/>
      </c>
      <c r="CN39" s="17" t="str">
        <f t="shared" si="38"/>
        <v/>
      </c>
      <c r="CO39" s="46" t="str">
        <f t="shared" si="38"/>
        <v/>
      </c>
      <c r="CP39" s="17" t="str">
        <f t="shared" si="38"/>
        <v/>
      </c>
      <c r="CQ39" s="46" t="str">
        <f t="shared" si="38"/>
        <v/>
      </c>
      <c r="CR39" s="17" t="str">
        <f t="shared" si="38"/>
        <v/>
      </c>
      <c r="CS39" s="46" t="str">
        <f t="shared" si="38"/>
        <v/>
      </c>
      <c r="CT39" s="17" t="str">
        <f t="shared" si="38"/>
        <v/>
      </c>
      <c r="CU39" s="46" t="str">
        <f t="shared" si="38"/>
        <v/>
      </c>
      <c r="CV39" s="17" t="str">
        <f t="shared" si="38"/>
        <v/>
      </c>
      <c r="CW39" s="46" t="str">
        <f t="shared" si="38"/>
        <v/>
      </c>
      <c r="CX39" s="17" t="str">
        <f t="shared" si="38"/>
        <v/>
      </c>
      <c r="CY39" s="46" t="str">
        <f t="shared" si="38"/>
        <v/>
      </c>
      <c r="CZ39" s="17" t="str">
        <f t="shared" si="38"/>
        <v/>
      </c>
      <c r="DA39" s="46" t="str">
        <f t="shared" si="38"/>
        <v/>
      </c>
      <c r="DB39" s="17" t="str">
        <f t="shared" si="38"/>
        <v/>
      </c>
      <c r="DC39" s="46" t="str">
        <f t="shared" si="38"/>
        <v/>
      </c>
      <c r="DD39" s="17" t="str">
        <f t="shared" si="38"/>
        <v/>
      </c>
      <c r="DE39" s="46" t="str">
        <f t="shared" si="38"/>
        <v/>
      </c>
      <c r="DF39" s="17" t="str">
        <f t="shared" si="38"/>
        <v/>
      </c>
      <c r="DG39" s="46" t="str">
        <f t="shared" si="38"/>
        <v/>
      </c>
      <c r="DH39" s="17" t="str">
        <f t="shared" si="38"/>
        <v/>
      </c>
      <c r="DI39" s="46" t="str">
        <f t="shared" si="38"/>
        <v/>
      </c>
      <c r="DJ39" s="17" t="str">
        <f t="shared" si="38"/>
        <v/>
      </c>
      <c r="DK39" s="46" t="str">
        <f t="shared" si="38"/>
        <v/>
      </c>
      <c r="DL39" s="17" t="str">
        <f t="shared" si="38"/>
        <v/>
      </c>
      <c r="DM39" s="46" t="str">
        <f t="shared" si="38"/>
        <v/>
      </c>
      <c r="DN39" s="17" t="str">
        <f t="shared" si="38"/>
        <v/>
      </c>
      <c r="DO39" s="46" t="str">
        <f t="shared" si="38"/>
        <v/>
      </c>
      <c r="DP39" s="17" t="str">
        <f t="shared" si="38"/>
        <v/>
      </c>
      <c r="DQ39" s="46" t="str">
        <f t="shared" si="38"/>
        <v/>
      </c>
      <c r="DR39" s="17" t="str">
        <f t="shared" si="38"/>
        <v/>
      </c>
      <c r="DS39" s="46" t="str">
        <f t="shared" si="38"/>
        <v/>
      </c>
      <c r="DT39" s="17" t="str">
        <f t="shared" si="38"/>
        <v/>
      </c>
      <c r="DU39" s="46" t="str">
        <f t="shared" si="38"/>
        <v/>
      </c>
      <c r="DV39" s="17" t="str">
        <f t="shared" si="38"/>
        <v/>
      </c>
      <c r="DW39" s="46" t="str">
        <f t="shared" si="38"/>
        <v/>
      </c>
      <c r="DX39" s="17" t="str">
        <f t="shared" si="38"/>
        <v/>
      </c>
      <c r="DY39" s="46" t="str">
        <f t="shared" si="38"/>
        <v/>
      </c>
      <c r="DZ39" s="17" t="str">
        <f t="shared" si="38"/>
        <v/>
      </c>
      <c r="EA39" s="46" t="str">
        <f t="shared" si="38"/>
        <v/>
      </c>
      <c r="EB39" s="17" t="str">
        <f t="shared" si="38"/>
        <v/>
      </c>
      <c r="EC39" s="46" t="str">
        <f t="shared" si="38"/>
        <v/>
      </c>
      <c r="ED39" s="17" t="str">
        <f t="shared" si="38"/>
        <v/>
      </c>
      <c r="EE39" s="46" t="str">
        <f t="shared" si="38"/>
        <v/>
      </c>
      <c r="EF39" s="17" t="str">
        <f t="shared" si="38"/>
        <v/>
      </c>
      <c r="EG39" s="46" t="str">
        <f t="shared" si="38"/>
        <v/>
      </c>
      <c r="EH39" s="17" t="str">
        <f t="shared" si="38"/>
        <v/>
      </c>
      <c r="EI39" s="46" t="str">
        <f t="shared" si="38"/>
        <v/>
      </c>
      <c r="EJ39" s="17" t="str">
        <f t="shared" si="38"/>
        <v/>
      </c>
      <c r="EK39" s="46" t="str">
        <f t="shared" si="38"/>
        <v/>
      </c>
      <c r="EL39" s="17" t="str">
        <f t="shared" si="38"/>
        <v/>
      </c>
      <c r="EM39" s="46" t="str">
        <f t="shared" si="38"/>
        <v/>
      </c>
      <c r="EN39" s="17" t="str">
        <f t="shared" si="38"/>
        <v/>
      </c>
      <c r="EO39" s="46" t="str">
        <f t="shared" si="38"/>
        <v/>
      </c>
      <c r="EP39" s="17" t="str">
        <f t="shared" si="38"/>
        <v/>
      </c>
    </row>
    <row r="40" ht="15.75" customHeight="1">
      <c r="A40" s="6" t="str">
        <f>Menus!B32</f>
        <v/>
      </c>
      <c r="B40" s="43">
        <f t="shared" si="11"/>
        <v>0</v>
      </c>
      <c r="C40" s="54" t="str">
        <f t="shared" ref="C40:EP40" si="39">IFERROR(
  LET(
    resultado,
      INDEX(
        INDIRECT($B$1),
        MATCH(RIGHT($A40, LEN($A40)-4), INDIRECT($B$3), 0),
        MATCH(C$1, INDIRECT($B$5), 0)
      ),
    IF(resultado="-", "", resultado) 
  ),
"")
</f>
        <v/>
      </c>
      <c r="D40" s="55" t="str">
        <f t="shared" si="39"/>
        <v/>
      </c>
      <c r="E40" s="46" t="str">
        <f t="shared" si="39"/>
        <v/>
      </c>
      <c r="F40" s="17" t="str">
        <f t="shared" si="39"/>
        <v/>
      </c>
      <c r="G40" s="46" t="str">
        <f t="shared" si="39"/>
        <v/>
      </c>
      <c r="H40" s="17" t="str">
        <f t="shared" si="39"/>
        <v/>
      </c>
      <c r="I40" s="46" t="str">
        <f t="shared" si="39"/>
        <v/>
      </c>
      <c r="J40" s="17" t="str">
        <f t="shared" si="39"/>
        <v/>
      </c>
      <c r="K40" s="46" t="str">
        <f t="shared" si="39"/>
        <v/>
      </c>
      <c r="L40" s="17" t="str">
        <f t="shared" si="39"/>
        <v/>
      </c>
      <c r="M40" s="46" t="str">
        <f t="shared" si="39"/>
        <v/>
      </c>
      <c r="N40" s="17" t="str">
        <f t="shared" si="39"/>
        <v/>
      </c>
      <c r="O40" s="46" t="str">
        <f t="shared" si="39"/>
        <v/>
      </c>
      <c r="P40" s="17" t="str">
        <f t="shared" si="39"/>
        <v/>
      </c>
      <c r="Q40" s="46" t="str">
        <f t="shared" si="39"/>
        <v/>
      </c>
      <c r="R40" s="17" t="str">
        <f t="shared" si="39"/>
        <v/>
      </c>
      <c r="S40" s="46" t="str">
        <f t="shared" si="39"/>
        <v/>
      </c>
      <c r="T40" s="17" t="str">
        <f t="shared" si="39"/>
        <v/>
      </c>
      <c r="U40" s="46" t="str">
        <f t="shared" si="39"/>
        <v/>
      </c>
      <c r="V40" s="17" t="str">
        <f t="shared" si="39"/>
        <v/>
      </c>
      <c r="W40" s="46" t="str">
        <f t="shared" si="39"/>
        <v/>
      </c>
      <c r="X40" s="17" t="str">
        <f t="shared" si="39"/>
        <v/>
      </c>
      <c r="Y40" s="46" t="str">
        <f t="shared" si="39"/>
        <v/>
      </c>
      <c r="Z40" s="17" t="str">
        <f t="shared" si="39"/>
        <v/>
      </c>
      <c r="AA40" s="46" t="str">
        <f t="shared" si="39"/>
        <v/>
      </c>
      <c r="AB40" s="17" t="str">
        <f t="shared" si="39"/>
        <v/>
      </c>
      <c r="AC40" s="46" t="str">
        <f t="shared" si="39"/>
        <v/>
      </c>
      <c r="AD40" s="17" t="str">
        <f t="shared" si="39"/>
        <v/>
      </c>
      <c r="AE40" s="46" t="str">
        <f t="shared" si="39"/>
        <v/>
      </c>
      <c r="AF40" s="17" t="str">
        <f t="shared" si="39"/>
        <v/>
      </c>
      <c r="AG40" s="46" t="str">
        <f t="shared" si="39"/>
        <v/>
      </c>
      <c r="AH40" s="17" t="str">
        <f t="shared" si="39"/>
        <v/>
      </c>
      <c r="AI40" s="46" t="str">
        <f t="shared" si="39"/>
        <v/>
      </c>
      <c r="AJ40" s="17" t="str">
        <f t="shared" si="39"/>
        <v/>
      </c>
      <c r="AK40" s="46" t="str">
        <f t="shared" si="39"/>
        <v/>
      </c>
      <c r="AL40" s="17" t="str">
        <f t="shared" si="39"/>
        <v/>
      </c>
      <c r="AM40" s="46" t="str">
        <f t="shared" si="39"/>
        <v/>
      </c>
      <c r="AN40" s="17" t="str">
        <f t="shared" si="39"/>
        <v/>
      </c>
      <c r="AO40" s="46" t="str">
        <f t="shared" si="39"/>
        <v/>
      </c>
      <c r="AP40" s="17" t="str">
        <f t="shared" si="39"/>
        <v/>
      </c>
      <c r="AQ40" s="46" t="str">
        <f t="shared" si="39"/>
        <v/>
      </c>
      <c r="AR40" s="17" t="str">
        <f t="shared" si="39"/>
        <v/>
      </c>
      <c r="AS40" s="46" t="str">
        <f t="shared" si="39"/>
        <v/>
      </c>
      <c r="AT40" s="17" t="str">
        <f t="shared" si="39"/>
        <v/>
      </c>
      <c r="AU40" s="46" t="str">
        <f t="shared" si="39"/>
        <v/>
      </c>
      <c r="AV40" s="17" t="str">
        <f t="shared" si="39"/>
        <v/>
      </c>
      <c r="AW40" s="46" t="str">
        <f t="shared" si="39"/>
        <v/>
      </c>
      <c r="AX40" s="17" t="str">
        <f t="shared" si="39"/>
        <v/>
      </c>
      <c r="AY40" s="46" t="str">
        <f t="shared" si="39"/>
        <v/>
      </c>
      <c r="AZ40" s="17" t="str">
        <f t="shared" si="39"/>
        <v/>
      </c>
      <c r="BA40" s="46" t="str">
        <f t="shared" si="39"/>
        <v/>
      </c>
      <c r="BB40" s="17" t="str">
        <f t="shared" si="39"/>
        <v/>
      </c>
      <c r="BC40" s="46" t="str">
        <f t="shared" si="39"/>
        <v/>
      </c>
      <c r="BD40" s="17" t="str">
        <f t="shared" si="39"/>
        <v/>
      </c>
      <c r="BE40" s="46" t="str">
        <f t="shared" si="39"/>
        <v/>
      </c>
      <c r="BF40" s="17" t="str">
        <f t="shared" si="39"/>
        <v/>
      </c>
      <c r="BG40" s="46" t="str">
        <f t="shared" si="39"/>
        <v/>
      </c>
      <c r="BH40" s="17" t="str">
        <f t="shared" si="39"/>
        <v/>
      </c>
      <c r="BI40" s="46" t="str">
        <f t="shared" si="39"/>
        <v/>
      </c>
      <c r="BJ40" s="17" t="str">
        <f t="shared" si="39"/>
        <v/>
      </c>
      <c r="BK40" s="46" t="str">
        <f t="shared" si="39"/>
        <v/>
      </c>
      <c r="BL40" s="17" t="str">
        <f t="shared" si="39"/>
        <v/>
      </c>
      <c r="BM40" s="46" t="str">
        <f t="shared" si="39"/>
        <v/>
      </c>
      <c r="BN40" s="17" t="str">
        <f t="shared" si="39"/>
        <v/>
      </c>
      <c r="BO40" s="46" t="str">
        <f t="shared" si="39"/>
        <v/>
      </c>
      <c r="BP40" s="17" t="str">
        <f t="shared" si="39"/>
        <v/>
      </c>
      <c r="BQ40" s="46" t="str">
        <f t="shared" si="39"/>
        <v/>
      </c>
      <c r="BR40" s="17" t="str">
        <f t="shared" si="39"/>
        <v/>
      </c>
      <c r="BS40" s="46" t="str">
        <f t="shared" si="39"/>
        <v/>
      </c>
      <c r="BT40" s="17" t="str">
        <f t="shared" si="39"/>
        <v/>
      </c>
      <c r="BU40" s="46" t="str">
        <f t="shared" si="39"/>
        <v/>
      </c>
      <c r="BV40" s="17" t="str">
        <f t="shared" si="39"/>
        <v/>
      </c>
      <c r="BW40" s="46" t="str">
        <f t="shared" si="39"/>
        <v/>
      </c>
      <c r="BX40" s="17" t="str">
        <f t="shared" si="39"/>
        <v/>
      </c>
      <c r="BY40" s="46" t="str">
        <f t="shared" si="39"/>
        <v/>
      </c>
      <c r="BZ40" s="17" t="str">
        <f t="shared" si="39"/>
        <v/>
      </c>
      <c r="CA40" s="46" t="str">
        <f t="shared" si="39"/>
        <v/>
      </c>
      <c r="CB40" s="17" t="str">
        <f t="shared" si="39"/>
        <v/>
      </c>
      <c r="CC40" s="46" t="str">
        <f t="shared" si="39"/>
        <v/>
      </c>
      <c r="CD40" s="17" t="str">
        <f t="shared" si="39"/>
        <v/>
      </c>
      <c r="CE40" s="46" t="str">
        <f t="shared" si="39"/>
        <v/>
      </c>
      <c r="CF40" s="17" t="str">
        <f t="shared" si="39"/>
        <v/>
      </c>
      <c r="CG40" s="46" t="str">
        <f t="shared" si="39"/>
        <v/>
      </c>
      <c r="CH40" s="17" t="str">
        <f t="shared" si="39"/>
        <v/>
      </c>
      <c r="CI40" s="46" t="str">
        <f t="shared" si="39"/>
        <v/>
      </c>
      <c r="CJ40" s="17" t="str">
        <f t="shared" si="39"/>
        <v/>
      </c>
      <c r="CK40" s="46" t="str">
        <f t="shared" si="39"/>
        <v/>
      </c>
      <c r="CL40" s="17" t="str">
        <f t="shared" si="39"/>
        <v/>
      </c>
      <c r="CM40" s="46" t="str">
        <f t="shared" si="39"/>
        <v/>
      </c>
      <c r="CN40" s="17" t="str">
        <f t="shared" si="39"/>
        <v/>
      </c>
      <c r="CO40" s="46" t="str">
        <f t="shared" si="39"/>
        <v/>
      </c>
      <c r="CP40" s="17" t="str">
        <f t="shared" si="39"/>
        <v/>
      </c>
      <c r="CQ40" s="46" t="str">
        <f t="shared" si="39"/>
        <v/>
      </c>
      <c r="CR40" s="17" t="str">
        <f t="shared" si="39"/>
        <v/>
      </c>
      <c r="CS40" s="46" t="str">
        <f t="shared" si="39"/>
        <v/>
      </c>
      <c r="CT40" s="17" t="str">
        <f t="shared" si="39"/>
        <v/>
      </c>
      <c r="CU40" s="46" t="str">
        <f t="shared" si="39"/>
        <v/>
      </c>
      <c r="CV40" s="17" t="str">
        <f t="shared" si="39"/>
        <v/>
      </c>
      <c r="CW40" s="46" t="str">
        <f t="shared" si="39"/>
        <v/>
      </c>
      <c r="CX40" s="17" t="str">
        <f t="shared" si="39"/>
        <v/>
      </c>
      <c r="CY40" s="46" t="str">
        <f t="shared" si="39"/>
        <v/>
      </c>
      <c r="CZ40" s="17" t="str">
        <f t="shared" si="39"/>
        <v/>
      </c>
      <c r="DA40" s="46" t="str">
        <f t="shared" si="39"/>
        <v/>
      </c>
      <c r="DB40" s="17" t="str">
        <f t="shared" si="39"/>
        <v/>
      </c>
      <c r="DC40" s="46" t="str">
        <f t="shared" si="39"/>
        <v/>
      </c>
      <c r="DD40" s="17" t="str">
        <f t="shared" si="39"/>
        <v/>
      </c>
      <c r="DE40" s="46" t="str">
        <f t="shared" si="39"/>
        <v/>
      </c>
      <c r="DF40" s="17" t="str">
        <f t="shared" si="39"/>
        <v/>
      </c>
      <c r="DG40" s="46" t="str">
        <f t="shared" si="39"/>
        <v/>
      </c>
      <c r="DH40" s="17" t="str">
        <f t="shared" si="39"/>
        <v/>
      </c>
      <c r="DI40" s="46" t="str">
        <f t="shared" si="39"/>
        <v/>
      </c>
      <c r="DJ40" s="17" t="str">
        <f t="shared" si="39"/>
        <v/>
      </c>
      <c r="DK40" s="46" t="str">
        <f t="shared" si="39"/>
        <v/>
      </c>
      <c r="DL40" s="17" t="str">
        <f t="shared" si="39"/>
        <v/>
      </c>
      <c r="DM40" s="46" t="str">
        <f t="shared" si="39"/>
        <v/>
      </c>
      <c r="DN40" s="17" t="str">
        <f t="shared" si="39"/>
        <v/>
      </c>
      <c r="DO40" s="46" t="str">
        <f t="shared" si="39"/>
        <v/>
      </c>
      <c r="DP40" s="17" t="str">
        <f t="shared" si="39"/>
        <v/>
      </c>
      <c r="DQ40" s="46" t="str">
        <f t="shared" si="39"/>
        <v/>
      </c>
      <c r="DR40" s="17" t="str">
        <f t="shared" si="39"/>
        <v/>
      </c>
      <c r="DS40" s="46" t="str">
        <f t="shared" si="39"/>
        <v/>
      </c>
      <c r="DT40" s="17" t="str">
        <f t="shared" si="39"/>
        <v/>
      </c>
      <c r="DU40" s="46" t="str">
        <f t="shared" si="39"/>
        <v/>
      </c>
      <c r="DV40" s="17" t="str">
        <f t="shared" si="39"/>
        <v/>
      </c>
      <c r="DW40" s="46" t="str">
        <f t="shared" si="39"/>
        <v/>
      </c>
      <c r="DX40" s="17" t="str">
        <f t="shared" si="39"/>
        <v/>
      </c>
      <c r="DY40" s="46" t="str">
        <f t="shared" si="39"/>
        <v/>
      </c>
      <c r="DZ40" s="17" t="str">
        <f t="shared" si="39"/>
        <v/>
      </c>
      <c r="EA40" s="46" t="str">
        <f t="shared" si="39"/>
        <v/>
      </c>
      <c r="EB40" s="17" t="str">
        <f t="shared" si="39"/>
        <v/>
      </c>
      <c r="EC40" s="46" t="str">
        <f t="shared" si="39"/>
        <v/>
      </c>
      <c r="ED40" s="17" t="str">
        <f t="shared" si="39"/>
        <v/>
      </c>
      <c r="EE40" s="46" t="str">
        <f t="shared" si="39"/>
        <v/>
      </c>
      <c r="EF40" s="17" t="str">
        <f t="shared" si="39"/>
        <v/>
      </c>
      <c r="EG40" s="46" t="str">
        <f t="shared" si="39"/>
        <v/>
      </c>
      <c r="EH40" s="17" t="str">
        <f t="shared" si="39"/>
        <v/>
      </c>
      <c r="EI40" s="46" t="str">
        <f t="shared" si="39"/>
        <v/>
      </c>
      <c r="EJ40" s="17" t="str">
        <f t="shared" si="39"/>
        <v/>
      </c>
      <c r="EK40" s="46" t="str">
        <f t="shared" si="39"/>
        <v/>
      </c>
      <c r="EL40" s="17" t="str">
        <f t="shared" si="39"/>
        <v/>
      </c>
      <c r="EM40" s="46" t="str">
        <f t="shared" si="39"/>
        <v/>
      </c>
      <c r="EN40" s="17" t="str">
        <f t="shared" si="39"/>
        <v/>
      </c>
      <c r="EO40" s="46" t="str">
        <f t="shared" si="39"/>
        <v/>
      </c>
      <c r="EP40" s="17" t="str">
        <f t="shared" si="39"/>
        <v/>
      </c>
    </row>
    <row r="41" ht="15.75" customHeight="1">
      <c r="A41" s="6" t="str">
        <f>Menus!B33</f>
        <v/>
      </c>
      <c r="B41" s="43">
        <f t="shared" si="11"/>
        <v>0</v>
      </c>
      <c r="C41" s="54" t="str">
        <f t="shared" ref="C41:EP41" si="40">IFERROR(
  LET(
    resultado,
      INDEX(
        INDIRECT($B$1),
        MATCH(RIGHT($A41, LEN($A41)-4), INDIRECT($B$3), 0),
        MATCH(C$1, INDIRECT($B$5), 0)
      ),
    IF(resultado="-", "", resultado) 
  ),
"")
</f>
        <v/>
      </c>
      <c r="D41" s="55" t="str">
        <f t="shared" si="40"/>
        <v/>
      </c>
      <c r="E41" s="46" t="str">
        <f t="shared" si="40"/>
        <v/>
      </c>
      <c r="F41" s="17" t="str">
        <f t="shared" si="40"/>
        <v/>
      </c>
      <c r="G41" s="46" t="str">
        <f t="shared" si="40"/>
        <v/>
      </c>
      <c r="H41" s="17" t="str">
        <f t="shared" si="40"/>
        <v/>
      </c>
      <c r="I41" s="46" t="str">
        <f t="shared" si="40"/>
        <v/>
      </c>
      <c r="J41" s="17" t="str">
        <f t="shared" si="40"/>
        <v/>
      </c>
      <c r="K41" s="46" t="str">
        <f t="shared" si="40"/>
        <v/>
      </c>
      <c r="L41" s="17" t="str">
        <f t="shared" si="40"/>
        <v/>
      </c>
      <c r="M41" s="46" t="str">
        <f t="shared" si="40"/>
        <v/>
      </c>
      <c r="N41" s="17" t="str">
        <f t="shared" si="40"/>
        <v/>
      </c>
      <c r="O41" s="46" t="str">
        <f t="shared" si="40"/>
        <v/>
      </c>
      <c r="P41" s="17" t="str">
        <f t="shared" si="40"/>
        <v/>
      </c>
      <c r="Q41" s="46" t="str">
        <f t="shared" si="40"/>
        <v/>
      </c>
      <c r="R41" s="17" t="str">
        <f t="shared" si="40"/>
        <v/>
      </c>
      <c r="S41" s="46" t="str">
        <f t="shared" si="40"/>
        <v/>
      </c>
      <c r="T41" s="17" t="str">
        <f t="shared" si="40"/>
        <v/>
      </c>
      <c r="U41" s="46" t="str">
        <f t="shared" si="40"/>
        <v/>
      </c>
      <c r="V41" s="17" t="str">
        <f t="shared" si="40"/>
        <v/>
      </c>
      <c r="W41" s="46" t="str">
        <f t="shared" si="40"/>
        <v/>
      </c>
      <c r="X41" s="17" t="str">
        <f t="shared" si="40"/>
        <v/>
      </c>
      <c r="Y41" s="46" t="str">
        <f t="shared" si="40"/>
        <v/>
      </c>
      <c r="Z41" s="17" t="str">
        <f t="shared" si="40"/>
        <v/>
      </c>
      <c r="AA41" s="46" t="str">
        <f t="shared" si="40"/>
        <v/>
      </c>
      <c r="AB41" s="17" t="str">
        <f t="shared" si="40"/>
        <v/>
      </c>
      <c r="AC41" s="46" t="str">
        <f t="shared" si="40"/>
        <v/>
      </c>
      <c r="AD41" s="17" t="str">
        <f t="shared" si="40"/>
        <v/>
      </c>
      <c r="AE41" s="46" t="str">
        <f t="shared" si="40"/>
        <v/>
      </c>
      <c r="AF41" s="17" t="str">
        <f t="shared" si="40"/>
        <v/>
      </c>
      <c r="AG41" s="46" t="str">
        <f t="shared" si="40"/>
        <v/>
      </c>
      <c r="AH41" s="17" t="str">
        <f t="shared" si="40"/>
        <v/>
      </c>
      <c r="AI41" s="46" t="str">
        <f t="shared" si="40"/>
        <v/>
      </c>
      <c r="AJ41" s="17" t="str">
        <f t="shared" si="40"/>
        <v/>
      </c>
      <c r="AK41" s="46" t="str">
        <f t="shared" si="40"/>
        <v/>
      </c>
      <c r="AL41" s="17" t="str">
        <f t="shared" si="40"/>
        <v/>
      </c>
      <c r="AM41" s="46" t="str">
        <f t="shared" si="40"/>
        <v/>
      </c>
      <c r="AN41" s="17" t="str">
        <f t="shared" si="40"/>
        <v/>
      </c>
      <c r="AO41" s="46" t="str">
        <f t="shared" si="40"/>
        <v/>
      </c>
      <c r="AP41" s="17" t="str">
        <f t="shared" si="40"/>
        <v/>
      </c>
      <c r="AQ41" s="46" t="str">
        <f t="shared" si="40"/>
        <v/>
      </c>
      <c r="AR41" s="17" t="str">
        <f t="shared" si="40"/>
        <v/>
      </c>
      <c r="AS41" s="46" t="str">
        <f t="shared" si="40"/>
        <v/>
      </c>
      <c r="AT41" s="17" t="str">
        <f t="shared" si="40"/>
        <v/>
      </c>
      <c r="AU41" s="46" t="str">
        <f t="shared" si="40"/>
        <v/>
      </c>
      <c r="AV41" s="17" t="str">
        <f t="shared" si="40"/>
        <v/>
      </c>
      <c r="AW41" s="46" t="str">
        <f t="shared" si="40"/>
        <v/>
      </c>
      <c r="AX41" s="17" t="str">
        <f t="shared" si="40"/>
        <v/>
      </c>
      <c r="AY41" s="46" t="str">
        <f t="shared" si="40"/>
        <v/>
      </c>
      <c r="AZ41" s="17" t="str">
        <f t="shared" si="40"/>
        <v/>
      </c>
      <c r="BA41" s="46" t="str">
        <f t="shared" si="40"/>
        <v/>
      </c>
      <c r="BB41" s="17" t="str">
        <f t="shared" si="40"/>
        <v/>
      </c>
      <c r="BC41" s="46" t="str">
        <f t="shared" si="40"/>
        <v/>
      </c>
      <c r="BD41" s="17" t="str">
        <f t="shared" si="40"/>
        <v/>
      </c>
      <c r="BE41" s="46" t="str">
        <f t="shared" si="40"/>
        <v/>
      </c>
      <c r="BF41" s="17" t="str">
        <f t="shared" si="40"/>
        <v/>
      </c>
      <c r="BG41" s="46" t="str">
        <f t="shared" si="40"/>
        <v/>
      </c>
      <c r="BH41" s="17" t="str">
        <f t="shared" si="40"/>
        <v/>
      </c>
      <c r="BI41" s="46" t="str">
        <f t="shared" si="40"/>
        <v/>
      </c>
      <c r="BJ41" s="17" t="str">
        <f t="shared" si="40"/>
        <v/>
      </c>
      <c r="BK41" s="46" t="str">
        <f t="shared" si="40"/>
        <v/>
      </c>
      <c r="BL41" s="17" t="str">
        <f t="shared" si="40"/>
        <v/>
      </c>
      <c r="BM41" s="46" t="str">
        <f t="shared" si="40"/>
        <v/>
      </c>
      <c r="BN41" s="17" t="str">
        <f t="shared" si="40"/>
        <v/>
      </c>
      <c r="BO41" s="46" t="str">
        <f t="shared" si="40"/>
        <v/>
      </c>
      <c r="BP41" s="17" t="str">
        <f t="shared" si="40"/>
        <v/>
      </c>
      <c r="BQ41" s="46" t="str">
        <f t="shared" si="40"/>
        <v/>
      </c>
      <c r="BR41" s="17" t="str">
        <f t="shared" si="40"/>
        <v/>
      </c>
      <c r="BS41" s="46" t="str">
        <f t="shared" si="40"/>
        <v/>
      </c>
      <c r="BT41" s="17" t="str">
        <f t="shared" si="40"/>
        <v/>
      </c>
      <c r="BU41" s="46" t="str">
        <f t="shared" si="40"/>
        <v/>
      </c>
      <c r="BV41" s="17" t="str">
        <f t="shared" si="40"/>
        <v/>
      </c>
      <c r="BW41" s="46" t="str">
        <f t="shared" si="40"/>
        <v/>
      </c>
      <c r="BX41" s="17" t="str">
        <f t="shared" si="40"/>
        <v/>
      </c>
      <c r="BY41" s="46" t="str">
        <f t="shared" si="40"/>
        <v/>
      </c>
      <c r="BZ41" s="17" t="str">
        <f t="shared" si="40"/>
        <v/>
      </c>
      <c r="CA41" s="46" t="str">
        <f t="shared" si="40"/>
        <v/>
      </c>
      <c r="CB41" s="17" t="str">
        <f t="shared" si="40"/>
        <v/>
      </c>
      <c r="CC41" s="46" t="str">
        <f t="shared" si="40"/>
        <v/>
      </c>
      <c r="CD41" s="17" t="str">
        <f t="shared" si="40"/>
        <v/>
      </c>
      <c r="CE41" s="46" t="str">
        <f t="shared" si="40"/>
        <v/>
      </c>
      <c r="CF41" s="17" t="str">
        <f t="shared" si="40"/>
        <v/>
      </c>
      <c r="CG41" s="46" t="str">
        <f t="shared" si="40"/>
        <v/>
      </c>
      <c r="CH41" s="17" t="str">
        <f t="shared" si="40"/>
        <v/>
      </c>
      <c r="CI41" s="46" t="str">
        <f t="shared" si="40"/>
        <v/>
      </c>
      <c r="CJ41" s="17" t="str">
        <f t="shared" si="40"/>
        <v/>
      </c>
      <c r="CK41" s="46" t="str">
        <f t="shared" si="40"/>
        <v/>
      </c>
      <c r="CL41" s="17" t="str">
        <f t="shared" si="40"/>
        <v/>
      </c>
      <c r="CM41" s="46" t="str">
        <f t="shared" si="40"/>
        <v/>
      </c>
      <c r="CN41" s="17" t="str">
        <f t="shared" si="40"/>
        <v/>
      </c>
      <c r="CO41" s="46" t="str">
        <f t="shared" si="40"/>
        <v/>
      </c>
      <c r="CP41" s="17" t="str">
        <f t="shared" si="40"/>
        <v/>
      </c>
      <c r="CQ41" s="46" t="str">
        <f t="shared" si="40"/>
        <v/>
      </c>
      <c r="CR41" s="17" t="str">
        <f t="shared" si="40"/>
        <v/>
      </c>
      <c r="CS41" s="46" t="str">
        <f t="shared" si="40"/>
        <v/>
      </c>
      <c r="CT41" s="17" t="str">
        <f t="shared" si="40"/>
        <v/>
      </c>
      <c r="CU41" s="46" t="str">
        <f t="shared" si="40"/>
        <v/>
      </c>
      <c r="CV41" s="17" t="str">
        <f t="shared" si="40"/>
        <v/>
      </c>
      <c r="CW41" s="46" t="str">
        <f t="shared" si="40"/>
        <v/>
      </c>
      <c r="CX41" s="17" t="str">
        <f t="shared" si="40"/>
        <v/>
      </c>
      <c r="CY41" s="46" t="str">
        <f t="shared" si="40"/>
        <v/>
      </c>
      <c r="CZ41" s="17" t="str">
        <f t="shared" si="40"/>
        <v/>
      </c>
      <c r="DA41" s="46" t="str">
        <f t="shared" si="40"/>
        <v/>
      </c>
      <c r="DB41" s="17" t="str">
        <f t="shared" si="40"/>
        <v/>
      </c>
      <c r="DC41" s="46" t="str">
        <f t="shared" si="40"/>
        <v/>
      </c>
      <c r="DD41" s="17" t="str">
        <f t="shared" si="40"/>
        <v/>
      </c>
      <c r="DE41" s="46" t="str">
        <f t="shared" si="40"/>
        <v/>
      </c>
      <c r="DF41" s="17" t="str">
        <f t="shared" si="40"/>
        <v/>
      </c>
      <c r="DG41" s="46" t="str">
        <f t="shared" si="40"/>
        <v/>
      </c>
      <c r="DH41" s="17" t="str">
        <f t="shared" si="40"/>
        <v/>
      </c>
      <c r="DI41" s="46" t="str">
        <f t="shared" si="40"/>
        <v/>
      </c>
      <c r="DJ41" s="17" t="str">
        <f t="shared" si="40"/>
        <v/>
      </c>
      <c r="DK41" s="46" t="str">
        <f t="shared" si="40"/>
        <v/>
      </c>
      <c r="DL41" s="17" t="str">
        <f t="shared" si="40"/>
        <v/>
      </c>
      <c r="DM41" s="46" t="str">
        <f t="shared" si="40"/>
        <v/>
      </c>
      <c r="DN41" s="17" t="str">
        <f t="shared" si="40"/>
        <v/>
      </c>
      <c r="DO41" s="46" t="str">
        <f t="shared" si="40"/>
        <v/>
      </c>
      <c r="DP41" s="17" t="str">
        <f t="shared" si="40"/>
        <v/>
      </c>
      <c r="DQ41" s="46" t="str">
        <f t="shared" si="40"/>
        <v/>
      </c>
      <c r="DR41" s="17" t="str">
        <f t="shared" si="40"/>
        <v/>
      </c>
      <c r="DS41" s="46" t="str">
        <f t="shared" si="40"/>
        <v/>
      </c>
      <c r="DT41" s="17" t="str">
        <f t="shared" si="40"/>
        <v/>
      </c>
      <c r="DU41" s="46" t="str">
        <f t="shared" si="40"/>
        <v/>
      </c>
      <c r="DV41" s="17" t="str">
        <f t="shared" si="40"/>
        <v/>
      </c>
      <c r="DW41" s="46" t="str">
        <f t="shared" si="40"/>
        <v/>
      </c>
      <c r="DX41" s="17" t="str">
        <f t="shared" si="40"/>
        <v/>
      </c>
      <c r="DY41" s="46" t="str">
        <f t="shared" si="40"/>
        <v/>
      </c>
      <c r="DZ41" s="17" t="str">
        <f t="shared" si="40"/>
        <v/>
      </c>
      <c r="EA41" s="46" t="str">
        <f t="shared" si="40"/>
        <v/>
      </c>
      <c r="EB41" s="17" t="str">
        <f t="shared" si="40"/>
        <v/>
      </c>
      <c r="EC41" s="46" t="str">
        <f t="shared" si="40"/>
        <v/>
      </c>
      <c r="ED41" s="17" t="str">
        <f t="shared" si="40"/>
        <v/>
      </c>
      <c r="EE41" s="46" t="str">
        <f t="shared" si="40"/>
        <v/>
      </c>
      <c r="EF41" s="17" t="str">
        <f t="shared" si="40"/>
        <v/>
      </c>
      <c r="EG41" s="46" t="str">
        <f t="shared" si="40"/>
        <v/>
      </c>
      <c r="EH41" s="17" t="str">
        <f t="shared" si="40"/>
        <v/>
      </c>
      <c r="EI41" s="46" t="str">
        <f t="shared" si="40"/>
        <v/>
      </c>
      <c r="EJ41" s="17" t="str">
        <f t="shared" si="40"/>
        <v/>
      </c>
      <c r="EK41" s="46" t="str">
        <f t="shared" si="40"/>
        <v/>
      </c>
      <c r="EL41" s="17" t="str">
        <f t="shared" si="40"/>
        <v/>
      </c>
      <c r="EM41" s="46" t="str">
        <f t="shared" si="40"/>
        <v/>
      </c>
      <c r="EN41" s="17" t="str">
        <f t="shared" si="40"/>
        <v/>
      </c>
      <c r="EO41" s="46" t="str">
        <f t="shared" si="40"/>
        <v/>
      </c>
      <c r="EP41" s="17" t="str">
        <f t="shared" si="40"/>
        <v/>
      </c>
    </row>
    <row r="42" ht="15.75" customHeight="1">
      <c r="A42" s="6" t="str">
        <f>Menus!B34</f>
        <v/>
      </c>
      <c r="B42" s="43">
        <f t="shared" si="11"/>
        <v>0</v>
      </c>
      <c r="C42" s="54" t="str">
        <f t="shared" ref="C42:EP42" si="41">IFERROR(
  LET(
    resultado,
      INDEX(
        INDIRECT($B$1),
        MATCH(RIGHT($A42, LEN($A42)-4), INDIRECT($B$3), 0),
        MATCH(C$1, INDIRECT($B$5), 0)
      ),
    IF(resultado="-", "", resultado) 
  ),
"")
</f>
        <v/>
      </c>
      <c r="D42" s="55" t="str">
        <f t="shared" si="41"/>
        <v/>
      </c>
      <c r="E42" s="46" t="str">
        <f t="shared" si="41"/>
        <v/>
      </c>
      <c r="F42" s="17" t="str">
        <f t="shared" si="41"/>
        <v/>
      </c>
      <c r="G42" s="46" t="str">
        <f t="shared" si="41"/>
        <v/>
      </c>
      <c r="H42" s="17" t="str">
        <f t="shared" si="41"/>
        <v/>
      </c>
      <c r="I42" s="46" t="str">
        <f t="shared" si="41"/>
        <v/>
      </c>
      <c r="J42" s="17" t="str">
        <f t="shared" si="41"/>
        <v/>
      </c>
      <c r="K42" s="46" t="str">
        <f t="shared" si="41"/>
        <v/>
      </c>
      <c r="L42" s="17" t="str">
        <f t="shared" si="41"/>
        <v/>
      </c>
      <c r="M42" s="46" t="str">
        <f t="shared" si="41"/>
        <v/>
      </c>
      <c r="N42" s="17" t="str">
        <f t="shared" si="41"/>
        <v/>
      </c>
      <c r="O42" s="46" t="str">
        <f t="shared" si="41"/>
        <v/>
      </c>
      <c r="P42" s="17" t="str">
        <f t="shared" si="41"/>
        <v/>
      </c>
      <c r="Q42" s="46" t="str">
        <f t="shared" si="41"/>
        <v/>
      </c>
      <c r="R42" s="17" t="str">
        <f t="shared" si="41"/>
        <v/>
      </c>
      <c r="S42" s="46" t="str">
        <f t="shared" si="41"/>
        <v/>
      </c>
      <c r="T42" s="17" t="str">
        <f t="shared" si="41"/>
        <v/>
      </c>
      <c r="U42" s="46" t="str">
        <f t="shared" si="41"/>
        <v/>
      </c>
      <c r="V42" s="17" t="str">
        <f t="shared" si="41"/>
        <v/>
      </c>
      <c r="W42" s="46" t="str">
        <f t="shared" si="41"/>
        <v/>
      </c>
      <c r="X42" s="17" t="str">
        <f t="shared" si="41"/>
        <v/>
      </c>
      <c r="Y42" s="46" t="str">
        <f t="shared" si="41"/>
        <v/>
      </c>
      <c r="Z42" s="17" t="str">
        <f t="shared" si="41"/>
        <v/>
      </c>
      <c r="AA42" s="46" t="str">
        <f t="shared" si="41"/>
        <v/>
      </c>
      <c r="AB42" s="17" t="str">
        <f t="shared" si="41"/>
        <v/>
      </c>
      <c r="AC42" s="46" t="str">
        <f t="shared" si="41"/>
        <v/>
      </c>
      <c r="AD42" s="17" t="str">
        <f t="shared" si="41"/>
        <v/>
      </c>
      <c r="AE42" s="46" t="str">
        <f t="shared" si="41"/>
        <v/>
      </c>
      <c r="AF42" s="17" t="str">
        <f t="shared" si="41"/>
        <v/>
      </c>
      <c r="AG42" s="46" t="str">
        <f t="shared" si="41"/>
        <v/>
      </c>
      <c r="AH42" s="17" t="str">
        <f t="shared" si="41"/>
        <v/>
      </c>
      <c r="AI42" s="46" t="str">
        <f t="shared" si="41"/>
        <v/>
      </c>
      <c r="AJ42" s="17" t="str">
        <f t="shared" si="41"/>
        <v/>
      </c>
      <c r="AK42" s="46" t="str">
        <f t="shared" si="41"/>
        <v/>
      </c>
      <c r="AL42" s="17" t="str">
        <f t="shared" si="41"/>
        <v/>
      </c>
      <c r="AM42" s="46" t="str">
        <f t="shared" si="41"/>
        <v/>
      </c>
      <c r="AN42" s="17" t="str">
        <f t="shared" si="41"/>
        <v/>
      </c>
      <c r="AO42" s="46" t="str">
        <f t="shared" si="41"/>
        <v/>
      </c>
      <c r="AP42" s="17" t="str">
        <f t="shared" si="41"/>
        <v/>
      </c>
      <c r="AQ42" s="46" t="str">
        <f t="shared" si="41"/>
        <v/>
      </c>
      <c r="AR42" s="17" t="str">
        <f t="shared" si="41"/>
        <v/>
      </c>
      <c r="AS42" s="46" t="str">
        <f t="shared" si="41"/>
        <v/>
      </c>
      <c r="AT42" s="17" t="str">
        <f t="shared" si="41"/>
        <v/>
      </c>
      <c r="AU42" s="46" t="str">
        <f t="shared" si="41"/>
        <v/>
      </c>
      <c r="AV42" s="17" t="str">
        <f t="shared" si="41"/>
        <v/>
      </c>
      <c r="AW42" s="46" t="str">
        <f t="shared" si="41"/>
        <v/>
      </c>
      <c r="AX42" s="17" t="str">
        <f t="shared" si="41"/>
        <v/>
      </c>
      <c r="AY42" s="46" t="str">
        <f t="shared" si="41"/>
        <v/>
      </c>
      <c r="AZ42" s="17" t="str">
        <f t="shared" si="41"/>
        <v/>
      </c>
      <c r="BA42" s="46" t="str">
        <f t="shared" si="41"/>
        <v/>
      </c>
      <c r="BB42" s="17" t="str">
        <f t="shared" si="41"/>
        <v/>
      </c>
      <c r="BC42" s="46" t="str">
        <f t="shared" si="41"/>
        <v/>
      </c>
      <c r="BD42" s="17" t="str">
        <f t="shared" si="41"/>
        <v/>
      </c>
      <c r="BE42" s="46" t="str">
        <f t="shared" si="41"/>
        <v/>
      </c>
      <c r="BF42" s="17" t="str">
        <f t="shared" si="41"/>
        <v/>
      </c>
      <c r="BG42" s="46" t="str">
        <f t="shared" si="41"/>
        <v/>
      </c>
      <c r="BH42" s="17" t="str">
        <f t="shared" si="41"/>
        <v/>
      </c>
      <c r="BI42" s="46" t="str">
        <f t="shared" si="41"/>
        <v/>
      </c>
      <c r="BJ42" s="17" t="str">
        <f t="shared" si="41"/>
        <v/>
      </c>
      <c r="BK42" s="46" t="str">
        <f t="shared" si="41"/>
        <v/>
      </c>
      <c r="BL42" s="17" t="str">
        <f t="shared" si="41"/>
        <v/>
      </c>
      <c r="BM42" s="46" t="str">
        <f t="shared" si="41"/>
        <v/>
      </c>
      <c r="BN42" s="17" t="str">
        <f t="shared" si="41"/>
        <v/>
      </c>
      <c r="BO42" s="46" t="str">
        <f t="shared" si="41"/>
        <v/>
      </c>
      <c r="BP42" s="17" t="str">
        <f t="shared" si="41"/>
        <v/>
      </c>
      <c r="BQ42" s="46" t="str">
        <f t="shared" si="41"/>
        <v/>
      </c>
      <c r="BR42" s="17" t="str">
        <f t="shared" si="41"/>
        <v/>
      </c>
      <c r="BS42" s="46" t="str">
        <f t="shared" si="41"/>
        <v/>
      </c>
      <c r="BT42" s="17" t="str">
        <f t="shared" si="41"/>
        <v/>
      </c>
      <c r="BU42" s="46" t="str">
        <f t="shared" si="41"/>
        <v/>
      </c>
      <c r="BV42" s="17" t="str">
        <f t="shared" si="41"/>
        <v/>
      </c>
      <c r="BW42" s="46" t="str">
        <f t="shared" si="41"/>
        <v/>
      </c>
      <c r="BX42" s="17" t="str">
        <f t="shared" si="41"/>
        <v/>
      </c>
      <c r="BY42" s="46" t="str">
        <f t="shared" si="41"/>
        <v/>
      </c>
      <c r="BZ42" s="17" t="str">
        <f t="shared" si="41"/>
        <v/>
      </c>
      <c r="CA42" s="46" t="str">
        <f t="shared" si="41"/>
        <v/>
      </c>
      <c r="CB42" s="17" t="str">
        <f t="shared" si="41"/>
        <v/>
      </c>
      <c r="CC42" s="46" t="str">
        <f t="shared" si="41"/>
        <v/>
      </c>
      <c r="CD42" s="17" t="str">
        <f t="shared" si="41"/>
        <v/>
      </c>
      <c r="CE42" s="46" t="str">
        <f t="shared" si="41"/>
        <v/>
      </c>
      <c r="CF42" s="17" t="str">
        <f t="shared" si="41"/>
        <v/>
      </c>
      <c r="CG42" s="46" t="str">
        <f t="shared" si="41"/>
        <v/>
      </c>
      <c r="CH42" s="17" t="str">
        <f t="shared" si="41"/>
        <v/>
      </c>
      <c r="CI42" s="46" t="str">
        <f t="shared" si="41"/>
        <v/>
      </c>
      <c r="CJ42" s="17" t="str">
        <f t="shared" si="41"/>
        <v/>
      </c>
      <c r="CK42" s="46" t="str">
        <f t="shared" si="41"/>
        <v/>
      </c>
      <c r="CL42" s="17" t="str">
        <f t="shared" si="41"/>
        <v/>
      </c>
      <c r="CM42" s="46" t="str">
        <f t="shared" si="41"/>
        <v/>
      </c>
      <c r="CN42" s="17" t="str">
        <f t="shared" si="41"/>
        <v/>
      </c>
      <c r="CO42" s="46" t="str">
        <f t="shared" si="41"/>
        <v/>
      </c>
      <c r="CP42" s="17" t="str">
        <f t="shared" si="41"/>
        <v/>
      </c>
      <c r="CQ42" s="46" t="str">
        <f t="shared" si="41"/>
        <v/>
      </c>
      <c r="CR42" s="17" t="str">
        <f t="shared" si="41"/>
        <v/>
      </c>
      <c r="CS42" s="46" t="str">
        <f t="shared" si="41"/>
        <v/>
      </c>
      <c r="CT42" s="17" t="str">
        <f t="shared" si="41"/>
        <v/>
      </c>
      <c r="CU42" s="46" t="str">
        <f t="shared" si="41"/>
        <v/>
      </c>
      <c r="CV42" s="17" t="str">
        <f t="shared" si="41"/>
        <v/>
      </c>
      <c r="CW42" s="46" t="str">
        <f t="shared" si="41"/>
        <v/>
      </c>
      <c r="CX42" s="17" t="str">
        <f t="shared" si="41"/>
        <v/>
      </c>
      <c r="CY42" s="46" t="str">
        <f t="shared" si="41"/>
        <v/>
      </c>
      <c r="CZ42" s="17" t="str">
        <f t="shared" si="41"/>
        <v/>
      </c>
      <c r="DA42" s="46" t="str">
        <f t="shared" si="41"/>
        <v/>
      </c>
      <c r="DB42" s="17" t="str">
        <f t="shared" si="41"/>
        <v/>
      </c>
      <c r="DC42" s="46" t="str">
        <f t="shared" si="41"/>
        <v/>
      </c>
      <c r="DD42" s="17" t="str">
        <f t="shared" si="41"/>
        <v/>
      </c>
      <c r="DE42" s="46" t="str">
        <f t="shared" si="41"/>
        <v/>
      </c>
      <c r="DF42" s="17" t="str">
        <f t="shared" si="41"/>
        <v/>
      </c>
      <c r="DG42" s="46" t="str">
        <f t="shared" si="41"/>
        <v/>
      </c>
      <c r="DH42" s="17" t="str">
        <f t="shared" si="41"/>
        <v/>
      </c>
      <c r="DI42" s="46" t="str">
        <f t="shared" si="41"/>
        <v/>
      </c>
      <c r="DJ42" s="17" t="str">
        <f t="shared" si="41"/>
        <v/>
      </c>
      <c r="DK42" s="46" t="str">
        <f t="shared" si="41"/>
        <v/>
      </c>
      <c r="DL42" s="17" t="str">
        <f t="shared" si="41"/>
        <v/>
      </c>
      <c r="DM42" s="46" t="str">
        <f t="shared" si="41"/>
        <v/>
      </c>
      <c r="DN42" s="17" t="str">
        <f t="shared" si="41"/>
        <v/>
      </c>
      <c r="DO42" s="46" t="str">
        <f t="shared" si="41"/>
        <v/>
      </c>
      <c r="DP42" s="17" t="str">
        <f t="shared" si="41"/>
        <v/>
      </c>
      <c r="DQ42" s="46" t="str">
        <f t="shared" si="41"/>
        <v/>
      </c>
      <c r="DR42" s="17" t="str">
        <f t="shared" si="41"/>
        <v/>
      </c>
      <c r="DS42" s="46" t="str">
        <f t="shared" si="41"/>
        <v/>
      </c>
      <c r="DT42" s="17" t="str">
        <f t="shared" si="41"/>
        <v/>
      </c>
      <c r="DU42" s="46" t="str">
        <f t="shared" si="41"/>
        <v/>
      </c>
      <c r="DV42" s="17" t="str">
        <f t="shared" si="41"/>
        <v/>
      </c>
      <c r="DW42" s="46" t="str">
        <f t="shared" si="41"/>
        <v/>
      </c>
      <c r="DX42" s="17" t="str">
        <f t="shared" si="41"/>
        <v/>
      </c>
      <c r="DY42" s="46" t="str">
        <f t="shared" si="41"/>
        <v/>
      </c>
      <c r="DZ42" s="17" t="str">
        <f t="shared" si="41"/>
        <v/>
      </c>
      <c r="EA42" s="46" t="str">
        <f t="shared" si="41"/>
        <v/>
      </c>
      <c r="EB42" s="17" t="str">
        <f t="shared" si="41"/>
        <v/>
      </c>
      <c r="EC42" s="46" t="str">
        <f t="shared" si="41"/>
        <v/>
      </c>
      <c r="ED42" s="17" t="str">
        <f t="shared" si="41"/>
        <v/>
      </c>
      <c r="EE42" s="46" t="str">
        <f t="shared" si="41"/>
        <v/>
      </c>
      <c r="EF42" s="17" t="str">
        <f t="shared" si="41"/>
        <v/>
      </c>
      <c r="EG42" s="46" t="str">
        <f t="shared" si="41"/>
        <v/>
      </c>
      <c r="EH42" s="17" t="str">
        <f t="shared" si="41"/>
        <v/>
      </c>
      <c r="EI42" s="46" t="str">
        <f t="shared" si="41"/>
        <v/>
      </c>
      <c r="EJ42" s="17" t="str">
        <f t="shared" si="41"/>
        <v/>
      </c>
      <c r="EK42" s="46" t="str">
        <f t="shared" si="41"/>
        <v/>
      </c>
      <c r="EL42" s="17" t="str">
        <f t="shared" si="41"/>
        <v/>
      </c>
      <c r="EM42" s="46" t="str">
        <f t="shared" si="41"/>
        <v/>
      </c>
      <c r="EN42" s="17" t="str">
        <f t="shared" si="41"/>
        <v/>
      </c>
      <c r="EO42" s="46" t="str">
        <f t="shared" si="41"/>
        <v/>
      </c>
      <c r="EP42" s="17" t="str">
        <f t="shared" si="41"/>
        <v/>
      </c>
    </row>
    <row r="43" ht="15.75" hidden="1" customHeight="1">
      <c r="A43" s="6" t="str">
        <f>Menus!B36</f>
        <v/>
      </c>
      <c r="B43" s="43">
        <f t="shared" si="11"/>
        <v>0</v>
      </c>
      <c r="C43" s="54" t="str">
        <f t="shared" ref="C43:EP43" si="42">IFERROR(
  LET(
    resultado,
      INDEX(
        INDIRECT($B$1),
        MATCH(RIGHT($A43, LEN($A43)-4), INDIRECT($B$3), 0),
        MATCH(C$1, INDIRECT($B$5), 0)
      ),
    IF(resultado="-", "", resultado) 
  ),
"")
</f>
        <v/>
      </c>
      <c r="D43" s="55" t="str">
        <f t="shared" si="42"/>
        <v/>
      </c>
      <c r="E43" s="46" t="str">
        <f t="shared" si="42"/>
        <v/>
      </c>
      <c r="F43" s="17" t="str">
        <f t="shared" si="42"/>
        <v/>
      </c>
      <c r="G43" s="46" t="str">
        <f t="shared" si="42"/>
        <v/>
      </c>
      <c r="H43" s="17" t="str">
        <f t="shared" si="42"/>
        <v/>
      </c>
      <c r="I43" s="46" t="str">
        <f t="shared" si="42"/>
        <v/>
      </c>
      <c r="J43" s="17" t="str">
        <f t="shared" si="42"/>
        <v/>
      </c>
      <c r="K43" s="46" t="str">
        <f t="shared" si="42"/>
        <v/>
      </c>
      <c r="L43" s="17" t="str">
        <f t="shared" si="42"/>
        <v/>
      </c>
      <c r="M43" s="46" t="str">
        <f t="shared" si="42"/>
        <v/>
      </c>
      <c r="N43" s="17" t="str">
        <f t="shared" si="42"/>
        <v/>
      </c>
      <c r="O43" s="46" t="str">
        <f t="shared" si="42"/>
        <v/>
      </c>
      <c r="P43" s="17" t="str">
        <f t="shared" si="42"/>
        <v/>
      </c>
      <c r="Q43" s="46" t="str">
        <f t="shared" si="42"/>
        <v/>
      </c>
      <c r="R43" s="17" t="str">
        <f t="shared" si="42"/>
        <v/>
      </c>
      <c r="S43" s="46" t="str">
        <f t="shared" si="42"/>
        <v/>
      </c>
      <c r="T43" s="17" t="str">
        <f t="shared" si="42"/>
        <v/>
      </c>
      <c r="U43" s="46" t="str">
        <f t="shared" si="42"/>
        <v/>
      </c>
      <c r="V43" s="17" t="str">
        <f t="shared" si="42"/>
        <v/>
      </c>
      <c r="W43" s="46" t="str">
        <f t="shared" si="42"/>
        <v/>
      </c>
      <c r="X43" s="17" t="str">
        <f t="shared" si="42"/>
        <v/>
      </c>
      <c r="Y43" s="46" t="str">
        <f t="shared" si="42"/>
        <v/>
      </c>
      <c r="Z43" s="17" t="str">
        <f t="shared" si="42"/>
        <v/>
      </c>
      <c r="AA43" s="46" t="str">
        <f t="shared" si="42"/>
        <v/>
      </c>
      <c r="AB43" s="17" t="str">
        <f t="shared" si="42"/>
        <v/>
      </c>
      <c r="AC43" s="46" t="str">
        <f t="shared" si="42"/>
        <v/>
      </c>
      <c r="AD43" s="17" t="str">
        <f t="shared" si="42"/>
        <v/>
      </c>
      <c r="AE43" s="46" t="str">
        <f t="shared" si="42"/>
        <v/>
      </c>
      <c r="AF43" s="17" t="str">
        <f t="shared" si="42"/>
        <v/>
      </c>
      <c r="AG43" s="46" t="str">
        <f t="shared" si="42"/>
        <v/>
      </c>
      <c r="AH43" s="17" t="str">
        <f t="shared" si="42"/>
        <v/>
      </c>
      <c r="AI43" s="46" t="str">
        <f t="shared" si="42"/>
        <v/>
      </c>
      <c r="AJ43" s="17" t="str">
        <f t="shared" si="42"/>
        <v/>
      </c>
      <c r="AK43" s="46" t="str">
        <f t="shared" si="42"/>
        <v/>
      </c>
      <c r="AL43" s="17" t="str">
        <f t="shared" si="42"/>
        <v/>
      </c>
      <c r="AM43" s="46" t="str">
        <f t="shared" si="42"/>
        <v/>
      </c>
      <c r="AN43" s="17" t="str">
        <f t="shared" si="42"/>
        <v/>
      </c>
      <c r="AO43" s="46" t="str">
        <f t="shared" si="42"/>
        <v/>
      </c>
      <c r="AP43" s="17" t="str">
        <f t="shared" si="42"/>
        <v/>
      </c>
      <c r="AQ43" s="46" t="str">
        <f t="shared" si="42"/>
        <v/>
      </c>
      <c r="AR43" s="17" t="str">
        <f t="shared" si="42"/>
        <v/>
      </c>
      <c r="AS43" s="46" t="str">
        <f t="shared" si="42"/>
        <v/>
      </c>
      <c r="AT43" s="17" t="str">
        <f t="shared" si="42"/>
        <v/>
      </c>
      <c r="AU43" s="46" t="str">
        <f t="shared" si="42"/>
        <v/>
      </c>
      <c r="AV43" s="17" t="str">
        <f t="shared" si="42"/>
        <v/>
      </c>
      <c r="AW43" s="46" t="str">
        <f t="shared" si="42"/>
        <v/>
      </c>
      <c r="AX43" s="17" t="str">
        <f t="shared" si="42"/>
        <v/>
      </c>
      <c r="AY43" s="46" t="str">
        <f t="shared" si="42"/>
        <v/>
      </c>
      <c r="AZ43" s="17" t="str">
        <f t="shared" si="42"/>
        <v/>
      </c>
      <c r="BA43" s="46" t="str">
        <f t="shared" si="42"/>
        <v/>
      </c>
      <c r="BB43" s="17" t="str">
        <f t="shared" si="42"/>
        <v/>
      </c>
      <c r="BC43" s="46" t="str">
        <f t="shared" si="42"/>
        <v/>
      </c>
      <c r="BD43" s="17" t="str">
        <f t="shared" si="42"/>
        <v/>
      </c>
      <c r="BE43" s="46" t="str">
        <f t="shared" si="42"/>
        <v/>
      </c>
      <c r="BF43" s="17" t="str">
        <f t="shared" si="42"/>
        <v/>
      </c>
      <c r="BG43" s="46" t="str">
        <f t="shared" si="42"/>
        <v/>
      </c>
      <c r="BH43" s="17" t="str">
        <f t="shared" si="42"/>
        <v/>
      </c>
      <c r="BI43" s="46" t="str">
        <f t="shared" si="42"/>
        <v/>
      </c>
      <c r="BJ43" s="17" t="str">
        <f t="shared" si="42"/>
        <v/>
      </c>
      <c r="BK43" s="46" t="str">
        <f t="shared" si="42"/>
        <v/>
      </c>
      <c r="BL43" s="17" t="str">
        <f t="shared" si="42"/>
        <v/>
      </c>
      <c r="BM43" s="46" t="str">
        <f t="shared" si="42"/>
        <v/>
      </c>
      <c r="BN43" s="17" t="str">
        <f t="shared" si="42"/>
        <v/>
      </c>
      <c r="BO43" s="46" t="str">
        <f t="shared" si="42"/>
        <v/>
      </c>
      <c r="BP43" s="17" t="str">
        <f t="shared" si="42"/>
        <v/>
      </c>
      <c r="BQ43" s="46" t="str">
        <f t="shared" si="42"/>
        <v/>
      </c>
      <c r="BR43" s="17" t="str">
        <f t="shared" si="42"/>
        <v/>
      </c>
      <c r="BS43" s="46" t="str">
        <f t="shared" si="42"/>
        <v/>
      </c>
      <c r="BT43" s="17" t="str">
        <f t="shared" si="42"/>
        <v/>
      </c>
      <c r="BU43" s="46" t="str">
        <f t="shared" si="42"/>
        <v/>
      </c>
      <c r="BV43" s="17" t="str">
        <f t="shared" si="42"/>
        <v/>
      </c>
      <c r="BW43" s="46" t="str">
        <f t="shared" si="42"/>
        <v/>
      </c>
      <c r="BX43" s="17" t="str">
        <f t="shared" si="42"/>
        <v/>
      </c>
      <c r="BY43" s="46" t="str">
        <f t="shared" si="42"/>
        <v/>
      </c>
      <c r="BZ43" s="17" t="str">
        <f t="shared" si="42"/>
        <v/>
      </c>
      <c r="CA43" s="46" t="str">
        <f t="shared" si="42"/>
        <v/>
      </c>
      <c r="CB43" s="17" t="str">
        <f t="shared" si="42"/>
        <v/>
      </c>
      <c r="CC43" s="46" t="str">
        <f t="shared" si="42"/>
        <v/>
      </c>
      <c r="CD43" s="17" t="str">
        <f t="shared" si="42"/>
        <v/>
      </c>
      <c r="CE43" s="46" t="str">
        <f t="shared" si="42"/>
        <v/>
      </c>
      <c r="CF43" s="17" t="str">
        <f t="shared" si="42"/>
        <v/>
      </c>
      <c r="CG43" s="46" t="str">
        <f t="shared" si="42"/>
        <v/>
      </c>
      <c r="CH43" s="17" t="str">
        <f t="shared" si="42"/>
        <v/>
      </c>
      <c r="CI43" s="46" t="str">
        <f t="shared" si="42"/>
        <v/>
      </c>
      <c r="CJ43" s="17" t="str">
        <f t="shared" si="42"/>
        <v/>
      </c>
      <c r="CK43" s="46" t="str">
        <f t="shared" si="42"/>
        <v/>
      </c>
      <c r="CL43" s="17" t="str">
        <f t="shared" si="42"/>
        <v/>
      </c>
      <c r="CM43" s="46" t="str">
        <f t="shared" si="42"/>
        <v/>
      </c>
      <c r="CN43" s="17" t="str">
        <f t="shared" si="42"/>
        <v/>
      </c>
      <c r="CO43" s="46" t="str">
        <f t="shared" si="42"/>
        <v/>
      </c>
      <c r="CP43" s="17" t="str">
        <f t="shared" si="42"/>
        <v/>
      </c>
      <c r="CQ43" s="46" t="str">
        <f t="shared" si="42"/>
        <v/>
      </c>
      <c r="CR43" s="17" t="str">
        <f t="shared" si="42"/>
        <v/>
      </c>
      <c r="CS43" s="46" t="str">
        <f t="shared" si="42"/>
        <v/>
      </c>
      <c r="CT43" s="17" t="str">
        <f t="shared" si="42"/>
        <v/>
      </c>
      <c r="CU43" s="46" t="str">
        <f t="shared" si="42"/>
        <v/>
      </c>
      <c r="CV43" s="17" t="str">
        <f t="shared" si="42"/>
        <v/>
      </c>
      <c r="CW43" s="46" t="str">
        <f t="shared" si="42"/>
        <v/>
      </c>
      <c r="CX43" s="17" t="str">
        <f t="shared" si="42"/>
        <v/>
      </c>
      <c r="CY43" s="46" t="str">
        <f t="shared" si="42"/>
        <v/>
      </c>
      <c r="CZ43" s="17" t="str">
        <f t="shared" si="42"/>
        <v/>
      </c>
      <c r="DA43" s="46" t="str">
        <f t="shared" si="42"/>
        <v/>
      </c>
      <c r="DB43" s="17" t="str">
        <f t="shared" si="42"/>
        <v/>
      </c>
      <c r="DC43" s="46" t="str">
        <f t="shared" si="42"/>
        <v/>
      </c>
      <c r="DD43" s="17" t="str">
        <f t="shared" si="42"/>
        <v/>
      </c>
      <c r="DE43" s="46" t="str">
        <f t="shared" si="42"/>
        <v/>
      </c>
      <c r="DF43" s="17" t="str">
        <f t="shared" si="42"/>
        <v/>
      </c>
      <c r="DG43" s="46" t="str">
        <f t="shared" si="42"/>
        <v/>
      </c>
      <c r="DH43" s="17" t="str">
        <f t="shared" si="42"/>
        <v/>
      </c>
      <c r="DI43" s="46" t="str">
        <f t="shared" si="42"/>
        <v/>
      </c>
      <c r="DJ43" s="17" t="str">
        <f t="shared" si="42"/>
        <v/>
      </c>
      <c r="DK43" s="46" t="str">
        <f t="shared" si="42"/>
        <v/>
      </c>
      <c r="DL43" s="17" t="str">
        <f t="shared" si="42"/>
        <v/>
      </c>
      <c r="DM43" s="46" t="str">
        <f t="shared" si="42"/>
        <v/>
      </c>
      <c r="DN43" s="17" t="str">
        <f t="shared" si="42"/>
        <v/>
      </c>
      <c r="DO43" s="46" t="str">
        <f t="shared" si="42"/>
        <v/>
      </c>
      <c r="DP43" s="17" t="str">
        <f t="shared" si="42"/>
        <v/>
      </c>
      <c r="DQ43" s="46" t="str">
        <f t="shared" si="42"/>
        <v/>
      </c>
      <c r="DR43" s="17" t="str">
        <f t="shared" si="42"/>
        <v/>
      </c>
      <c r="DS43" s="46" t="str">
        <f t="shared" si="42"/>
        <v/>
      </c>
      <c r="DT43" s="17" t="str">
        <f t="shared" si="42"/>
        <v/>
      </c>
      <c r="DU43" s="46" t="str">
        <f t="shared" si="42"/>
        <v/>
      </c>
      <c r="DV43" s="17" t="str">
        <f t="shared" si="42"/>
        <v/>
      </c>
      <c r="DW43" s="46" t="str">
        <f t="shared" si="42"/>
        <v/>
      </c>
      <c r="DX43" s="17" t="str">
        <f t="shared" si="42"/>
        <v/>
      </c>
      <c r="DY43" s="46" t="str">
        <f t="shared" si="42"/>
        <v/>
      </c>
      <c r="DZ43" s="17" t="str">
        <f t="shared" si="42"/>
        <v/>
      </c>
      <c r="EA43" s="46" t="str">
        <f t="shared" si="42"/>
        <v/>
      </c>
      <c r="EB43" s="17" t="str">
        <f t="shared" si="42"/>
        <v/>
      </c>
      <c r="EC43" s="46" t="str">
        <f t="shared" si="42"/>
        <v/>
      </c>
      <c r="ED43" s="17" t="str">
        <f t="shared" si="42"/>
        <v/>
      </c>
      <c r="EE43" s="46" t="str">
        <f t="shared" si="42"/>
        <v/>
      </c>
      <c r="EF43" s="17" t="str">
        <f t="shared" si="42"/>
        <v/>
      </c>
      <c r="EG43" s="46" t="str">
        <f t="shared" si="42"/>
        <v/>
      </c>
      <c r="EH43" s="17" t="str">
        <f t="shared" si="42"/>
        <v/>
      </c>
      <c r="EI43" s="46" t="str">
        <f t="shared" si="42"/>
        <v/>
      </c>
      <c r="EJ43" s="17" t="str">
        <f t="shared" si="42"/>
        <v/>
      </c>
      <c r="EK43" s="46" t="str">
        <f t="shared" si="42"/>
        <v/>
      </c>
      <c r="EL43" s="17" t="str">
        <f t="shared" si="42"/>
        <v/>
      </c>
      <c r="EM43" s="46" t="str">
        <f t="shared" si="42"/>
        <v/>
      </c>
      <c r="EN43" s="17" t="str">
        <f t="shared" si="42"/>
        <v/>
      </c>
      <c r="EO43" s="46" t="str">
        <f t="shared" si="42"/>
        <v/>
      </c>
      <c r="EP43" s="17" t="str">
        <f t="shared" si="42"/>
        <v/>
      </c>
    </row>
    <row r="44" ht="15.75" hidden="1" customHeight="1">
      <c r="A44" s="6" t="str">
        <f>Menus!B37</f>
        <v/>
      </c>
      <c r="B44" s="43">
        <f t="shared" si="11"/>
        <v>0</v>
      </c>
      <c r="C44" s="54" t="str">
        <f t="shared" ref="C44:EP44" si="43">IFERROR(
  LET(
    resultado,
      INDEX(
        INDIRECT($B$1),
        MATCH(RIGHT($A44, LEN($A44)-4), INDIRECT($B$3), 0),
        MATCH(C$1, INDIRECT($B$5), 0)
      ),
    IF(resultado="-", "", resultado) 
  ),
"")
</f>
        <v/>
      </c>
      <c r="D44" s="55" t="str">
        <f t="shared" si="43"/>
        <v/>
      </c>
      <c r="E44" s="46" t="str">
        <f t="shared" si="43"/>
        <v/>
      </c>
      <c r="F44" s="17" t="str">
        <f t="shared" si="43"/>
        <v/>
      </c>
      <c r="G44" s="46" t="str">
        <f t="shared" si="43"/>
        <v/>
      </c>
      <c r="H44" s="17" t="str">
        <f t="shared" si="43"/>
        <v/>
      </c>
      <c r="I44" s="46" t="str">
        <f t="shared" si="43"/>
        <v/>
      </c>
      <c r="J44" s="17" t="str">
        <f t="shared" si="43"/>
        <v/>
      </c>
      <c r="K44" s="46" t="str">
        <f t="shared" si="43"/>
        <v/>
      </c>
      <c r="L44" s="17" t="str">
        <f t="shared" si="43"/>
        <v/>
      </c>
      <c r="M44" s="46" t="str">
        <f t="shared" si="43"/>
        <v/>
      </c>
      <c r="N44" s="17" t="str">
        <f t="shared" si="43"/>
        <v/>
      </c>
      <c r="O44" s="46" t="str">
        <f t="shared" si="43"/>
        <v/>
      </c>
      <c r="P44" s="17" t="str">
        <f t="shared" si="43"/>
        <v/>
      </c>
      <c r="Q44" s="46" t="str">
        <f t="shared" si="43"/>
        <v/>
      </c>
      <c r="R44" s="17" t="str">
        <f t="shared" si="43"/>
        <v/>
      </c>
      <c r="S44" s="46" t="str">
        <f t="shared" si="43"/>
        <v/>
      </c>
      <c r="T44" s="17" t="str">
        <f t="shared" si="43"/>
        <v/>
      </c>
      <c r="U44" s="46" t="str">
        <f t="shared" si="43"/>
        <v/>
      </c>
      <c r="V44" s="17" t="str">
        <f t="shared" si="43"/>
        <v/>
      </c>
      <c r="W44" s="46" t="str">
        <f t="shared" si="43"/>
        <v/>
      </c>
      <c r="X44" s="17" t="str">
        <f t="shared" si="43"/>
        <v/>
      </c>
      <c r="Y44" s="46" t="str">
        <f t="shared" si="43"/>
        <v/>
      </c>
      <c r="Z44" s="17" t="str">
        <f t="shared" si="43"/>
        <v/>
      </c>
      <c r="AA44" s="46" t="str">
        <f t="shared" si="43"/>
        <v/>
      </c>
      <c r="AB44" s="17" t="str">
        <f t="shared" si="43"/>
        <v/>
      </c>
      <c r="AC44" s="46" t="str">
        <f t="shared" si="43"/>
        <v/>
      </c>
      <c r="AD44" s="17" t="str">
        <f t="shared" si="43"/>
        <v/>
      </c>
      <c r="AE44" s="46" t="str">
        <f t="shared" si="43"/>
        <v/>
      </c>
      <c r="AF44" s="17" t="str">
        <f t="shared" si="43"/>
        <v/>
      </c>
      <c r="AG44" s="46" t="str">
        <f t="shared" si="43"/>
        <v/>
      </c>
      <c r="AH44" s="17" t="str">
        <f t="shared" si="43"/>
        <v/>
      </c>
      <c r="AI44" s="46" t="str">
        <f t="shared" si="43"/>
        <v/>
      </c>
      <c r="AJ44" s="17" t="str">
        <f t="shared" si="43"/>
        <v/>
      </c>
      <c r="AK44" s="46" t="str">
        <f t="shared" si="43"/>
        <v/>
      </c>
      <c r="AL44" s="17" t="str">
        <f t="shared" si="43"/>
        <v/>
      </c>
      <c r="AM44" s="46" t="str">
        <f t="shared" si="43"/>
        <v/>
      </c>
      <c r="AN44" s="17" t="str">
        <f t="shared" si="43"/>
        <v/>
      </c>
      <c r="AO44" s="46" t="str">
        <f t="shared" si="43"/>
        <v/>
      </c>
      <c r="AP44" s="17" t="str">
        <f t="shared" si="43"/>
        <v/>
      </c>
      <c r="AQ44" s="46" t="str">
        <f t="shared" si="43"/>
        <v/>
      </c>
      <c r="AR44" s="17" t="str">
        <f t="shared" si="43"/>
        <v/>
      </c>
      <c r="AS44" s="46" t="str">
        <f t="shared" si="43"/>
        <v/>
      </c>
      <c r="AT44" s="17" t="str">
        <f t="shared" si="43"/>
        <v/>
      </c>
      <c r="AU44" s="46" t="str">
        <f t="shared" si="43"/>
        <v/>
      </c>
      <c r="AV44" s="17" t="str">
        <f t="shared" si="43"/>
        <v/>
      </c>
      <c r="AW44" s="46" t="str">
        <f t="shared" si="43"/>
        <v/>
      </c>
      <c r="AX44" s="17" t="str">
        <f t="shared" si="43"/>
        <v/>
      </c>
      <c r="AY44" s="46" t="str">
        <f t="shared" si="43"/>
        <v/>
      </c>
      <c r="AZ44" s="17" t="str">
        <f t="shared" si="43"/>
        <v/>
      </c>
      <c r="BA44" s="46" t="str">
        <f t="shared" si="43"/>
        <v/>
      </c>
      <c r="BB44" s="17" t="str">
        <f t="shared" si="43"/>
        <v/>
      </c>
      <c r="BC44" s="46" t="str">
        <f t="shared" si="43"/>
        <v/>
      </c>
      <c r="BD44" s="17" t="str">
        <f t="shared" si="43"/>
        <v/>
      </c>
      <c r="BE44" s="46" t="str">
        <f t="shared" si="43"/>
        <v/>
      </c>
      <c r="BF44" s="17" t="str">
        <f t="shared" si="43"/>
        <v/>
      </c>
      <c r="BG44" s="46" t="str">
        <f t="shared" si="43"/>
        <v/>
      </c>
      <c r="BH44" s="17" t="str">
        <f t="shared" si="43"/>
        <v/>
      </c>
      <c r="BI44" s="46" t="str">
        <f t="shared" si="43"/>
        <v/>
      </c>
      <c r="BJ44" s="17" t="str">
        <f t="shared" si="43"/>
        <v/>
      </c>
      <c r="BK44" s="46" t="str">
        <f t="shared" si="43"/>
        <v/>
      </c>
      <c r="BL44" s="17" t="str">
        <f t="shared" si="43"/>
        <v/>
      </c>
      <c r="BM44" s="46" t="str">
        <f t="shared" si="43"/>
        <v/>
      </c>
      <c r="BN44" s="17" t="str">
        <f t="shared" si="43"/>
        <v/>
      </c>
      <c r="BO44" s="46" t="str">
        <f t="shared" si="43"/>
        <v/>
      </c>
      <c r="BP44" s="17" t="str">
        <f t="shared" si="43"/>
        <v/>
      </c>
      <c r="BQ44" s="46" t="str">
        <f t="shared" si="43"/>
        <v/>
      </c>
      <c r="BR44" s="17" t="str">
        <f t="shared" si="43"/>
        <v/>
      </c>
      <c r="BS44" s="46" t="str">
        <f t="shared" si="43"/>
        <v/>
      </c>
      <c r="BT44" s="17" t="str">
        <f t="shared" si="43"/>
        <v/>
      </c>
      <c r="BU44" s="46" t="str">
        <f t="shared" si="43"/>
        <v/>
      </c>
      <c r="BV44" s="17" t="str">
        <f t="shared" si="43"/>
        <v/>
      </c>
      <c r="BW44" s="46" t="str">
        <f t="shared" si="43"/>
        <v/>
      </c>
      <c r="BX44" s="17" t="str">
        <f t="shared" si="43"/>
        <v/>
      </c>
      <c r="BY44" s="46" t="str">
        <f t="shared" si="43"/>
        <v/>
      </c>
      <c r="BZ44" s="17" t="str">
        <f t="shared" si="43"/>
        <v/>
      </c>
      <c r="CA44" s="46" t="str">
        <f t="shared" si="43"/>
        <v/>
      </c>
      <c r="CB44" s="17" t="str">
        <f t="shared" si="43"/>
        <v/>
      </c>
      <c r="CC44" s="46" t="str">
        <f t="shared" si="43"/>
        <v/>
      </c>
      <c r="CD44" s="17" t="str">
        <f t="shared" si="43"/>
        <v/>
      </c>
      <c r="CE44" s="46" t="str">
        <f t="shared" si="43"/>
        <v/>
      </c>
      <c r="CF44" s="17" t="str">
        <f t="shared" si="43"/>
        <v/>
      </c>
      <c r="CG44" s="46" t="str">
        <f t="shared" si="43"/>
        <v/>
      </c>
      <c r="CH44" s="17" t="str">
        <f t="shared" si="43"/>
        <v/>
      </c>
      <c r="CI44" s="46" t="str">
        <f t="shared" si="43"/>
        <v/>
      </c>
      <c r="CJ44" s="17" t="str">
        <f t="shared" si="43"/>
        <v/>
      </c>
      <c r="CK44" s="46" t="str">
        <f t="shared" si="43"/>
        <v/>
      </c>
      <c r="CL44" s="17" t="str">
        <f t="shared" si="43"/>
        <v/>
      </c>
      <c r="CM44" s="46" t="str">
        <f t="shared" si="43"/>
        <v/>
      </c>
      <c r="CN44" s="17" t="str">
        <f t="shared" si="43"/>
        <v/>
      </c>
      <c r="CO44" s="46" t="str">
        <f t="shared" si="43"/>
        <v/>
      </c>
      <c r="CP44" s="17" t="str">
        <f t="shared" si="43"/>
        <v/>
      </c>
      <c r="CQ44" s="46" t="str">
        <f t="shared" si="43"/>
        <v/>
      </c>
      <c r="CR44" s="17" t="str">
        <f t="shared" si="43"/>
        <v/>
      </c>
      <c r="CS44" s="46" t="str">
        <f t="shared" si="43"/>
        <v/>
      </c>
      <c r="CT44" s="17" t="str">
        <f t="shared" si="43"/>
        <v/>
      </c>
      <c r="CU44" s="46" t="str">
        <f t="shared" si="43"/>
        <v/>
      </c>
      <c r="CV44" s="17" t="str">
        <f t="shared" si="43"/>
        <v/>
      </c>
      <c r="CW44" s="46" t="str">
        <f t="shared" si="43"/>
        <v/>
      </c>
      <c r="CX44" s="17" t="str">
        <f t="shared" si="43"/>
        <v/>
      </c>
      <c r="CY44" s="46" t="str">
        <f t="shared" si="43"/>
        <v/>
      </c>
      <c r="CZ44" s="17" t="str">
        <f t="shared" si="43"/>
        <v/>
      </c>
      <c r="DA44" s="46" t="str">
        <f t="shared" si="43"/>
        <v/>
      </c>
      <c r="DB44" s="17" t="str">
        <f t="shared" si="43"/>
        <v/>
      </c>
      <c r="DC44" s="46" t="str">
        <f t="shared" si="43"/>
        <v/>
      </c>
      <c r="DD44" s="17" t="str">
        <f t="shared" si="43"/>
        <v/>
      </c>
      <c r="DE44" s="46" t="str">
        <f t="shared" si="43"/>
        <v/>
      </c>
      <c r="DF44" s="17" t="str">
        <f t="shared" si="43"/>
        <v/>
      </c>
      <c r="DG44" s="46" t="str">
        <f t="shared" si="43"/>
        <v/>
      </c>
      <c r="DH44" s="17" t="str">
        <f t="shared" si="43"/>
        <v/>
      </c>
      <c r="DI44" s="46" t="str">
        <f t="shared" si="43"/>
        <v/>
      </c>
      <c r="DJ44" s="17" t="str">
        <f t="shared" si="43"/>
        <v/>
      </c>
      <c r="DK44" s="46" t="str">
        <f t="shared" si="43"/>
        <v/>
      </c>
      <c r="DL44" s="17" t="str">
        <f t="shared" si="43"/>
        <v/>
      </c>
      <c r="DM44" s="46" t="str">
        <f t="shared" si="43"/>
        <v/>
      </c>
      <c r="DN44" s="17" t="str">
        <f t="shared" si="43"/>
        <v/>
      </c>
      <c r="DO44" s="46" t="str">
        <f t="shared" si="43"/>
        <v/>
      </c>
      <c r="DP44" s="17" t="str">
        <f t="shared" si="43"/>
        <v/>
      </c>
      <c r="DQ44" s="46" t="str">
        <f t="shared" si="43"/>
        <v/>
      </c>
      <c r="DR44" s="17" t="str">
        <f t="shared" si="43"/>
        <v/>
      </c>
      <c r="DS44" s="46" t="str">
        <f t="shared" si="43"/>
        <v/>
      </c>
      <c r="DT44" s="17" t="str">
        <f t="shared" si="43"/>
        <v/>
      </c>
      <c r="DU44" s="46" t="str">
        <f t="shared" si="43"/>
        <v/>
      </c>
      <c r="DV44" s="17" t="str">
        <f t="shared" si="43"/>
        <v/>
      </c>
      <c r="DW44" s="46" t="str">
        <f t="shared" si="43"/>
        <v/>
      </c>
      <c r="DX44" s="17" t="str">
        <f t="shared" si="43"/>
        <v/>
      </c>
      <c r="DY44" s="46" t="str">
        <f t="shared" si="43"/>
        <v/>
      </c>
      <c r="DZ44" s="17" t="str">
        <f t="shared" si="43"/>
        <v/>
      </c>
      <c r="EA44" s="46" t="str">
        <f t="shared" si="43"/>
        <v/>
      </c>
      <c r="EB44" s="17" t="str">
        <f t="shared" si="43"/>
        <v/>
      </c>
      <c r="EC44" s="46" t="str">
        <f t="shared" si="43"/>
        <v/>
      </c>
      <c r="ED44" s="17" t="str">
        <f t="shared" si="43"/>
        <v/>
      </c>
      <c r="EE44" s="46" t="str">
        <f t="shared" si="43"/>
        <v/>
      </c>
      <c r="EF44" s="17" t="str">
        <f t="shared" si="43"/>
        <v/>
      </c>
      <c r="EG44" s="46" t="str">
        <f t="shared" si="43"/>
        <v/>
      </c>
      <c r="EH44" s="17" t="str">
        <f t="shared" si="43"/>
        <v/>
      </c>
      <c r="EI44" s="46" t="str">
        <f t="shared" si="43"/>
        <v/>
      </c>
      <c r="EJ44" s="17" t="str">
        <f t="shared" si="43"/>
        <v/>
      </c>
      <c r="EK44" s="46" t="str">
        <f t="shared" si="43"/>
        <v/>
      </c>
      <c r="EL44" s="17" t="str">
        <f t="shared" si="43"/>
        <v/>
      </c>
      <c r="EM44" s="46" t="str">
        <f t="shared" si="43"/>
        <v/>
      </c>
      <c r="EN44" s="17" t="str">
        <f t="shared" si="43"/>
        <v/>
      </c>
      <c r="EO44" s="46" t="str">
        <f t="shared" si="43"/>
        <v/>
      </c>
      <c r="EP44" s="17" t="str">
        <f t="shared" si="43"/>
        <v/>
      </c>
    </row>
    <row r="45" ht="15.75" hidden="1" customHeight="1">
      <c r="A45" s="6" t="str">
        <f>Menus!B38</f>
        <v/>
      </c>
      <c r="B45" s="43">
        <f t="shared" si="11"/>
        <v>0</v>
      </c>
      <c r="C45" s="54" t="str">
        <f t="shared" ref="C45:EP45" si="44">IFERROR(
  LET(
    resultado,
      INDEX(
        INDIRECT($B$1),
        MATCH(RIGHT($A45, LEN($A45)-4), INDIRECT($B$3), 0),
        MATCH(C$1, INDIRECT($B$5), 0)
      ),
    IF(resultado="-", "", resultado) 
  ),
"")
</f>
        <v/>
      </c>
      <c r="D45" s="55" t="str">
        <f t="shared" si="44"/>
        <v/>
      </c>
      <c r="E45" s="46" t="str">
        <f t="shared" si="44"/>
        <v/>
      </c>
      <c r="F45" s="17" t="str">
        <f t="shared" si="44"/>
        <v/>
      </c>
      <c r="G45" s="46" t="str">
        <f t="shared" si="44"/>
        <v/>
      </c>
      <c r="H45" s="17" t="str">
        <f t="shared" si="44"/>
        <v/>
      </c>
      <c r="I45" s="46" t="str">
        <f t="shared" si="44"/>
        <v/>
      </c>
      <c r="J45" s="17" t="str">
        <f t="shared" si="44"/>
        <v/>
      </c>
      <c r="K45" s="46" t="str">
        <f t="shared" si="44"/>
        <v/>
      </c>
      <c r="L45" s="17" t="str">
        <f t="shared" si="44"/>
        <v/>
      </c>
      <c r="M45" s="46" t="str">
        <f t="shared" si="44"/>
        <v/>
      </c>
      <c r="N45" s="17" t="str">
        <f t="shared" si="44"/>
        <v/>
      </c>
      <c r="O45" s="46" t="str">
        <f t="shared" si="44"/>
        <v/>
      </c>
      <c r="P45" s="17" t="str">
        <f t="shared" si="44"/>
        <v/>
      </c>
      <c r="Q45" s="46" t="str">
        <f t="shared" si="44"/>
        <v/>
      </c>
      <c r="R45" s="17" t="str">
        <f t="shared" si="44"/>
        <v/>
      </c>
      <c r="S45" s="46" t="str">
        <f t="shared" si="44"/>
        <v/>
      </c>
      <c r="T45" s="17" t="str">
        <f t="shared" si="44"/>
        <v/>
      </c>
      <c r="U45" s="46" t="str">
        <f t="shared" si="44"/>
        <v/>
      </c>
      <c r="V45" s="17" t="str">
        <f t="shared" si="44"/>
        <v/>
      </c>
      <c r="W45" s="46" t="str">
        <f t="shared" si="44"/>
        <v/>
      </c>
      <c r="X45" s="17" t="str">
        <f t="shared" si="44"/>
        <v/>
      </c>
      <c r="Y45" s="46" t="str">
        <f t="shared" si="44"/>
        <v/>
      </c>
      <c r="Z45" s="17" t="str">
        <f t="shared" si="44"/>
        <v/>
      </c>
      <c r="AA45" s="46" t="str">
        <f t="shared" si="44"/>
        <v/>
      </c>
      <c r="AB45" s="17" t="str">
        <f t="shared" si="44"/>
        <v/>
      </c>
      <c r="AC45" s="46" t="str">
        <f t="shared" si="44"/>
        <v/>
      </c>
      <c r="AD45" s="17" t="str">
        <f t="shared" si="44"/>
        <v/>
      </c>
      <c r="AE45" s="46" t="str">
        <f t="shared" si="44"/>
        <v/>
      </c>
      <c r="AF45" s="17" t="str">
        <f t="shared" si="44"/>
        <v/>
      </c>
      <c r="AG45" s="46" t="str">
        <f t="shared" si="44"/>
        <v/>
      </c>
      <c r="AH45" s="17" t="str">
        <f t="shared" si="44"/>
        <v/>
      </c>
      <c r="AI45" s="46" t="str">
        <f t="shared" si="44"/>
        <v/>
      </c>
      <c r="AJ45" s="17" t="str">
        <f t="shared" si="44"/>
        <v/>
      </c>
      <c r="AK45" s="46" t="str">
        <f t="shared" si="44"/>
        <v/>
      </c>
      <c r="AL45" s="17" t="str">
        <f t="shared" si="44"/>
        <v/>
      </c>
      <c r="AM45" s="46" t="str">
        <f t="shared" si="44"/>
        <v/>
      </c>
      <c r="AN45" s="17" t="str">
        <f t="shared" si="44"/>
        <v/>
      </c>
      <c r="AO45" s="46" t="str">
        <f t="shared" si="44"/>
        <v/>
      </c>
      <c r="AP45" s="17" t="str">
        <f t="shared" si="44"/>
        <v/>
      </c>
      <c r="AQ45" s="46" t="str">
        <f t="shared" si="44"/>
        <v/>
      </c>
      <c r="AR45" s="17" t="str">
        <f t="shared" si="44"/>
        <v/>
      </c>
      <c r="AS45" s="46" t="str">
        <f t="shared" si="44"/>
        <v/>
      </c>
      <c r="AT45" s="17" t="str">
        <f t="shared" si="44"/>
        <v/>
      </c>
      <c r="AU45" s="46" t="str">
        <f t="shared" si="44"/>
        <v/>
      </c>
      <c r="AV45" s="17" t="str">
        <f t="shared" si="44"/>
        <v/>
      </c>
      <c r="AW45" s="46" t="str">
        <f t="shared" si="44"/>
        <v/>
      </c>
      <c r="AX45" s="17" t="str">
        <f t="shared" si="44"/>
        <v/>
      </c>
      <c r="AY45" s="46" t="str">
        <f t="shared" si="44"/>
        <v/>
      </c>
      <c r="AZ45" s="17" t="str">
        <f t="shared" si="44"/>
        <v/>
      </c>
      <c r="BA45" s="46" t="str">
        <f t="shared" si="44"/>
        <v/>
      </c>
      <c r="BB45" s="17" t="str">
        <f t="shared" si="44"/>
        <v/>
      </c>
      <c r="BC45" s="46" t="str">
        <f t="shared" si="44"/>
        <v/>
      </c>
      <c r="BD45" s="17" t="str">
        <f t="shared" si="44"/>
        <v/>
      </c>
      <c r="BE45" s="46" t="str">
        <f t="shared" si="44"/>
        <v/>
      </c>
      <c r="BF45" s="17" t="str">
        <f t="shared" si="44"/>
        <v/>
      </c>
      <c r="BG45" s="46" t="str">
        <f t="shared" si="44"/>
        <v/>
      </c>
      <c r="BH45" s="17" t="str">
        <f t="shared" si="44"/>
        <v/>
      </c>
      <c r="BI45" s="46" t="str">
        <f t="shared" si="44"/>
        <v/>
      </c>
      <c r="BJ45" s="17" t="str">
        <f t="shared" si="44"/>
        <v/>
      </c>
      <c r="BK45" s="46" t="str">
        <f t="shared" si="44"/>
        <v/>
      </c>
      <c r="BL45" s="17" t="str">
        <f t="shared" si="44"/>
        <v/>
      </c>
      <c r="BM45" s="46" t="str">
        <f t="shared" si="44"/>
        <v/>
      </c>
      <c r="BN45" s="17" t="str">
        <f t="shared" si="44"/>
        <v/>
      </c>
      <c r="BO45" s="46" t="str">
        <f t="shared" si="44"/>
        <v/>
      </c>
      <c r="BP45" s="17" t="str">
        <f t="shared" si="44"/>
        <v/>
      </c>
      <c r="BQ45" s="46" t="str">
        <f t="shared" si="44"/>
        <v/>
      </c>
      <c r="BR45" s="17" t="str">
        <f t="shared" si="44"/>
        <v/>
      </c>
      <c r="BS45" s="46" t="str">
        <f t="shared" si="44"/>
        <v/>
      </c>
      <c r="BT45" s="17" t="str">
        <f t="shared" si="44"/>
        <v/>
      </c>
      <c r="BU45" s="46" t="str">
        <f t="shared" si="44"/>
        <v/>
      </c>
      <c r="BV45" s="17" t="str">
        <f t="shared" si="44"/>
        <v/>
      </c>
      <c r="BW45" s="46" t="str">
        <f t="shared" si="44"/>
        <v/>
      </c>
      <c r="BX45" s="17" t="str">
        <f t="shared" si="44"/>
        <v/>
      </c>
      <c r="BY45" s="46" t="str">
        <f t="shared" si="44"/>
        <v/>
      </c>
      <c r="BZ45" s="17" t="str">
        <f t="shared" si="44"/>
        <v/>
      </c>
      <c r="CA45" s="46" t="str">
        <f t="shared" si="44"/>
        <v/>
      </c>
      <c r="CB45" s="17" t="str">
        <f t="shared" si="44"/>
        <v/>
      </c>
      <c r="CC45" s="46" t="str">
        <f t="shared" si="44"/>
        <v/>
      </c>
      <c r="CD45" s="17" t="str">
        <f t="shared" si="44"/>
        <v/>
      </c>
      <c r="CE45" s="46" t="str">
        <f t="shared" si="44"/>
        <v/>
      </c>
      <c r="CF45" s="17" t="str">
        <f t="shared" si="44"/>
        <v/>
      </c>
      <c r="CG45" s="46" t="str">
        <f t="shared" si="44"/>
        <v/>
      </c>
      <c r="CH45" s="17" t="str">
        <f t="shared" si="44"/>
        <v/>
      </c>
      <c r="CI45" s="46" t="str">
        <f t="shared" si="44"/>
        <v/>
      </c>
      <c r="CJ45" s="17" t="str">
        <f t="shared" si="44"/>
        <v/>
      </c>
      <c r="CK45" s="46" t="str">
        <f t="shared" si="44"/>
        <v/>
      </c>
      <c r="CL45" s="17" t="str">
        <f t="shared" si="44"/>
        <v/>
      </c>
      <c r="CM45" s="46" t="str">
        <f t="shared" si="44"/>
        <v/>
      </c>
      <c r="CN45" s="17" t="str">
        <f t="shared" si="44"/>
        <v/>
      </c>
      <c r="CO45" s="46" t="str">
        <f t="shared" si="44"/>
        <v/>
      </c>
      <c r="CP45" s="17" t="str">
        <f t="shared" si="44"/>
        <v/>
      </c>
      <c r="CQ45" s="46" t="str">
        <f t="shared" si="44"/>
        <v/>
      </c>
      <c r="CR45" s="17" t="str">
        <f t="shared" si="44"/>
        <v/>
      </c>
      <c r="CS45" s="46" t="str">
        <f t="shared" si="44"/>
        <v/>
      </c>
      <c r="CT45" s="17" t="str">
        <f t="shared" si="44"/>
        <v/>
      </c>
      <c r="CU45" s="46" t="str">
        <f t="shared" si="44"/>
        <v/>
      </c>
      <c r="CV45" s="17" t="str">
        <f t="shared" si="44"/>
        <v/>
      </c>
      <c r="CW45" s="46" t="str">
        <f t="shared" si="44"/>
        <v/>
      </c>
      <c r="CX45" s="17" t="str">
        <f t="shared" si="44"/>
        <v/>
      </c>
      <c r="CY45" s="46" t="str">
        <f t="shared" si="44"/>
        <v/>
      </c>
      <c r="CZ45" s="17" t="str">
        <f t="shared" si="44"/>
        <v/>
      </c>
      <c r="DA45" s="46" t="str">
        <f t="shared" si="44"/>
        <v/>
      </c>
      <c r="DB45" s="17" t="str">
        <f t="shared" si="44"/>
        <v/>
      </c>
      <c r="DC45" s="46" t="str">
        <f t="shared" si="44"/>
        <v/>
      </c>
      <c r="DD45" s="17" t="str">
        <f t="shared" si="44"/>
        <v/>
      </c>
      <c r="DE45" s="46" t="str">
        <f t="shared" si="44"/>
        <v/>
      </c>
      <c r="DF45" s="17" t="str">
        <f t="shared" si="44"/>
        <v/>
      </c>
      <c r="DG45" s="46" t="str">
        <f t="shared" si="44"/>
        <v/>
      </c>
      <c r="DH45" s="17" t="str">
        <f t="shared" si="44"/>
        <v/>
      </c>
      <c r="DI45" s="46" t="str">
        <f t="shared" si="44"/>
        <v/>
      </c>
      <c r="DJ45" s="17" t="str">
        <f t="shared" si="44"/>
        <v/>
      </c>
      <c r="DK45" s="46" t="str">
        <f t="shared" si="44"/>
        <v/>
      </c>
      <c r="DL45" s="17" t="str">
        <f t="shared" si="44"/>
        <v/>
      </c>
      <c r="DM45" s="46" t="str">
        <f t="shared" si="44"/>
        <v/>
      </c>
      <c r="DN45" s="17" t="str">
        <f t="shared" si="44"/>
        <v/>
      </c>
      <c r="DO45" s="46" t="str">
        <f t="shared" si="44"/>
        <v/>
      </c>
      <c r="DP45" s="17" t="str">
        <f t="shared" si="44"/>
        <v/>
      </c>
      <c r="DQ45" s="46" t="str">
        <f t="shared" si="44"/>
        <v/>
      </c>
      <c r="DR45" s="17" t="str">
        <f t="shared" si="44"/>
        <v/>
      </c>
      <c r="DS45" s="46" t="str">
        <f t="shared" si="44"/>
        <v/>
      </c>
      <c r="DT45" s="17" t="str">
        <f t="shared" si="44"/>
        <v/>
      </c>
      <c r="DU45" s="46" t="str">
        <f t="shared" si="44"/>
        <v/>
      </c>
      <c r="DV45" s="17" t="str">
        <f t="shared" si="44"/>
        <v/>
      </c>
      <c r="DW45" s="46" t="str">
        <f t="shared" si="44"/>
        <v/>
      </c>
      <c r="DX45" s="17" t="str">
        <f t="shared" si="44"/>
        <v/>
      </c>
      <c r="DY45" s="46" t="str">
        <f t="shared" si="44"/>
        <v/>
      </c>
      <c r="DZ45" s="17" t="str">
        <f t="shared" si="44"/>
        <v/>
      </c>
      <c r="EA45" s="46" t="str">
        <f t="shared" si="44"/>
        <v/>
      </c>
      <c r="EB45" s="17" t="str">
        <f t="shared" si="44"/>
        <v/>
      </c>
      <c r="EC45" s="46" t="str">
        <f t="shared" si="44"/>
        <v/>
      </c>
      <c r="ED45" s="17" t="str">
        <f t="shared" si="44"/>
        <v/>
      </c>
      <c r="EE45" s="46" t="str">
        <f t="shared" si="44"/>
        <v/>
      </c>
      <c r="EF45" s="17" t="str">
        <f t="shared" si="44"/>
        <v/>
      </c>
      <c r="EG45" s="46" t="str">
        <f t="shared" si="44"/>
        <v/>
      </c>
      <c r="EH45" s="17" t="str">
        <f t="shared" si="44"/>
        <v/>
      </c>
      <c r="EI45" s="46" t="str">
        <f t="shared" si="44"/>
        <v/>
      </c>
      <c r="EJ45" s="17" t="str">
        <f t="shared" si="44"/>
        <v/>
      </c>
      <c r="EK45" s="46" t="str">
        <f t="shared" si="44"/>
        <v/>
      </c>
      <c r="EL45" s="17" t="str">
        <f t="shared" si="44"/>
        <v/>
      </c>
      <c r="EM45" s="46" t="str">
        <f t="shared" si="44"/>
        <v/>
      </c>
      <c r="EN45" s="17" t="str">
        <f t="shared" si="44"/>
        <v/>
      </c>
      <c r="EO45" s="46" t="str">
        <f t="shared" si="44"/>
        <v/>
      </c>
      <c r="EP45" s="17" t="str">
        <f t="shared" si="44"/>
        <v/>
      </c>
    </row>
    <row r="46" ht="15.75" hidden="1" customHeight="1">
      <c r="A46" s="6" t="str">
        <f>Menus!B39</f>
        <v/>
      </c>
      <c r="B46" s="43">
        <f t="shared" si="11"/>
        <v>0</v>
      </c>
      <c r="C46" s="54" t="str">
        <f t="shared" ref="C46:EP46" si="45">IFERROR(
  LET(
    resultado,
      INDEX(
        INDIRECT($B$1),
        MATCH(RIGHT($A46, LEN($A46)-4), INDIRECT($B$3), 0),
        MATCH(C$1, INDIRECT($B$5), 0)
      ),
    IF(resultado="-", "", resultado) 
  ),
"")
</f>
        <v/>
      </c>
      <c r="D46" s="55" t="str">
        <f t="shared" si="45"/>
        <v/>
      </c>
      <c r="E46" s="46" t="str">
        <f t="shared" si="45"/>
        <v/>
      </c>
      <c r="F46" s="17" t="str">
        <f t="shared" si="45"/>
        <v/>
      </c>
      <c r="G46" s="46" t="str">
        <f t="shared" si="45"/>
        <v/>
      </c>
      <c r="H46" s="17" t="str">
        <f t="shared" si="45"/>
        <v/>
      </c>
      <c r="I46" s="46" t="str">
        <f t="shared" si="45"/>
        <v/>
      </c>
      <c r="J46" s="17" t="str">
        <f t="shared" si="45"/>
        <v/>
      </c>
      <c r="K46" s="46" t="str">
        <f t="shared" si="45"/>
        <v/>
      </c>
      <c r="L46" s="17" t="str">
        <f t="shared" si="45"/>
        <v/>
      </c>
      <c r="M46" s="46" t="str">
        <f t="shared" si="45"/>
        <v/>
      </c>
      <c r="N46" s="17" t="str">
        <f t="shared" si="45"/>
        <v/>
      </c>
      <c r="O46" s="46" t="str">
        <f t="shared" si="45"/>
        <v/>
      </c>
      <c r="P46" s="17" t="str">
        <f t="shared" si="45"/>
        <v/>
      </c>
      <c r="Q46" s="46" t="str">
        <f t="shared" si="45"/>
        <v/>
      </c>
      <c r="R46" s="17" t="str">
        <f t="shared" si="45"/>
        <v/>
      </c>
      <c r="S46" s="46" t="str">
        <f t="shared" si="45"/>
        <v/>
      </c>
      <c r="T46" s="17" t="str">
        <f t="shared" si="45"/>
        <v/>
      </c>
      <c r="U46" s="46" t="str">
        <f t="shared" si="45"/>
        <v/>
      </c>
      <c r="V46" s="17" t="str">
        <f t="shared" si="45"/>
        <v/>
      </c>
      <c r="W46" s="46" t="str">
        <f t="shared" si="45"/>
        <v/>
      </c>
      <c r="X46" s="17" t="str">
        <f t="shared" si="45"/>
        <v/>
      </c>
      <c r="Y46" s="46" t="str">
        <f t="shared" si="45"/>
        <v/>
      </c>
      <c r="Z46" s="17" t="str">
        <f t="shared" si="45"/>
        <v/>
      </c>
      <c r="AA46" s="46" t="str">
        <f t="shared" si="45"/>
        <v/>
      </c>
      <c r="AB46" s="17" t="str">
        <f t="shared" si="45"/>
        <v/>
      </c>
      <c r="AC46" s="46" t="str">
        <f t="shared" si="45"/>
        <v/>
      </c>
      <c r="AD46" s="17" t="str">
        <f t="shared" si="45"/>
        <v/>
      </c>
      <c r="AE46" s="46" t="str">
        <f t="shared" si="45"/>
        <v/>
      </c>
      <c r="AF46" s="17" t="str">
        <f t="shared" si="45"/>
        <v/>
      </c>
      <c r="AG46" s="46" t="str">
        <f t="shared" si="45"/>
        <v/>
      </c>
      <c r="AH46" s="17" t="str">
        <f t="shared" si="45"/>
        <v/>
      </c>
      <c r="AI46" s="46" t="str">
        <f t="shared" si="45"/>
        <v/>
      </c>
      <c r="AJ46" s="17" t="str">
        <f t="shared" si="45"/>
        <v/>
      </c>
      <c r="AK46" s="46" t="str">
        <f t="shared" si="45"/>
        <v/>
      </c>
      <c r="AL46" s="17" t="str">
        <f t="shared" si="45"/>
        <v/>
      </c>
      <c r="AM46" s="46" t="str">
        <f t="shared" si="45"/>
        <v/>
      </c>
      <c r="AN46" s="17" t="str">
        <f t="shared" si="45"/>
        <v/>
      </c>
      <c r="AO46" s="46" t="str">
        <f t="shared" si="45"/>
        <v/>
      </c>
      <c r="AP46" s="17" t="str">
        <f t="shared" si="45"/>
        <v/>
      </c>
      <c r="AQ46" s="46" t="str">
        <f t="shared" si="45"/>
        <v/>
      </c>
      <c r="AR46" s="17" t="str">
        <f t="shared" si="45"/>
        <v/>
      </c>
      <c r="AS46" s="46" t="str">
        <f t="shared" si="45"/>
        <v/>
      </c>
      <c r="AT46" s="17" t="str">
        <f t="shared" si="45"/>
        <v/>
      </c>
      <c r="AU46" s="46" t="str">
        <f t="shared" si="45"/>
        <v/>
      </c>
      <c r="AV46" s="17" t="str">
        <f t="shared" si="45"/>
        <v/>
      </c>
      <c r="AW46" s="46" t="str">
        <f t="shared" si="45"/>
        <v/>
      </c>
      <c r="AX46" s="17" t="str">
        <f t="shared" si="45"/>
        <v/>
      </c>
      <c r="AY46" s="46" t="str">
        <f t="shared" si="45"/>
        <v/>
      </c>
      <c r="AZ46" s="17" t="str">
        <f t="shared" si="45"/>
        <v/>
      </c>
      <c r="BA46" s="46" t="str">
        <f t="shared" si="45"/>
        <v/>
      </c>
      <c r="BB46" s="17" t="str">
        <f t="shared" si="45"/>
        <v/>
      </c>
      <c r="BC46" s="46" t="str">
        <f t="shared" si="45"/>
        <v/>
      </c>
      <c r="BD46" s="17" t="str">
        <f t="shared" si="45"/>
        <v/>
      </c>
      <c r="BE46" s="46" t="str">
        <f t="shared" si="45"/>
        <v/>
      </c>
      <c r="BF46" s="17" t="str">
        <f t="shared" si="45"/>
        <v/>
      </c>
      <c r="BG46" s="46" t="str">
        <f t="shared" si="45"/>
        <v/>
      </c>
      <c r="BH46" s="17" t="str">
        <f t="shared" si="45"/>
        <v/>
      </c>
      <c r="BI46" s="46" t="str">
        <f t="shared" si="45"/>
        <v/>
      </c>
      <c r="BJ46" s="17" t="str">
        <f t="shared" si="45"/>
        <v/>
      </c>
      <c r="BK46" s="46" t="str">
        <f t="shared" si="45"/>
        <v/>
      </c>
      <c r="BL46" s="17" t="str">
        <f t="shared" si="45"/>
        <v/>
      </c>
      <c r="BM46" s="46" t="str">
        <f t="shared" si="45"/>
        <v/>
      </c>
      <c r="BN46" s="17" t="str">
        <f t="shared" si="45"/>
        <v/>
      </c>
      <c r="BO46" s="46" t="str">
        <f t="shared" si="45"/>
        <v/>
      </c>
      <c r="BP46" s="17" t="str">
        <f t="shared" si="45"/>
        <v/>
      </c>
      <c r="BQ46" s="46" t="str">
        <f t="shared" si="45"/>
        <v/>
      </c>
      <c r="BR46" s="17" t="str">
        <f t="shared" si="45"/>
        <v/>
      </c>
      <c r="BS46" s="46" t="str">
        <f t="shared" si="45"/>
        <v/>
      </c>
      <c r="BT46" s="17" t="str">
        <f t="shared" si="45"/>
        <v/>
      </c>
      <c r="BU46" s="46" t="str">
        <f t="shared" si="45"/>
        <v/>
      </c>
      <c r="BV46" s="17" t="str">
        <f t="shared" si="45"/>
        <v/>
      </c>
      <c r="BW46" s="46" t="str">
        <f t="shared" si="45"/>
        <v/>
      </c>
      <c r="BX46" s="17" t="str">
        <f t="shared" si="45"/>
        <v/>
      </c>
      <c r="BY46" s="46" t="str">
        <f t="shared" si="45"/>
        <v/>
      </c>
      <c r="BZ46" s="17" t="str">
        <f t="shared" si="45"/>
        <v/>
      </c>
      <c r="CA46" s="46" t="str">
        <f t="shared" si="45"/>
        <v/>
      </c>
      <c r="CB46" s="17" t="str">
        <f t="shared" si="45"/>
        <v/>
      </c>
      <c r="CC46" s="46" t="str">
        <f t="shared" si="45"/>
        <v/>
      </c>
      <c r="CD46" s="17" t="str">
        <f t="shared" si="45"/>
        <v/>
      </c>
      <c r="CE46" s="46" t="str">
        <f t="shared" si="45"/>
        <v/>
      </c>
      <c r="CF46" s="17" t="str">
        <f t="shared" si="45"/>
        <v/>
      </c>
      <c r="CG46" s="46" t="str">
        <f t="shared" si="45"/>
        <v/>
      </c>
      <c r="CH46" s="17" t="str">
        <f t="shared" si="45"/>
        <v/>
      </c>
      <c r="CI46" s="46" t="str">
        <f t="shared" si="45"/>
        <v/>
      </c>
      <c r="CJ46" s="17" t="str">
        <f t="shared" si="45"/>
        <v/>
      </c>
      <c r="CK46" s="46" t="str">
        <f t="shared" si="45"/>
        <v/>
      </c>
      <c r="CL46" s="17" t="str">
        <f t="shared" si="45"/>
        <v/>
      </c>
      <c r="CM46" s="46" t="str">
        <f t="shared" si="45"/>
        <v/>
      </c>
      <c r="CN46" s="17" t="str">
        <f t="shared" si="45"/>
        <v/>
      </c>
      <c r="CO46" s="46" t="str">
        <f t="shared" si="45"/>
        <v/>
      </c>
      <c r="CP46" s="17" t="str">
        <f t="shared" si="45"/>
        <v/>
      </c>
      <c r="CQ46" s="46" t="str">
        <f t="shared" si="45"/>
        <v/>
      </c>
      <c r="CR46" s="17" t="str">
        <f t="shared" si="45"/>
        <v/>
      </c>
      <c r="CS46" s="46" t="str">
        <f t="shared" si="45"/>
        <v/>
      </c>
      <c r="CT46" s="17" t="str">
        <f t="shared" si="45"/>
        <v/>
      </c>
      <c r="CU46" s="46" t="str">
        <f t="shared" si="45"/>
        <v/>
      </c>
      <c r="CV46" s="17" t="str">
        <f t="shared" si="45"/>
        <v/>
      </c>
      <c r="CW46" s="46" t="str">
        <f t="shared" si="45"/>
        <v/>
      </c>
      <c r="CX46" s="17" t="str">
        <f t="shared" si="45"/>
        <v/>
      </c>
      <c r="CY46" s="46" t="str">
        <f t="shared" si="45"/>
        <v/>
      </c>
      <c r="CZ46" s="17" t="str">
        <f t="shared" si="45"/>
        <v/>
      </c>
      <c r="DA46" s="46" t="str">
        <f t="shared" si="45"/>
        <v/>
      </c>
      <c r="DB46" s="17" t="str">
        <f t="shared" si="45"/>
        <v/>
      </c>
      <c r="DC46" s="46" t="str">
        <f t="shared" si="45"/>
        <v/>
      </c>
      <c r="DD46" s="17" t="str">
        <f t="shared" si="45"/>
        <v/>
      </c>
      <c r="DE46" s="46" t="str">
        <f t="shared" si="45"/>
        <v/>
      </c>
      <c r="DF46" s="17" t="str">
        <f t="shared" si="45"/>
        <v/>
      </c>
      <c r="DG46" s="46" t="str">
        <f t="shared" si="45"/>
        <v/>
      </c>
      <c r="DH46" s="17" t="str">
        <f t="shared" si="45"/>
        <v/>
      </c>
      <c r="DI46" s="46" t="str">
        <f t="shared" si="45"/>
        <v/>
      </c>
      <c r="DJ46" s="17" t="str">
        <f t="shared" si="45"/>
        <v/>
      </c>
      <c r="DK46" s="46" t="str">
        <f t="shared" si="45"/>
        <v/>
      </c>
      <c r="DL46" s="17" t="str">
        <f t="shared" si="45"/>
        <v/>
      </c>
      <c r="DM46" s="46" t="str">
        <f t="shared" si="45"/>
        <v/>
      </c>
      <c r="DN46" s="17" t="str">
        <f t="shared" si="45"/>
        <v/>
      </c>
      <c r="DO46" s="46" t="str">
        <f t="shared" si="45"/>
        <v/>
      </c>
      <c r="DP46" s="17" t="str">
        <f t="shared" si="45"/>
        <v/>
      </c>
      <c r="DQ46" s="46" t="str">
        <f t="shared" si="45"/>
        <v/>
      </c>
      <c r="DR46" s="17" t="str">
        <f t="shared" si="45"/>
        <v/>
      </c>
      <c r="DS46" s="46" t="str">
        <f t="shared" si="45"/>
        <v/>
      </c>
      <c r="DT46" s="17" t="str">
        <f t="shared" si="45"/>
        <v/>
      </c>
      <c r="DU46" s="46" t="str">
        <f t="shared" si="45"/>
        <v/>
      </c>
      <c r="DV46" s="17" t="str">
        <f t="shared" si="45"/>
        <v/>
      </c>
      <c r="DW46" s="46" t="str">
        <f t="shared" si="45"/>
        <v/>
      </c>
      <c r="DX46" s="17" t="str">
        <f t="shared" si="45"/>
        <v/>
      </c>
      <c r="DY46" s="46" t="str">
        <f t="shared" si="45"/>
        <v/>
      </c>
      <c r="DZ46" s="17" t="str">
        <f t="shared" si="45"/>
        <v/>
      </c>
      <c r="EA46" s="46" t="str">
        <f t="shared" si="45"/>
        <v/>
      </c>
      <c r="EB46" s="17" t="str">
        <f t="shared" si="45"/>
        <v/>
      </c>
      <c r="EC46" s="46" t="str">
        <f t="shared" si="45"/>
        <v/>
      </c>
      <c r="ED46" s="17" t="str">
        <f t="shared" si="45"/>
        <v/>
      </c>
      <c r="EE46" s="46" t="str">
        <f t="shared" si="45"/>
        <v/>
      </c>
      <c r="EF46" s="17" t="str">
        <f t="shared" si="45"/>
        <v/>
      </c>
      <c r="EG46" s="46" t="str">
        <f t="shared" si="45"/>
        <v/>
      </c>
      <c r="EH46" s="17" t="str">
        <f t="shared" si="45"/>
        <v/>
      </c>
      <c r="EI46" s="46" t="str">
        <f t="shared" si="45"/>
        <v/>
      </c>
      <c r="EJ46" s="17" t="str">
        <f t="shared" si="45"/>
        <v/>
      </c>
      <c r="EK46" s="46" t="str">
        <f t="shared" si="45"/>
        <v/>
      </c>
      <c r="EL46" s="17" t="str">
        <f t="shared" si="45"/>
        <v/>
      </c>
      <c r="EM46" s="46" t="str">
        <f t="shared" si="45"/>
        <v/>
      </c>
      <c r="EN46" s="17" t="str">
        <f t="shared" si="45"/>
        <v/>
      </c>
      <c r="EO46" s="46" t="str">
        <f t="shared" si="45"/>
        <v/>
      </c>
      <c r="EP46" s="17" t="str">
        <f t="shared" si="45"/>
        <v/>
      </c>
    </row>
    <row r="47" ht="15.75" hidden="1" customHeight="1">
      <c r="A47" s="6" t="str">
        <f>Menus!B40</f>
        <v/>
      </c>
      <c r="B47" s="43">
        <f t="shared" si="11"/>
        <v>0</v>
      </c>
      <c r="C47" s="54" t="str">
        <f t="shared" ref="C47:EP47" si="46">IFERROR(
  LET(
    resultado,
      INDEX(
        INDIRECT($B$1),
        MATCH(RIGHT($A47, LEN($A47)-4), INDIRECT($B$3), 0),
        MATCH(C$1, INDIRECT($B$5), 0)
      ),
    IF(resultado="-", "", resultado) 
  ),
"")
</f>
        <v/>
      </c>
      <c r="D47" s="55" t="str">
        <f t="shared" si="46"/>
        <v/>
      </c>
      <c r="E47" s="46" t="str">
        <f t="shared" si="46"/>
        <v/>
      </c>
      <c r="F47" s="17" t="str">
        <f t="shared" si="46"/>
        <v/>
      </c>
      <c r="G47" s="46" t="str">
        <f t="shared" si="46"/>
        <v/>
      </c>
      <c r="H47" s="17" t="str">
        <f t="shared" si="46"/>
        <v/>
      </c>
      <c r="I47" s="46" t="str">
        <f t="shared" si="46"/>
        <v/>
      </c>
      <c r="J47" s="17" t="str">
        <f t="shared" si="46"/>
        <v/>
      </c>
      <c r="K47" s="46" t="str">
        <f t="shared" si="46"/>
        <v/>
      </c>
      <c r="L47" s="17" t="str">
        <f t="shared" si="46"/>
        <v/>
      </c>
      <c r="M47" s="46" t="str">
        <f t="shared" si="46"/>
        <v/>
      </c>
      <c r="N47" s="17" t="str">
        <f t="shared" si="46"/>
        <v/>
      </c>
      <c r="O47" s="46" t="str">
        <f t="shared" si="46"/>
        <v/>
      </c>
      <c r="P47" s="17" t="str">
        <f t="shared" si="46"/>
        <v/>
      </c>
      <c r="Q47" s="46" t="str">
        <f t="shared" si="46"/>
        <v/>
      </c>
      <c r="R47" s="17" t="str">
        <f t="shared" si="46"/>
        <v/>
      </c>
      <c r="S47" s="46" t="str">
        <f t="shared" si="46"/>
        <v/>
      </c>
      <c r="T47" s="17" t="str">
        <f t="shared" si="46"/>
        <v/>
      </c>
      <c r="U47" s="46" t="str">
        <f t="shared" si="46"/>
        <v/>
      </c>
      <c r="V47" s="17" t="str">
        <f t="shared" si="46"/>
        <v/>
      </c>
      <c r="W47" s="46" t="str">
        <f t="shared" si="46"/>
        <v/>
      </c>
      <c r="X47" s="17" t="str">
        <f t="shared" si="46"/>
        <v/>
      </c>
      <c r="Y47" s="46" t="str">
        <f t="shared" si="46"/>
        <v/>
      </c>
      <c r="Z47" s="17" t="str">
        <f t="shared" si="46"/>
        <v/>
      </c>
      <c r="AA47" s="46" t="str">
        <f t="shared" si="46"/>
        <v/>
      </c>
      <c r="AB47" s="17" t="str">
        <f t="shared" si="46"/>
        <v/>
      </c>
      <c r="AC47" s="46" t="str">
        <f t="shared" si="46"/>
        <v/>
      </c>
      <c r="AD47" s="17" t="str">
        <f t="shared" si="46"/>
        <v/>
      </c>
      <c r="AE47" s="46" t="str">
        <f t="shared" si="46"/>
        <v/>
      </c>
      <c r="AF47" s="17" t="str">
        <f t="shared" si="46"/>
        <v/>
      </c>
      <c r="AG47" s="46" t="str">
        <f t="shared" si="46"/>
        <v/>
      </c>
      <c r="AH47" s="17" t="str">
        <f t="shared" si="46"/>
        <v/>
      </c>
      <c r="AI47" s="46" t="str">
        <f t="shared" si="46"/>
        <v/>
      </c>
      <c r="AJ47" s="17" t="str">
        <f t="shared" si="46"/>
        <v/>
      </c>
      <c r="AK47" s="46" t="str">
        <f t="shared" si="46"/>
        <v/>
      </c>
      <c r="AL47" s="17" t="str">
        <f t="shared" si="46"/>
        <v/>
      </c>
      <c r="AM47" s="46" t="str">
        <f t="shared" si="46"/>
        <v/>
      </c>
      <c r="AN47" s="17" t="str">
        <f t="shared" si="46"/>
        <v/>
      </c>
      <c r="AO47" s="46" t="str">
        <f t="shared" si="46"/>
        <v/>
      </c>
      <c r="AP47" s="17" t="str">
        <f t="shared" si="46"/>
        <v/>
      </c>
      <c r="AQ47" s="46" t="str">
        <f t="shared" si="46"/>
        <v/>
      </c>
      <c r="AR47" s="17" t="str">
        <f t="shared" si="46"/>
        <v/>
      </c>
      <c r="AS47" s="46" t="str">
        <f t="shared" si="46"/>
        <v/>
      </c>
      <c r="AT47" s="17" t="str">
        <f t="shared" si="46"/>
        <v/>
      </c>
      <c r="AU47" s="46" t="str">
        <f t="shared" si="46"/>
        <v/>
      </c>
      <c r="AV47" s="17" t="str">
        <f t="shared" si="46"/>
        <v/>
      </c>
      <c r="AW47" s="46" t="str">
        <f t="shared" si="46"/>
        <v/>
      </c>
      <c r="AX47" s="17" t="str">
        <f t="shared" si="46"/>
        <v/>
      </c>
      <c r="AY47" s="46" t="str">
        <f t="shared" si="46"/>
        <v/>
      </c>
      <c r="AZ47" s="17" t="str">
        <f t="shared" si="46"/>
        <v/>
      </c>
      <c r="BA47" s="46" t="str">
        <f t="shared" si="46"/>
        <v/>
      </c>
      <c r="BB47" s="17" t="str">
        <f t="shared" si="46"/>
        <v/>
      </c>
      <c r="BC47" s="46" t="str">
        <f t="shared" si="46"/>
        <v/>
      </c>
      <c r="BD47" s="17" t="str">
        <f t="shared" si="46"/>
        <v/>
      </c>
      <c r="BE47" s="46" t="str">
        <f t="shared" si="46"/>
        <v/>
      </c>
      <c r="BF47" s="17" t="str">
        <f t="shared" si="46"/>
        <v/>
      </c>
      <c r="BG47" s="46" t="str">
        <f t="shared" si="46"/>
        <v/>
      </c>
      <c r="BH47" s="17" t="str">
        <f t="shared" si="46"/>
        <v/>
      </c>
      <c r="BI47" s="46" t="str">
        <f t="shared" si="46"/>
        <v/>
      </c>
      <c r="BJ47" s="17" t="str">
        <f t="shared" si="46"/>
        <v/>
      </c>
      <c r="BK47" s="46" t="str">
        <f t="shared" si="46"/>
        <v/>
      </c>
      <c r="BL47" s="17" t="str">
        <f t="shared" si="46"/>
        <v/>
      </c>
      <c r="BM47" s="46" t="str">
        <f t="shared" si="46"/>
        <v/>
      </c>
      <c r="BN47" s="17" t="str">
        <f t="shared" si="46"/>
        <v/>
      </c>
      <c r="BO47" s="46" t="str">
        <f t="shared" si="46"/>
        <v/>
      </c>
      <c r="BP47" s="17" t="str">
        <f t="shared" si="46"/>
        <v/>
      </c>
      <c r="BQ47" s="46" t="str">
        <f t="shared" si="46"/>
        <v/>
      </c>
      <c r="BR47" s="17" t="str">
        <f t="shared" si="46"/>
        <v/>
      </c>
      <c r="BS47" s="46" t="str">
        <f t="shared" si="46"/>
        <v/>
      </c>
      <c r="BT47" s="17" t="str">
        <f t="shared" si="46"/>
        <v/>
      </c>
      <c r="BU47" s="46" t="str">
        <f t="shared" si="46"/>
        <v/>
      </c>
      <c r="BV47" s="17" t="str">
        <f t="shared" si="46"/>
        <v/>
      </c>
      <c r="BW47" s="46" t="str">
        <f t="shared" si="46"/>
        <v/>
      </c>
      <c r="BX47" s="17" t="str">
        <f t="shared" si="46"/>
        <v/>
      </c>
      <c r="BY47" s="46" t="str">
        <f t="shared" si="46"/>
        <v/>
      </c>
      <c r="BZ47" s="17" t="str">
        <f t="shared" si="46"/>
        <v/>
      </c>
      <c r="CA47" s="46" t="str">
        <f t="shared" si="46"/>
        <v/>
      </c>
      <c r="CB47" s="17" t="str">
        <f t="shared" si="46"/>
        <v/>
      </c>
      <c r="CC47" s="46" t="str">
        <f t="shared" si="46"/>
        <v/>
      </c>
      <c r="CD47" s="17" t="str">
        <f t="shared" si="46"/>
        <v/>
      </c>
      <c r="CE47" s="46" t="str">
        <f t="shared" si="46"/>
        <v/>
      </c>
      <c r="CF47" s="17" t="str">
        <f t="shared" si="46"/>
        <v/>
      </c>
      <c r="CG47" s="46" t="str">
        <f t="shared" si="46"/>
        <v/>
      </c>
      <c r="CH47" s="17" t="str">
        <f t="shared" si="46"/>
        <v/>
      </c>
      <c r="CI47" s="46" t="str">
        <f t="shared" si="46"/>
        <v/>
      </c>
      <c r="CJ47" s="17" t="str">
        <f t="shared" si="46"/>
        <v/>
      </c>
      <c r="CK47" s="46" t="str">
        <f t="shared" si="46"/>
        <v/>
      </c>
      <c r="CL47" s="17" t="str">
        <f t="shared" si="46"/>
        <v/>
      </c>
      <c r="CM47" s="46" t="str">
        <f t="shared" si="46"/>
        <v/>
      </c>
      <c r="CN47" s="17" t="str">
        <f t="shared" si="46"/>
        <v/>
      </c>
      <c r="CO47" s="46" t="str">
        <f t="shared" si="46"/>
        <v/>
      </c>
      <c r="CP47" s="17" t="str">
        <f t="shared" si="46"/>
        <v/>
      </c>
      <c r="CQ47" s="46" t="str">
        <f t="shared" si="46"/>
        <v/>
      </c>
      <c r="CR47" s="17" t="str">
        <f t="shared" si="46"/>
        <v/>
      </c>
      <c r="CS47" s="46" t="str">
        <f t="shared" si="46"/>
        <v/>
      </c>
      <c r="CT47" s="17" t="str">
        <f t="shared" si="46"/>
        <v/>
      </c>
      <c r="CU47" s="46" t="str">
        <f t="shared" si="46"/>
        <v/>
      </c>
      <c r="CV47" s="17" t="str">
        <f t="shared" si="46"/>
        <v/>
      </c>
      <c r="CW47" s="46" t="str">
        <f t="shared" si="46"/>
        <v/>
      </c>
      <c r="CX47" s="17" t="str">
        <f t="shared" si="46"/>
        <v/>
      </c>
      <c r="CY47" s="46" t="str">
        <f t="shared" si="46"/>
        <v/>
      </c>
      <c r="CZ47" s="17" t="str">
        <f t="shared" si="46"/>
        <v/>
      </c>
      <c r="DA47" s="46" t="str">
        <f t="shared" si="46"/>
        <v/>
      </c>
      <c r="DB47" s="17" t="str">
        <f t="shared" si="46"/>
        <v/>
      </c>
      <c r="DC47" s="46" t="str">
        <f t="shared" si="46"/>
        <v/>
      </c>
      <c r="DD47" s="17" t="str">
        <f t="shared" si="46"/>
        <v/>
      </c>
      <c r="DE47" s="46" t="str">
        <f t="shared" si="46"/>
        <v/>
      </c>
      <c r="DF47" s="17" t="str">
        <f t="shared" si="46"/>
        <v/>
      </c>
      <c r="DG47" s="46" t="str">
        <f t="shared" si="46"/>
        <v/>
      </c>
      <c r="DH47" s="17" t="str">
        <f t="shared" si="46"/>
        <v/>
      </c>
      <c r="DI47" s="46" t="str">
        <f t="shared" si="46"/>
        <v/>
      </c>
      <c r="DJ47" s="17" t="str">
        <f t="shared" si="46"/>
        <v/>
      </c>
      <c r="DK47" s="46" t="str">
        <f t="shared" si="46"/>
        <v/>
      </c>
      <c r="DL47" s="17" t="str">
        <f t="shared" si="46"/>
        <v/>
      </c>
      <c r="DM47" s="46" t="str">
        <f t="shared" si="46"/>
        <v/>
      </c>
      <c r="DN47" s="17" t="str">
        <f t="shared" si="46"/>
        <v/>
      </c>
      <c r="DO47" s="46" t="str">
        <f t="shared" si="46"/>
        <v/>
      </c>
      <c r="DP47" s="17" t="str">
        <f t="shared" si="46"/>
        <v/>
      </c>
      <c r="DQ47" s="46" t="str">
        <f t="shared" si="46"/>
        <v/>
      </c>
      <c r="DR47" s="17" t="str">
        <f t="shared" si="46"/>
        <v/>
      </c>
      <c r="DS47" s="46" t="str">
        <f t="shared" si="46"/>
        <v/>
      </c>
      <c r="DT47" s="17" t="str">
        <f t="shared" si="46"/>
        <v/>
      </c>
      <c r="DU47" s="46" t="str">
        <f t="shared" si="46"/>
        <v/>
      </c>
      <c r="DV47" s="17" t="str">
        <f t="shared" si="46"/>
        <v/>
      </c>
      <c r="DW47" s="46" t="str">
        <f t="shared" si="46"/>
        <v/>
      </c>
      <c r="DX47" s="17" t="str">
        <f t="shared" si="46"/>
        <v/>
      </c>
      <c r="DY47" s="46" t="str">
        <f t="shared" si="46"/>
        <v/>
      </c>
      <c r="DZ47" s="17" t="str">
        <f t="shared" si="46"/>
        <v/>
      </c>
      <c r="EA47" s="46" t="str">
        <f t="shared" si="46"/>
        <v/>
      </c>
      <c r="EB47" s="17" t="str">
        <f t="shared" si="46"/>
        <v/>
      </c>
      <c r="EC47" s="46" t="str">
        <f t="shared" si="46"/>
        <v/>
      </c>
      <c r="ED47" s="17" t="str">
        <f t="shared" si="46"/>
        <v/>
      </c>
      <c r="EE47" s="46" t="str">
        <f t="shared" si="46"/>
        <v/>
      </c>
      <c r="EF47" s="17" t="str">
        <f t="shared" si="46"/>
        <v/>
      </c>
      <c r="EG47" s="46" t="str">
        <f t="shared" si="46"/>
        <v/>
      </c>
      <c r="EH47" s="17" t="str">
        <f t="shared" si="46"/>
        <v/>
      </c>
      <c r="EI47" s="46" t="str">
        <f t="shared" si="46"/>
        <v/>
      </c>
      <c r="EJ47" s="17" t="str">
        <f t="shared" si="46"/>
        <v/>
      </c>
      <c r="EK47" s="46" t="str">
        <f t="shared" si="46"/>
        <v/>
      </c>
      <c r="EL47" s="17" t="str">
        <f t="shared" si="46"/>
        <v/>
      </c>
      <c r="EM47" s="46" t="str">
        <f t="shared" si="46"/>
        <v/>
      </c>
      <c r="EN47" s="17" t="str">
        <f t="shared" si="46"/>
        <v/>
      </c>
      <c r="EO47" s="46" t="str">
        <f t="shared" si="46"/>
        <v/>
      </c>
      <c r="EP47" s="17" t="str">
        <f t="shared" si="46"/>
        <v/>
      </c>
    </row>
    <row r="48" ht="15.75" hidden="1" customHeight="1">
      <c r="A48" s="6" t="str">
        <f>Menus!B41</f>
        <v/>
      </c>
      <c r="B48" s="43">
        <f t="shared" si="11"/>
        <v>0</v>
      </c>
      <c r="C48" s="54" t="str">
        <f t="shared" ref="C48:EP48" si="47">IFERROR(
  LET(
    resultado,
      INDEX(
        INDIRECT($B$1),
        MATCH(RIGHT($A48, LEN($A48)-4), INDIRECT($B$3), 0),
        MATCH(C$1, INDIRECT($B$5), 0)
      ),
    IF(resultado="-", "", resultado) 
  ),
"")
</f>
        <v/>
      </c>
      <c r="D48" s="55" t="str">
        <f t="shared" si="47"/>
        <v/>
      </c>
      <c r="E48" s="46" t="str">
        <f t="shared" si="47"/>
        <v/>
      </c>
      <c r="F48" s="17" t="str">
        <f t="shared" si="47"/>
        <v/>
      </c>
      <c r="G48" s="46" t="str">
        <f t="shared" si="47"/>
        <v/>
      </c>
      <c r="H48" s="17" t="str">
        <f t="shared" si="47"/>
        <v/>
      </c>
      <c r="I48" s="46" t="str">
        <f t="shared" si="47"/>
        <v/>
      </c>
      <c r="J48" s="17" t="str">
        <f t="shared" si="47"/>
        <v/>
      </c>
      <c r="K48" s="46" t="str">
        <f t="shared" si="47"/>
        <v/>
      </c>
      <c r="L48" s="17" t="str">
        <f t="shared" si="47"/>
        <v/>
      </c>
      <c r="M48" s="46" t="str">
        <f t="shared" si="47"/>
        <v/>
      </c>
      <c r="N48" s="17" t="str">
        <f t="shared" si="47"/>
        <v/>
      </c>
      <c r="O48" s="46" t="str">
        <f t="shared" si="47"/>
        <v/>
      </c>
      <c r="P48" s="17" t="str">
        <f t="shared" si="47"/>
        <v/>
      </c>
      <c r="Q48" s="46" t="str">
        <f t="shared" si="47"/>
        <v/>
      </c>
      <c r="R48" s="17" t="str">
        <f t="shared" si="47"/>
        <v/>
      </c>
      <c r="S48" s="46" t="str">
        <f t="shared" si="47"/>
        <v/>
      </c>
      <c r="T48" s="17" t="str">
        <f t="shared" si="47"/>
        <v/>
      </c>
      <c r="U48" s="46" t="str">
        <f t="shared" si="47"/>
        <v/>
      </c>
      <c r="V48" s="17" t="str">
        <f t="shared" si="47"/>
        <v/>
      </c>
      <c r="W48" s="46" t="str">
        <f t="shared" si="47"/>
        <v/>
      </c>
      <c r="X48" s="17" t="str">
        <f t="shared" si="47"/>
        <v/>
      </c>
      <c r="Y48" s="46" t="str">
        <f t="shared" si="47"/>
        <v/>
      </c>
      <c r="Z48" s="17" t="str">
        <f t="shared" si="47"/>
        <v/>
      </c>
      <c r="AA48" s="46" t="str">
        <f t="shared" si="47"/>
        <v/>
      </c>
      <c r="AB48" s="17" t="str">
        <f t="shared" si="47"/>
        <v/>
      </c>
      <c r="AC48" s="46" t="str">
        <f t="shared" si="47"/>
        <v/>
      </c>
      <c r="AD48" s="17" t="str">
        <f t="shared" si="47"/>
        <v/>
      </c>
      <c r="AE48" s="46" t="str">
        <f t="shared" si="47"/>
        <v/>
      </c>
      <c r="AF48" s="17" t="str">
        <f t="shared" si="47"/>
        <v/>
      </c>
      <c r="AG48" s="46" t="str">
        <f t="shared" si="47"/>
        <v/>
      </c>
      <c r="AH48" s="17" t="str">
        <f t="shared" si="47"/>
        <v/>
      </c>
      <c r="AI48" s="46" t="str">
        <f t="shared" si="47"/>
        <v/>
      </c>
      <c r="AJ48" s="17" t="str">
        <f t="shared" si="47"/>
        <v/>
      </c>
      <c r="AK48" s="46" t="str">
        <f t="shared" si="47"/>
        <v/>
      </c>
      <c r="AL48" s="17" t="str">
        <f t="shared" si="47"/>
        <v/>
      </c>
      <c r="AM48" s="46" t="str">
        <f t="shared" si="47"/>
        <v/>
      </c>
      <c r="AN48" s="17" t="str">
        <f t="shared" si="47"/>
        <v/>
      </c>
      <c r="AO48" s="46" t="str">
        <f t="shared" si="47"/>
        <v/>
      </c>
      <c r="AP48" s="17" t="str">
        <f t="shared" si="47"/>
        <v/>
      </c>
      <c r="AQ48" s="46" t="str">
        <f t="shared" si="47"/>
        <v/>
      </c>
      <c r="AR48" s="17" t="str">
        <f t="shared" si="47"/>
        <v/>
      </c>
      <c r="AS48" s="46" t="str">
        <f t="shared" si="47"/>
        <v/>
      </c>
      <c r="AT48" s="17" t="str">
        <f t="shared" si="47"/>
        <v/>
      </c>
      <c r="AU48" s="46" t="str">
        <f t="shared" si="47"/>
        <v/>
      </c>
      <c r="AV48" s="17" t="str">
        <f t="shared" si="47"/>
        <v/>
      </c>
      <c r="AW48" s="46" t="str">
        <f t="shared" si="47"/>
        <v/>
      </c>
      <c r="AX48" s="17" t="str">
        <f t="shared" si="47"/>
        <v/>
      </c>
      <c r="AY48" s="46" t="str">
        <f t="shared" si="47"/>
        <v/>
      </c>
      <c r="AZ48" s="17" t="str">
        <f t="shared" si="47"/>
        <v/>
      </c>
      <c r="BA48" s="46" t="str">
        <f t="shared" si="47"/>
        <v/>
      </c>
      <c r="BB48" s="17" t="str">
        <f t="shared" si="47"/>
        <v/>
      </c>
      <c r="BC48" s="46" t="str">
        <f t="shared" si="47"/>
        <v/>
      </c>
      <c r="BD48" s="17" t="str">
        <f t="shared" si="47"/>
        <v/>
      </c>
      <c r="BE48" s="46" t="str">
        <f t="shared" si="47"/>
        <v/>
      </c>
      <c r="BF48" s="17" t="str">
        <f t="shared" si="47"/>
        <v/>
      </c>
      <c r="BG48" s="46" t="str">
        <f t="shared" si="47"/>
        <v/>
      </c>
      <c r="BH48" s="17" t="str">
        <f t="shared" si="47"/>
        <v/>
      </c>
      <c r="BI48" s="46" t="str">
        <f t="shared" si="47"/>
        <v/>
      </c>
      <c r="BJ48" s="17" t="str">
        <f t="shared" si="47"/>
        <v/>
      </c>
      <c r="BK48" s="46" t="str">
        <f t="shared" si="47"/>
        <v/>
      </c>
      <c r="BL48" s="17" t="str">
        <f t="shared" si="47"/>
        <v/>
      </c>
      <c r="BM48" s="46" t="str">
        <f t="shared" si="47"/>
        <v/>
      </c>
      <c r="BN48" s="17" t="str">
        <f t="shared" si="47"/>
        <v/>
      </c>
      <c r="BO48" s="46" t="str">
        <f t="shared" si="47"/>
        <v/>
      </c>
      <c r="BP48" s="17" t="str">
        <f t="shared" si="47"/>
        <v/>
      </c>
      <c r="BQ48" s="46" t="str">
        <f t="shared" si="47"/>
        <v/>
      </c>
      <c r="BR48" s="17" t="str">
        <f t="shared" si="47"/>
        <v/>
      </c>
      <c r="BS48" s="46" t="str">
        <f t="shared" si="47"/>
        <v/>
      </c>
      <c r="BT48" s="17" t="str">
        <f t="shared" si="47"/>
        <v/>
      </c>
      <c r="BU48" s="46" t="str">
        <f t="shared" si="47"/>
        <v/>
      </c>
      <c r="BV48" s="17" t="str">
        <f t="shared" si="47"/>
        <v/>
      </c>
      <c r="BW48" s="46" t="str">
        <f t="shared" si="47"/>
        <v/>
      </c>
      <c r="BX48" s="17" t="str">
        <f t="shared" si="47"/>
        <v/>
      </c>
      <c r="BY48" s="46" t="str">
        <f t="shared" si="47"/>
        <v/>
      </c>
      <c r="BZ48" s="17" t="str">
        <f t="shared" si="47"/>
        <v/>
      </c>
      <c r="CA48" s="46" t="str">
        <f t="shared" si="47"/>
        <v/>
      </c>
      <c r="CB48" s="17" t="str">
        <f t="shared" si="47"/>
        <v/>
      </c>
      <c r="CC48" s="46" t="str">
        <f t="shared" si="47"/>
        <v/>
      </c>
      <c r="CD48" s="17" t="str">
        <f t="shared" si="47"/>
        <v/>
      </c>
      <c r="CE48" s="46" t="str">
        <f t="shared" si="47"/>
        <v/>
      </c>
      <c r="CF48" s="17" t="str">
        <f t="shared" si="47"/>
        <v/>
      </c>
      <c r="CG48" s="46" t="str">
        <f t="shared" si="47"/>
        <v/>
      </c>
      <c r="CH48" s="17" t="str">
        <f t="shared" si="47"/>
        <v/>
      </c>
      <c r="CI48" s="46" t="str">
        <f t="shared" si="47"/>
        <v/>
      </c>
      <c r="CJ48" s="17" t="str">
        <f t="shared" si="47"/>
        <v/>
      </c>
      <c r="CK48" s="46" t="str">
        <f t="shared" si="47"/>
        <v/>
      </c>
      <c r="CL48" s="17" t="str">
        <f t="shared" si="47"/>
        <v/>
      </c>
      <c r="CM48" s="46" t="str">
        <f t="shared" si="47"/>
        <v/>
      </c>
      <c r="CN48" s="17" t="str">
        <f t="shared" si="47"/>
        <v/>
      </c>
      <c r="CO48" s="46" t="str">
        <f t="shared" si="47"/>
        <v/>
      </c>
      <c r="CP48" s="17" t="str">
        <f t="shared" si="47"/>
        <v/>
      </c>
      <c r="CQ48" s="46" t="str">
        <f t="shared" si="47"/>
        <v/>
      </c>
      <c r="CR48" s="17" t="str">
        <f t="shared" si="47"/>
        <v/>
      </c>
      <c r="CS48" s="46" t="str">
        <f t="shared" si="47"/>
        <v/>
      </c>
      <c r="CT48" s="17" t="str">
        <f t="shared" si="47"/>
        <v/>
      </c>
      <c r="CU48" s="46" t="str">
        <f t="shared" si="47"/>
        <v/>
      </c>
      <c r="CV48" s="17" t="str">
        <f t="shared" si="47"/>
        <v/>
      </c>
      <c r="CW48" s="46" t="str">
        <f t="shared" si="47"/>
        <v/>
      </c>
      <c r="CX48" s="17" t="str">
        <f t="shared" si="47"/>
        <v/>
      </c>
      <c r="CY48" s="46" t="str">
        <f t="shared" si="47"/>
        <v/>
      </c>
      <c r="CZ48" s="17" t="str">
        <f t="shared" si="47"/>
        <v/>
      </c>
      <c r="DA48" s="46" t="str">
        <f t="shared" si="47"/>
        <v/>
      </c>
      <c r="DB48" s="17" t="str">
        <f t="shared" si="47"/>
        <v/>
      </c>
      <c r="DC48" s="46" t="str">
        <f t="shared" si="47"/>
        <v/>
      </c>
      <c r="DD48" s="17" t="str">
        <f t="shared" si="47"/>
        <v/>
      </c>
      <c r="DE48" s="46" t="str">
        <f t="shared" si="47"/>
        <v/>
      </c>
      <c r="DF48" s="17" t="str">
        <f t="shared" si="47"/>
        <v/>
      </c>
      <c r="DG48" s="46" t="str">
        <f t="shared" si="47"/>
        <v/>
      </c>
      <c r="DH48" s="17" t="str">
        <f t="shared" si="47"/>
        <v/>
      </c>
      <c r="DI48" s="46" t="str">
        <f t="shared" si="47"/>
        <v/>
      </c>
      <c r="DJ48" s="17" t="str">
        <f t="shared" si="47"/>
        <v/>
      </c>
      <c r="DK48" s="46" t="str">
        <f t="shared" si="47"/>
        <v/>
      </c>
      <c r="DL48" s="17" t="str">
        <f t="shared" si="47"/>
        <v/>
      </c>
      <c r="DM48" s="46" t="str">
        <f t="shared" si="47"/>
        <v/>
      </c>
      <c r="DN48" s="17" t="str">
        <f t="shared" si="47"/>
        <v/>
      </c>
      <c r="DO48" s="46" t="str">
        <f t="shared" si="47"/>
        <v/>
      </c>
      <c r="DP48" s="17" t="str">
        <f t="shared" si="47"/>
        <v/>
      </c>
      <c r="DQ48" s="46" t="str">
        <f t="shared" si="47"/>
        <v/>
      </c>
      <c r="DR48" s="17" t="str">
        <f t="shared" si="47"/>
        <v/>
      </c>
      <c r="DS48" s="46" t="str">
        <f t="shared" si="47"/>
        <v/>
      </c>
      <c r="DT48" s="17" t="str">
        <f t="shared" si="47"/>
        <v/>
      </c>
      <c r="DU48" s="46" t="str">
        <f t="shared" si="47"/>
        <v/>
      </c>
      <c r="DV48" s="17" t="str">
        <f t="shared" si="47"/>
        <v/>
      </c>
      <c r="DW48" s="46" t="str">
        <f t="shared" si="47"/>
        <v/>
      </c>
      <c r="DX48" s="17" t="str">
        <f t="shared" si="47"/>
        <v/>
      </c>
      <c r="DY48" s="46" t="str">
        <f t="shared" si="47"/>
        <v/>
      </c>
      <c r="DZ48" s="17" t="str">
        <f t="shared" si="47"/>
        <v/>
      </c>
      <c r="EA48" s="46" t="str">
        <f t="shared" si="47"/>
        <v/>
      </c>
      <c r="EB48" s="17" t="str">
        <f t="shared" si="47"/>
        <v/>
      </c>
      <c r="EC48" s="46" t="str">
        <f t="shared" si="47"/>
        <v/>
      </c>
      <c r="ED48" s="17" t="str">
        <f t="shared" si="47"/>
        <v/>
      </c>
      <c r="EE48" s="46" t="str">
        <f t="shared" si="47"/>
        <v/>
      </c>
      <c r="EF48" s="17" t="str">
        <f t="shared" si="47"/>
        <v/>
      </c>
      <c r="EG48" s="46" t="str">
        <f t="shared" si="47"/>
        <v/>
      </c>
      <c r="EH48" s="17" t="str">
        <f t="shared" si="47"/>
        <v/>
      </c>
      <c r="EI48" s="46" t="str">
        <f t="shared" si="47"/>
        <v/>
      </c>
      <c r="EJ48" s="17" t="str">
        <f t="shared" si="47"/>
        <v/>
      </c>
      <c r="EK48" s="46" t="str">
        <f t="shared" si="47"/>
        <v/>
      </c>
      <c r="EL48" s="17" t="str">
        <f t="shared" si="47"/>
        <v/>
      </c>
      <c r="EM48" s="46" t="str">
        <f t="shared" si="47"/>
        <v/>
      </c>
      <c r="EN48" s="17" t="str">
        <f t="shared" si="47"/>
        <v/>
      </c>
      <c r="EO48" s="46" t="str">
        <f t="shared" si="47"/>
        <v/>
      </c>
      <c r="EP48" s="17" t="str">
        <f t="shared" si="47"/>
        <v/>
      </c>
    </row>
    <row r="49" ht="15.75" hidden="1" customHeight="1">
      <c r="A49" s="6" t="str">
        <f>Menus!B42</f>
        <v/>
      </c>
      <c r="B49" s="43">
        <f t="shared" si="11"/>
        <v>0</v>
      </c>
      <c r="C49" s="54" t="str">
        <f t="shared" ref="C49:EP49" si="48">IFERROR(
  LET(
    resultado,
      INDEX(
        INDIRECT($B$1),
        MATCH(RIGHT($A49, LEN($A49)-4), INDIRECT($B$3), 0),
        MATCH(C$1, INDIRECT($B$5), 0)
      ),
    IF(resultado="-", "", resultado) 
  ),
"")
</f>
        <v/>
      </c>
      <c r="D49" s="55" t="str">
        <f t="shared" si="48"/>
        <v/>
      </c>
      <c r="E49" s="46" t="str">
        <f t="shared" si="48"/>
        <v/>
      </c>
      <c r="F49" s="17" t="str">
        <f t="shared" si="48"/>
        <v/>
      </c>
      <c r="G49" s="46" t="str">
        <f t="shared" si="48"/>
        <v/>
      </c>
      <c r="H49" s="17" t="str">
        <f t="shared" si="48"/>
        <v/>
      </c>
      <c r="I49" s="46" t="str">
        <f t="shared" si="48"/>
        <v/>
      </c>
      <c r="J49" s="17" t="str">
        <f t="shared" si="48"/>
        <v/>
      </c>
      <c r="K49" s="46" t="str">
        <f t="shared" si="48"/>
        <v/>
      </c>
      <c r="L49" s="17" t="str">
        <f t="shared" si="48"/>
        <v/>
      </c>
      <c r="M49" s="46" t="str">
        <f t="shared" si="48"/>
        <v/>
      </c>
      <c r="N49" s="17" t="str">
        <f t="shared" si="48"/>
        <v/>
      </c>
      <c r="O49" s="46" t="str">
        <f t="shared" si="48"/>
        <v/>
      </c>
      <c r="P49" s="17" t="str">
        <f t="shared" si="48"/>
        <v/>
      </c>
      <c r="Q49" s="46" t="str">
        <f t="shared" si="48"/>
        <v/>
      </c>
      <c r="R49" s="17" t="str">
        <f t="shared" si="48"/>
        <v/>
      </c>
      <c r="S49" s="46" t="str">
        <f t="shared" si="48"/>
        <v/>
      </c>
      <c r="T49" s="17" t="str">
        <f t="shared" si="48"/>
        <v/>
      </c>
      <c r="U49" s="46" t="str">
        <f t="shared" si="48"/>
        <v/>
      </c>
      <c r="V49" s="17" t="str">
        <f t="shared" si="48"/>
        <v/>
      </c>
      <c r="W49" s="46" t="str">
        <f t="shared" si="48"/>
        <v/>
      </c>
      <c r="X49" s="17" t="str">
        <f t="shared" si="48"/>
        <v/>
      </c>
      <c r="Y49" s="46" t="str">
        <f t="shared" si="48"/>
        <v/>
      </c>
      <c r="Z49" s="17" t="str">
        <f t="shared" si="48"/>
        <v/>
      </c>
      <c r="AA49" s="46" t="str">
        <f t="shared" si="48"/>
        <v/>
      </c>
      <c r="AB49" s="17" t="str">
        <f t="shared" si="48"/>
        <v/>
      </c>
      <c r="AC49" s="46" t="str">
        <f t="shared" si="48"/>
        <v/>
      </c>
      <c r="AD49" s="17" t="str">
        <f t="shared" si="48"/>
        <v/>
      </c>
      <c r="AE49" s="46" t="str">
        <f t="shared" si="48"/>
        <v/>
      </c>
      <c r="AF49" s="17" t="str">
        <f t="shared" si="48"/>
        <v/>
      </c>
      <c r="AG49" s="46" t="str">
        <f t="shared" si="48"/>
        <v/>
      </c>
      <c r="AH49" s="17" t="str">
        <f t="shared" si="48"/>
        <v/>
      </c>
      <c r="AI49" s="46" t="str">
        <f t="shared" si="48"/>
        <v/>
      </c>
      <c r="AJ49" s="17" t="str">
        <f t="shared" si="48"/>
        <v/>
      </c>
      <c r="AK49" s="46" t="str">
        <f t="shared" si="48"/>
        <v/>
      </c>
      <c r="AL49" s="17" t="str">
        <f t="shared" si="48"/>
        <v/>
      </c>
      <c r="AM49" s="46" t="str">
        <f t="shared" si="48"/>
        <v/>
      </c>
      <c r="AN49" s="17" t="str">
        <f t="shared" si="48"/>
        <v/>
      </c>
      <c r="AO49" s="46" t="str">
        <f t="shared" si="48"/>
        <v/>
      </c>
      <c r="AP49" s="17" t="str">
        <f t="shared" si="48"/>
        <v/>
      </c>
      <c r="AQ49" s="46" t="str">
        <f t="shared" si="48"/>
        <v/>
      </c>
      <c r="AR49" s="17" t="str">
        <f t="shared" si="48"/>
        <v/>
      </c>
      <c r="AS49" s="46" t="str">
        <f t="shared" si="48"/>
        <v/>
      </c>
      <c r="AT49" s="17" t="str">
        <f t="shared" si="48"/>
        <v/>
      </c>
      <c r="AU49" s="46" t="str">
        <f t="shared" si="48"/>
        <v/>
      </c>
      <c r="AV49" s="17" t="str">
        <f t="shared" si="48"/>
        <v/>
      </c>
      <c r="AW49" s="46" t="str">
        <f t="shared" si="48"/>
        <v/>
      </c>
      <c r="AX49" s="17" t="str">
        <f t="shared" si="48"/>
        <v/>
      </c>
      <c r="AY49" s="46" t="str">
        <f t="shared" si="48"/>
        <v/>
      </c>
      <c r="AZ49" s="17" t="str">
        <f t="shared" si="48"/>
        <v/>
      </c>
      <c r="BA49" s="46" t="str">
        <f t="shared" si="48"/>
        <v/>
      </c>
      <c r="BB49" s="17" t="str">
        <f t="shared" si="48"/>
        <v/>
      </c>
      <c r="BC49" s="46" t="str">
        <f t="shared" si="48"/>
        <v/>
      </c>
      <c r="BD49" s="17" t="str">
        <f t="shared" si="48"/>
        <v/>
      </c>
      <c r="BE49" s="46" t="str">
        <f t="shared" si="48"/>
        <v/>
      </c>
      <c r="BF49" s="17" t="str">
        <f t="shared" si="48"/>
        <v/>
      </c>
      <c r="BG49" s="46" t="str">
        <f t="shared" si="48"/>
        <v/>
      </c>
      <c r="BH49" s="17" t="str">
        <f t="shared" si="48"/>
        <v/>
      </c>
      <c r="BI49" s="46" t="str">
        <f t="shared" si="48"/>
        <v/>
      </c>
      <c r="BJ49" s="17" t="str">
        <f t="shared" si="48"/>
        <v/>
      </c>
      <c r="BK49" s="46" t="str">
        <f t="shared" si="48"/>
        <v/>
      </c>
      <c r="BL49" s="17" t="str">
        <f t="shared" si="48"/>
        <v/>
      </c>
      <c r="BM49" s="46" t="str">
        <f t="shared" si="48"/>
        <v/>
      </c>
      <c r="BN49" s="17" t="str">
        <f t="shared" si="48"/>
        <v/>
      </c>
      <c r="BO49" s="46" t="str">
        <f t="shared" si="48"/>
        <v/>
      </c>
      <c r="BP49" s="17" t="str">
        <f t="shared" si="48"/>
        <v/>
      </c>
      <c r="BQ49" s="46" t="str">
        <f t="shared" si="48"/>
        <v/>
      </c>
      <c r="BR49" s="17" t="str">
        <f t="shared" si="48"/>
        <v/>
      </c>
      <c r="BS49" s="46" t="str">
        <f t="shared" si="48"/>
        <v/>
      </c>
      <c r="BT49" s="17" t="str">
        <f t="shared" si="48"/>
        <v/>
      </c>
      <c r="BU49" s="46" t="str">
        <f t="shared" si="48"/>
        <v/>
      </c>
      <c r="BV49" s="17" t="str">
        <f t="shared" si="48"/>
        <v/>
      </c>
      <c r="BW49" s="46" t="str">
        <f t="shared" si="48"/>
        <v/>
      </c>
      <c r="BX49" s="17" t="str">
        <f t="shared" si="48"/>
        <v/>
      </c>
      <c r="BY49" s="46" t="str">
        <f t="shared" si="48"/>
        <v/>
      </c>
      <c r="BZ49" s="17" t="str">
        <f t="shared" si="48"/>
        <v/>
      </c>
      <c r="CA49" s="46" t="str">
        <f t="shared" si="48"/>
        <v/>
      </c>
      <c r="CB49" s="17" t="str">
        <f t="shared" si="48"/>
        <v/>
      </c>
      <c r="CC49" s="46" t="str">
        <f t="shared" si="48"/>
        <v/>
      </c>
      <c r="CD49" s="17" t="str">
        <f t="shared" si="48"/>
        <v/>
      </c>
      <c r="CE49" s="46" t="str">
        <f t="shared" si="48"/>
        <v/>
      </c>
      <c r="CF49" s="17" t="str">
        <f t="shared" si="48"/>
        <v/>
      </c>
      <c r="CG49" s="46" t="str">
        <f t="shared" si="48"/>
        <v/>
      </c>
      <c r="CH49" s="17" t="str">
        <f t="shared" si="48"/>
        <v/>
      </c>
      <c r="CI49" s="46" t="str">
        <f t="shared" si="48"/>
        <v/>
      </c>
      <c r="CJ49" s="17" t="str">
        <f t="shared" si="48"/>
        <v/>
      </c>
      <c r="CK49" s="46" t="str">
        <f t="shared" si="48"/>
        <v/>
      </c>
      <c r="CL49" s="17" t="str">
        <f t="shared" si="48"/>
        <v/>
      </c>
      <c r="CM49" s="46" t="str">
        <f t="shared" si="48"/>
        <v/>
      </c>
      <c r="CN49" s="17" t="str">
        <f t="shared" si="48"/>
        <v/>
      </c>
      <c r="CO49" s="46" t="str">
        <f t="shared" si="48"/>
        <v/>
      </c>
      <c r="CP49" s="17" t="str">
        <f t="shared" si="48"/>
        <v/>
      </c>
      <c r="CQ49" s="46" t="str">
        <f t="shared" si="48"/>
        <v/>
      </c>
      <c r="CR49" s="17" t="str">
        <f t="shared" si="48"/>
        <v/>
      </c>
      <c r="CS49" s="46" t="str">
        <f t="shared" si="48"/>
        <v/>
      </c>
      <c r="CT49" s="17" t="str">
        <f t="shared" si="48"/>
        <v/>
      </c>
      <c r="CU49" s="46" t="str">
        <f t="shared" si="48"/>
        <v/>
      </c>
      <c r="CV49" s="17" t="str">
        <f t="shared" si="48"/>
        <v/>
      </c>
      <c r="CW49" s="46" t="str">
        <f t="shared" si="48"/>
        <v/>
      </c>
      <c r="CX49" s="17" t="str">
        <f t="shared" si="48"/>
        <v/>
      </c>
      <c r="CY49" s="46" t="str">
        <f t="shared" si="48"/>
        <v/>
      </c>
      <c r="CZ49" s="17" t="str">
        <f t="shared" si="48"/>
        <v/>
      </c>
      <c r="DA49" s="46" t="str">
        <f t="shared" si="48"/>
        <v/>
      </c>
      <c r="DB49" s="17" t="str">
        <f t="shared" si="48"/>
        <v/>
      </c>
      <c r="DC49" s="46" t="str">
        <f t="shared" si="48"/>
        <v/>
      </c>
      <c r="DD49" s="17" t="str">
        <f t="shared" si="48"/>
        <v/>
      </c>
      <c r="DE49" s="46" t="str">
        <f t="shared" si="48"/>
        <v/>
      </c>
      <c r="DF49" s="17" t="str">
        <f t="shared" si="48"/>
        <v/>
      </c>
      <c r="DG49" s="46" t="str">
        <f t="shared" si="48"/>
        <v/>
      </c>
      <c r="DH49" s="17" t="str">
        <f t="shared" si="48"/>
        <v/>
      </c>
      <c r="DI49" s="46" t="str">
        <f t="shared" si="48"/>
        <v/>
      </c>
      <c r="DJ49" s="17" t="str">
        <f t="shared" si="48"/>
        <v/>
      </c>
      <c r="DK49" s="46" t="str">
        <f t="shared" si="48"/>
        <v/>
      </c>
      <c r="DL49" s="17" t="str">
        <f t="shared" si="48"/>
        <v/>
      </c>
      <c r="DM49" s="46" t="str">
        <f t="shared" si="48"/>
        <v/>
      </c>
      <c r="DN49" s="17" t="str">
        <f t="shared" si="48"/>
        <v/>
      </c>
      <c r="DO49" s="46" t="str">
        <f t="shared" si="48"/>
        <v/>
      </c>
      <c r="DP49" s="17" t="str">
        <f t="shared" si="48"/>
        <v/>
      </c>
      <c r="DQ49" s="46" t="str">
        <f t="shared" si="48"/>
        <v/>
      </c>
      <c r="DR49" s="17" t="str">
        <f t="shared" si="48"/>
        <v/>
      </c>
      <c r="DS49" s="46" t="str">
        <f t="shared" si="48"/>
        <v/>
      </c>
      <c r="DT49" s="17" t="str">
        <f t="shared" si="48"/>
        <v/>
      </c>
      <c r="DU49" s="46" t="str">
        <f t="shared" si="48"/>
        <v/>
      </c>
      <c r="DV49" s="17" t="str">
        <f t="shared" si="48"/>
        <v/>
      </c>
      <c r="DW49" s="46" t="str">
        <f t="shared" si="48"/>
        <v/>
      </c>
      <c r="DX49" s="17" t="str">
        <f t="shared" si="48"/>
        <v/>
      </c>
      <c r="DY49" s="46" t="str">
        <f t="shared" si="48"/>
        <v/>
      </c>
      <c r="DZ49" s="17" t="str">
        <f t="shared" si="48"/>
        <v/>
      </c>
      <c r="EA49" s="46" t="str">
        <f t="shared" si="48"/>
        <v/>
      </c>
      <c r="EB49" s="17" t="str">
        <f t="shared" si="48"/>
        <v/>
      </c>
      <c r="EC49" s="46" t="str">
        <f t="shared" si="48"/>
        <v/>
      </c>
      <c r="ED49" s="17" t="str">
        <f t="shared" si="48"/>
        <v/>
      </c>
      <c r="EE49" s="46" t="str">
        <f t="shared" si="48"/>
        <v/>
      </c>
      <c r="EF49" s="17" t="str">
        <f t="shared" si="48"/>
        <v/>
      </c>
      <c r="EG49" s="46" t="str">
        <f t="shared" si="48"/>
        <v/>
      </c>
      <c r="EH49" s="17" t="str">
        <f t="shared" si="48"/>
        <v/>
      </c>
      <c r="EI49" s="46" t="str">
        <f t="shared" si="48"/>
        <v/>
      </c>
      <c r="EJ49" s="17" t="str">
        <f t="shared" si="48"/>
        <v/>
      </c>
      <c r="EK49" s="46" t="str">
        <f t="shared" si="48"/>
        <v/>
      </c>
      <c r="EL49" s="17" t="str">
        <f t="shared" si="48"/>
        <v/>
      </c>
      <c r="EM49" s="46" t="str">
        <f t="shared" si="48"/>
        <v/>
      </c>
      <c r="EN49" s="17" t="str">
        <f t="shared" si="48"/>
        <v/>
      </c>
      <c r="EO49" s="46" t="str">
        <f t="shared" si="48"/>
        <v/>
      </c>
      <c r="EP49" s="17" t="str">
        <f t="shared" si="48"/>
        <v/>
      </c>
    </row>
    <row r="50" ht="9.0" customHeight="1">
      <c r="A50" s="5"/>
      <c r="B50" s="48"/>
      <c r="C50" s="4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</row>
    <row r="51" ht="15.75" customHeight="1">
      <c r="A51" s="19" t="s">
        <v>19</v>
      </c>
      <c r="B51" s="51" t="str">
        <f t="shared" ref="B51:AQ51" si="49">SUM(B52:B54)</f>
        <v>#N/A</v>
      </c>
      <c r="C51" s="51" t="str">
        <f t="shared" si="49"/>
        <v>#N/A</v>
      </c>
      <c r="D51" s="53" t="str">
        <f t="shared" si="49"/>
        <v>#N/A</v>
      </c>
      <c r="E51" s="13" t="str">
        <f t="shared" si="49"/>
        <v>#N/A</v>
      </c>
      <c r="F51" s="14" t="str">
        <f t="shared" si="49"/>
        <v>#N/A</v>
      </c>
      <c r="G51" s="13" t="str">
        <f t="shared" si="49"/>
        <v>#N/A</v>
      </c>
      <c r="H51" s="14" t="str">
        <f t="shared" si="49"/>
        <v>#N/A</v>
      </c>
      <c r="I51" s="13" t="str">
        <f t="shared" si="49"/>
        <v>#N/A</v>
      </c>
      <c r="J51" s="14" t="str">
        <f t="shared" si="49"/>
        <v>#N/A</v>
      </c>
      <c r="K51" s="13" t="str">
        <f t="shared" si="49"/>
        <v>#N/A</v>
      </c>
      <c r="L51" s="14" t="str">
        <f t="shared" si="49"/>
        <v>#N/A</v>
      </c>
      <c r="M51" s="13" t="str">
        <f t="shared" si="49"/>
        <v>#N/A</v>
      </c>
      <c r="N51" s="14" t="str">
        <f t="shared" si="49"/>
        <v>#N/A</v>
      </c>
      <c r="O51" s="13" t="str">
        <f t="shared" si="49"/>
        <v>#N/A</v>
      </c>
      <c r="P51" s="14" t="str">
        <f t="shared" si="49"/>
        <v>#N/A</v>
      </c>
      <c r="Q51" s="13" t="str">
        <f t="shared" si="49"/>
        <v>#N/A</v>
      </c>
      <c r="R51" s="14" t="str">
        <f t="shared" si="49"/>
        <v>#N/A</v>
      </c>
      <c r="S51" s="13" t="str">
        <f t="shared" si="49"/>
        <v>#N/A</v>
      </c>
      <c r="T51" s="14" t="str">
        <f t="shared" si="49"/>
        <v>#N/A</v>
      </c>
      <c r="U51" s="13" t="str">
        <f t="shared" si="49"/>
        <v>#N/A</v>
      </c>
      <c r="V51" s="14" t="str">
        <f t="shared" si="49"/>
        <v>#N/A</v>
      </c>
      <c r="W51" s="13" t="str">
        <f t="shared" si="49"/>
        <v>#N/A</v>
      </c>
      <c r="X51" s="14" t="str">
        <f t="shared" si="49"/>
        <v>#N/A</v>
      </c>
      <c r="Y51" s="13" t="str">
        <f t="shared" si="49"/>
        <v>#N/A</v>
      </c>
      <c r="Z51" s="14" t="str">
        <f t="shared" si="49"/>
        <v>#N/A</v>
      </c>
      <c r="AA51" s="13" t="str">
        <f t="shared" si="49"/>
        <v>#N/A</v>
      </c>
      <c r="AB51" s="14" t="str">
        <f t="shared" si="49"/>
        <v>#N/A</v>
      </c>
      <c r="AC51" s="13" t="str">
        <f t="shared" si="49"/>
        <v>#N/A</v>
      </c>
      <c r="AD51" s="14" t="str">
        <f t="shared" si="49"/>
        <v>#N/A</v>
      </c>
      <c r="AE51" s="13" t="str">
        <f t="shared" si="49"/>
        <v>#N/A</v>
      </c>
      <c r="AF51" s="14" t="str">
        <f t="shared" si="49"/>
        <v>#N/A</v>
      </c>
      <c r="AG51" s="13" t="str">
        <f t="shared" si="49"/>
        <v>#N/A</v>
      </c>
      <c r="AH51" s="14" t="str">
        <f t="shared" si="49"/>
        <v>#N/A</v>
      </c>
      <c r="AI51" s="13" t="str">
        <f t="shared" si="49"/>
        <v>#N/A</v>
      </c>
      <c r="AJ51" s="14" t="str">
        <f t="shared" si="49"/>
        <v>#N/A</v>
      </c>
      <c r="AK51" s="13" t="str">
        <f t="shared" si="49"/>
        <v>#N/A</v>
      </c>
      <c r="AL51" s="14" t="str">
        <f t="shared" si="49"/>
        <v>#N/A</v>
      </c>
      <c r="AM51" s="13" t="str">
        <f t="shared" si="49"/>
        <v>#N/A</v>
      </c>
      <c r="AN51" s="14" t="str">
        <f t="shared" si="49"/>
        <v>#N/A</v>
      </c>
      <c r="AO51" s="13" t="str">
        <f t="shared" si="49"/>
        <v>#N/A</v>
      </c>
      <c r="AP51" s="14" t="str">
        <f t="shared" si="49"/>
        <v>#N/A</v>
      </c>
      <c r="AQ51" s="13" t="str">
        <f t="shared" si="49"/>
        <v>#N/A</v>
      </c>
      <c r="AR51" s="14"/>
      <c r="AS51" s="13"/>
      <c r="AT51" s="14"/>
      <c r="AU51" s="13"/>
      <c r="AV51" s="14"/>
      <c r="AW51" s="13"/>
      <c r="AX51" s="14"/>
      <c r="AY51" s="13"/>
      <c r="AZ51" s="14"/>
      <c r="BA51" s="13"/>
      <c r="BB51" s="14"/>
      <c r="BC51" s="13"/>
      <c r="BD51" s="14"/>
      <c r="BE51" s="13"/>
      <c r="BF51" s="14"/>
      <c r="BG51" s="13"/>
      <c r="BH51" s="14"/>
      <c r="BI51" s="13"/>
      <c r="BJ51" s="14"/>
      <c r="BK51" s="13"/>
      <c r="BL51" s="14"/>
      <c r="BM51" s="13"/>
      <c r="BN51" s="14"/>
      <c r="BO51" s="13"/>
      <c r="BP51" s="14"/>
      <c r="BQ51" s="13"/>
      <c r="BR51" s="14"/>
      <c r="BS51" s="13"/>
      <c r="BT51" s="14"/>
      <c r="BU51" s="13"/>
      <c r="BV51" s="14"/>
      <c r="BW51" s="13"/>
      <c r="BX51" s="14"/>
      <c r="BY51" s="13"/>
      <c r="BZ51" s="14"/>
      <c r="CA51" s="13"/>
      <c r="CB51" s="14"/>
      <c r="CC51" s="13"/>
      <c r="CD51" s="14"/>
      <c r="CE51" s="13"/>
      <c r="CF51" s="14"/>
      <c r="CG51" s="13"/>
      <c r="CH51" s="14"/>
      <c r="CI51" s="13"/>
      <c r="CJ51" s="14"/>
      <c r="CK51" s="13"/>
      <c r="CL51" s="14"/>
      <c r="CM51" s="13"/>
      <c r="CN51" s="14"/>
      <c r="CO51" s="13"/>
      <c r="CP51" s="14"/>
      <c r="CQ51" s="13"/>
      <c r="CR51" s="14"/>
      <c r="CS51" s="13"/>
      <c r="CT51" s="14"/>
      <c r="CU51" s="13"/>
      <c r="CV51" s="14"/>
      <c r="CW51" s="13"/>
      <c r="CX51" s="14"/>
      <c r="CY51" s="13"/>
      <c r="CZ51" s="14"/>
      <c r="DA51" s="13"/>
      <c r="DB51" s="14"/>
      <c r="DC51" s="13"/>
      <c r="DD51" s="14"/>
      <c r="DE51" s="13"/>
      <c r="DF51" s="14"/>
      <c r="DG51" s="13"/>
      <c r="DH51" s="14"/>
      <c r="DI51" s="13"/>
      <c r="DJ51" s="14"/>
      <c r="DK51" s="13"/>
      <c r="DL51" s="14"/>
      <c r="DM51" s="13"/>
      <c r="DN51" s="14"/>
      <c r="DO51" s="13"/>
      <c r="DP51" s="14"/>
      <c r="DQ51" s="13"/>
      <c r="DR51" s="14"/>
      <c r="DS51" s="13"/>
      <c r="DT51" s="14"/>
      <c r="DU51" s="13"/>
      <c r="DV51" s="14"/>
      <c r="DW51" s="13"/>
      <c r="DX51" s="14"/>
      <c r="DY51" s="13"/>
      <c r="DZ51" s="14"/>
      <c r="EA51" s="13"/>
      <c r="EB51" s="14"/>
      <c r="EC51" s="13"/>
      <c r="ED51" s="14"/>
      <c r="EE51" s="13"/>
      <c r="EF51" s="14"/>
      <c r="EG51" s="13"/>
      <c r="EH51" s="14"/>
      <c r="EI51" s="13"/>
      <c r="EJ51" s="14"/>
      <c r="EK51" s="13"/>
      <c r="EL51" s="14"/>
      <c r="EM51" s="13"/>
      <c r="EN51" s="14"/>
      <c r="EO51" s="13"/>
      <c r="EP51" s="14"/>
    </row>
    <row r="52" ht="15.75" customHeight="1">
      <c r="A52" s="6" t="str">
        <f>Menus!Q2</f>
        <v/>
      </c>
      <c r="B52" s="43" t="str">
        <f t="shared" ref="B52:B54" si="50">SUMIF($E$2:$EP$2, $C$2, D52:EP52
)</f>
        <v>#N/A</v>
      </c>
      <c r="C52" s="54" t="str">
        <f t="array" ref="C52">SUM(SUMIFS(INDIRECT($A$5),OtrosR!$C$3:$C65,$A52,OtrosR!$B$3:$B65,C$1))</f>
        <v>#N/A</v>
      </c>
      <c r="D52" s="55" t="str">
        <f t="array" ref="D52">SUM(SUMIFS(INDIRECT($A$5),OtrosR!$C$3:$C65,$A52,OtrosR!$B$3:$B65,D$1))</f>
        <v>#N/A</v>
      </c>
      <c r="E52" s="16" t="str">
        <f t="array" ref="E52">SUM(SUMIFS(INDIRECT($A$5),OtrosR!$C$3:$C65,$A52,OtrosR!$B$3:$B65,E$1))</f>
        <v>#N/A</v>
      </c>
      <c r="F52" s="17" t="str">
        <f t="array" ref="F52">SUM(SUMIFS(INDIRECT($A$5),OtrosR!$C$3:$C65,$A52,OtrosR!$B$3:$B65,F$1))</f>
        <v>#N/A</v>
      </c>
      <c r="G52" s="16" t="str">
        <f t="array" ref="G52">SUM(SUMIFS(INDIRECT($A$5),OtrosR!$C$3:$C65,$A52,OtrosR!$B$3:$B65,G$1))</f>
        <v>#N/A</v>
      </c>
      <c r="H52" s="17" t="str">
        <f t="array" ref="H52">SUM(SUMIFS(INDIRECT($A$5),OtrosR!$C$3:$C65,$A52,OtrosR!$B$3:$B65,H$1))</f>
        <v>#N/A</v>
      </c>
      <c r="I52" s="16" t="str">
        <f t="array" ref="I52">SUM(SUMIFS(INDIRECT($A$5),OtrosR!$C$3:$C65,$A52,OtrosR!$B$3:$B65,I$1))</f>
        <v>#N/A</v>
      </c>
      <c r="J52" s="17" t="str">
        <f t="array" ref="J52">SUM(SUMIFS(INDIRECT($A$5),OtrosR!$C$3:$C65,$A52,OtrosR!$B$3:$B65,J$1))</f>
        <v>#N/A</v>
      </c>
      <c r="K52" s="16" t="str">
        <f t="array" ref="K52">SUM(SUMIFS(INDIRECT($A$5),OtrosR!$C$3:$C65,$A52,OtrosR!$B$3:$B65,K$1))</f>
        <v>#N/A</v>
      </c>
      <c r="L52" s="17" t="str">
        <f t="array" ref="L52">SUM(SUMIFS(INDIRECT($A$5),OtrosR!$C$3:$C65,$A52,OtrosR!$B$3:$B65,L$1))</f>
        <v>#N/A</v>
      </c>
      <c r="M52" s="16" t="str">
        <f t="array" ref="M52">SUM(SUMIFS(INDIRECT($A$5),OtrosR!$C$3:$C65,$A52,OtrosR!$B$3:$B65,M$1))</f>
        <v>#N/A</v>
      </c>
      <c r="N52" s="17" t="str">
        <f t="array" ref="N52">SUM(SUMIFS(INDIRECT($A$5),OtrosR!$C$3:$C65,$A52,OtrosR!$B$3:$B65,N$1))</f>
        <v>#N/A</v>
      </c>
      <c r="O52" s="16" t="str">
        <f t="array" ref="O52">SUM(SUMIFS(INDIRECT($A$5),OtrosR!$C$3:$C65,$A52,OtrosR!$B$3:$B65,O$1))</f>
        <v>#N/A</v>
      </c>
      <c r="P52" s="17" t="str">
        <f t="array" ref="P52">SUM(SUMIFS(INDIRECT($A$5),OtrosR!$C$3:$C65,$A52,OtrosR!$B$3:$B65,P$1))</f>
        <v>#N/A</v>
      </c>
      <c r="Q52" s="16" t="str">
        <f t="array" ref="Q52">SUM(SUMIFS(INDIRECT($A$5),OtrosR!$C$3:$C65,$A52,OtrosR!$B$3:$B65,Q$1))</f>
        <v>#N/A</v>
      </c>
      <c r="R52" s="17" t="str">
        <f t="array" ref="R52">SUM(SUMIFS(INDIRECT($A$5),OtrosR!$C$3:$C65,$A52,OtrosR!$B$3:$B65,R$1))</f>
        <v>#N/A</v>
      </c>
      <c r="S52" s="16" t="str">
        <f t="array" ref="S52">SUM(SUMIFS(INDIRECT($A$5),OtrosR!$C$3:$C65,$A52,OtrosR!$B$3:$B65,S$1))</f>
        <v>#N/A</v>
      </c>
      <c r="T52" s="17" t="str">
        <f t="array" ref="T52">SUM(SUMIFS(INDIRECT($A$5),OtrosR!$C$3:$C65,$A52,OtrosR!$B$3:$B65,T$1))</f>
        <v>#N/A</v>
      </c>
      <c r="U52" s="16" t="str">
        <f t="array" ref="U52">SUM(SUMIFS(INDIRECT($A$5),OtrosR!$C$3:$C65,$A52,OtrosR!$B$3:$B65,U$1))</f>
        <v>#N/A</v>
      </c>
      <c r="V52" s="17" t="str">
        <f t="array" ref="V52">SUM(SUMIFS(INDIRECT($A$5),OtrosR!$C$3:$C65,$A52,OtrosR!$B$3:$B65,V$1))</f>
        <v>#N/A</v>
      </c>
      <c r="W52" s="16" t="str">
        <f t="array" ref="W52">SUM(SUMIFS(INDIRECT($A$5),OtrosR!$C$3:$C65,$A52,OtrosR!$B$3:$B65,W$1))</f>
        <v>#N/A</v>
      </c>
      <c r="X52" s="17" t="str">
        <f t="array" ref="X52">SUM(SUMIFS(INDIRECT($A$5),OtrosR!$C$3:$C65,$A52,OtrosR!$B$3:$B65,X$1))</f>
        <v>#N/A</v>
      </c>
      <c r="Y52" s="16" t="str">
        <f t="array" ref="Y52">SUM(SUMIFS(INDIRECT($A$5),OtrosR!$C$3:$C65,$A52,OtrosR!$B$3:$B65,Y$1))</f>
        <v>#N/A</v>
      </c>
      <c r="Z52" s="17" t="str">
        <f t="array" ref="Z52">SUM(SUMIFS(INDIRECT($A$5),OtrosR!$C$3:$C65,$A52,OtrosR!$B$3:$B65,Z$1))</f>
        <v>#N/A</v>
      </c>
      <c r="AA52" s="16" t="str">
        <f t="array" ref="AA52">SUM(SUMIFS(INDIRECT($A$5),OtrosR!$C$3:$C65,$A52,OtrosR!$B$3:$B65,AA$1))</f>
        <v>#N/A</v>
      </c>
      <c r="AB52" s="17" t="str">
        <f t="array" ref="AB52">SUM(SUMIFS(INDIRECT($A$5),OtrosR!$C$3:$C65,$A52,OtrosR!$B$3:$B65,AB$1))</f>
        <v>#N/A</v>
      </c>
      <c r="AC52" s="16" t="str">
        <f t="array" ref="AC52">SUM(SUMIFS(INDIRECT($A$5),OtrosR!$C$3:$C65,$A52,OtrosR!$B$3:$B65,AC$1))</f>
        <v>#N/A</v>
      </c>
      <c r="AD52" s="17" t="str">
        <f t="array" ref="AD52">SUM(SUMIFS(INDIRECT($A$5),OtrosR!$C$3:$C65,$A52,OtrosR!$B$3:$B65,AD$1))</f>
        <v>#N/A</v>
      </c>
      <c r="AE52" s="16" t="str">
        <f t="array" ref="AE52">SUM(SUMIFS(INDIRECT($A$5),OtrosR!$C$3:$C65,$A52,OtrosR!$B$3:$B65,AE$1))</f>
        <v>#N/A</v>
      </c>
      <c r="AF52" s="17" t="str">
        <f t="array" ref="AF52">SUM(SUMIFS(INDIRECT($A$5),OtrosR!$C$3:$C65,$A52,OtrosR!$B$3:$B65,AF$1))</f>
        <v>#N/A</v>
      </c>
      <c r="AG52" s="16" t="str">
        <f t="array" ref="AG52">SUM(SUMIFS(INDIRECT($A$5),OtrosR!$C$3:$C65,$A52,OtrosR!$B$3:$B65,AG$1))</f>
        <v>#N/A</v>
      </c>
      <c r="AH52" s="17" t="str">
        <f t="array" ref="AH52">SUM(SUMIFS(INDIRECT($A$5),OtrosR!$C$3:$C65,$A52,OtrosR!$B$3:$B65,AH$1))</f>
        <v>#N/A</v>
      </c>
      <c r="AI52" s="16" t="str">
        <f t="array" ref="AI52">SUM(SUMIFS(INDIRECT($A$5),OtrosR!$C$3:$C65,$A52,OtrosR!$B$3:$B65,AI$1))</f>
        <v>#N/A</v>
      </c>
      <c r="AJ52" s="17" t="str">
        <f t="array" ref="AJ52">SUM(SUMIFS(INDIRECT($A$5),OtrosR!$C$3:$C65,$A52,OtrosR!$B$3:$B65,AJ$1))</f>
        <v>#N/A</v>
      </c>
      <c r="AK52" s="16" t="str">
        <f t="array" ref="AK52">SUM(SUMIFS(INDIRECT($A$5),OtrosR!$C$3:$C65,$A52,OtrosR!$B$3:$B65,AK$1))</f>
        <v>#N/A</v>
      </c>
      <c r="AL52" s="17" t="str">
        <f t="array" ref="AL52">SUM(SUMIFS(INDIRECT($A$5),OtrosR!$C$3:$C65,$A52,OtrosR!$B$3:$B65,AL$1))</f>
        <v>#N/A</v>
      </c>
      <c r="AM52" s="16" t="str">
        <f t="array" ref="AM52">SUM(SUMIFS(INDIRECT($A$5),OtrosR!$C$3:$C65,$A52,OtrosR!$B$3:$B65,AM$1))</f>
        <v>#N/A</v>
      </c>
      <c r="AN52" s="17" t="str">
        <f t="array" ref="AN52">SUM(SUMIFS(INDIRECT($A$5),OtrosR!$C$3:$C65,$A52,OtrosR!$B$3:$B65,AN$1))</f>
        <v>#N/A</v>
      </c>
      <c r="AO52" s="16" t="str">
        <f t="array" ref="AO52">SUM(SUMIFS(INDIRECT($A$5),OtrosR!$C$3:$C65,$A52,OtrosR!$B$3:$B65,AO$1))</f>
        <v>#N/A</v>
      </c>
      <c r="AP52" s="17" t="str">
        <f t="array" ref="AP52">SUM(SUMIFS(INDIRECT($A$5),OtrosR!$C$3:$C65,$A52,OtrosR!$B$3:$B65,AP$1))</f>
        <v>#N/A</v>
      </c>
      <c r="AQ52" s="16" t="str">
        <f t="array" ref="AQ52">SUM(SUMIFS(INDIRECT($A$5),OtrosR!$C$3:$C65,$A52,OtrosR!$B$3:$B65,AQ$1))</f>
        <v>#N/A</v>
      </c>
      <c r="AR52" s="17" t="str">
        <f t="array" ref="AR52">SUM(SUMIFS(INDIRECT($A$5),OtrosR!$C$3:$C65,$A52,OtrosR!$B$3:$B65,AR$1))</f>
        <v>#N/A</v>
      </c>
      <c r="AS52" s="16" t="str">
        <f t="array" ref="AS52">SUM(SUMIFS(INDIRECT($A$5),OtrosR!$C$3:$C65,$A52,OtrosR!$B$3:$B65,AS$1))</f>
        <v>#N/A</v>
      </c>
      <c r="AT52" s="17" t="str">
        <f t="array" ref="AT52">SUM(SUMIFS(INDIRECT($A$5),OtrosR!$C$3:$C65,$A52,OtrosR!$B$3:$B65,AT$1))</f>
        <v>#N/A</v>
      </c>
      <c r="AU52" s="16" t="str">
        <f t="array" ref="AU52">SUM(SUMIFS(INDIRECT($A$5),OtrosR!$C$3:$C65,$A52,OtrosR!$B$3:$B65,AU$1))</f>
        <v>#N/A</v>
      </c>
      <c r="AV52" s="17" t="str">
        <f t="array" ref="AV52">SUM(SUMIFS(INDIRECT($A$5),OtrosR!$C$3:$C65,$A52,OtrosR!$B$3:$B65,AV$1))</f>
        <v>#N/A</v>
      </c>
      <c r="AW52" s="16" t="str">
        <f t="array" ref="AW52">SUM(SUMIFS(INDIRECT($A$5),OtrosR!$C$3:$C65,$A52,OtrosR!$B$3:$B65,AW$1))</f>
        <v>#N/A</v>
      </c>
      <c r="AX52" s="17" t="str">
        <f t="array" ref="AX52">SUM(SUMIFS(INDIRECT($A$5),OtrosR!$C$3:$C65,$A52,OtrosR!$B$3:$B65,AX$1))</f>
        <v>#N/A</v>
      </c>
      <c r="AY52" s="16" t="str">
        <f t="array" ref="AY52">SUM(SUMIFS(INDIRECT($A$5),OtrosR!$C$3:$C65,$A52,OtrosR!$B$3:$B65,AY$1))</f>
        <v>#N/A</v>
      </c>
      <c r="AZ52" s="17" t="str">
        <f t="array" ref="AZ52">SUM(SUMIFS(INDIRECT($A$5),OtrosR!$C$3:$C65,$A52,OtrosR!$B$3:$B65,AZ$1))</f>
        <v>#N/A</v>
      </c>
      <c r="BA52" s="16" t="str">
        <f t="array" ref="BA52">SUM(SUMIFS(INDIRECT($A$5),OtrosR!$C$3:$C65,$A52,OtrosR!$B$3:$B65,BA$1))</f>
        <v>#N/A</v>
      </c>
      <c r="BB52" s="17" t="str">
        <f t="array" ref="BB52">SUM(SUMIFS(INDIRECT($A$5),OtrosR!$C$3:$C65,$A52,OtrosR!$B$3:$B65,BB$1))</f>
        <v>#N/A</v>
      </c>
      <c r="BC52" s="16" t="str">
        <f t="array" ref="BC52">SUM(SUMIFS(INDIRECT($A$5),OtrosR!$C$3:$C65,$A52,OtrosR!$B$3:$B65,BC$1))</f>
        <v>#N/A</v>
      </c>
      <c r="BD52" s="17" t="str">
        <f t="array" ref="BD52">SUM(SUMIFS(INDIRECT($A$5),OtrosR!$C$3:$C65,$A52,OtrosR!$B$3:$B65,BD$1))</f>
        <v>#N/A</v>
      </c>
      <c r="BE52" s="16" t="str">
        <f t="array" ref="BE52">SUM(SUMIFS(INDIRECT($A$5),OtrosR!$C$3:$C65,$A52,OtrosR!$B$3:$B65,BE$1))</f>
        <v>#N/A</v>
      </c>
      <c r="BF52" s="17" t="str">
        <f t="array" ref="BF52">SUM(SUMIFS(INDIRECT($A$5),OtrosR!$C$3:$C65,$A52,OtrosR!$B$3:$B65,BF$1))</f>
        <v>#N/A</v>
      </c>
      <c r="BG52" s="16" t="str">
        <f t="array" ref="BG52">SUM(SUMIFS(INDIRECT($A$5),OtrosR!$C$3:$C65,$A52,OtrosR!$B$3:$B65,BG$1))</f>
        <v>#N/A</v>
      </c>
      <c r="BH52" s="17" t="str">
        <f t="array" ref="BH52">SUM(SUMIFS(INDIRECT($A$5),OtrosR!$C$3:$C65,$A52,OtrosR!$B$3:$B65,BH$1))</f>
        <v>#N/A</v>
      </c>
      <c r="BI52" s="16" t="str">
        <f t="array" ref="BI52">SUM(SUMIFS(INDIRECT($A$5),OtrosR!$C$3:$C65,$A52,OtrosR!$B$3:$B65,BI$1))</f>
        <v>#N/A</v>
      </c>
      <c r="BJ52" s="17" t="str">
        <f t="array" ref="BJ52">SUM(SUMIFS(INDIRECT($A$5),OtrosR!$C$3:$C65,$A52,OtrosR!$B$3:$B65,BJ$1))</f>
        <v>#N/A</v>
      </c>
      <c r="BK52" s="16" t="str">
        <f t="array" ref="BK52">SUM(SUMIFS(INDIRECT($A$5),OtrosR!$C$3:$C65,$A52,OtrosR!$B$3:$B65,BK$1))</f>
        <v>#N/A</v>
      </c>
      <c r="BL52" s="17" t="str">
        <f t="array" ref="BL52">SUM(SUMIFS(INDIRECT($A$5),OtrosR!$C$3:$C65,$A52,OtrosR!$B$3:$B65,BL$1))</f>
        <v>#N/A</v>
      </c>
      <c r="BM52" s="16" t="str">
        <f t="array" ref="BM52">SUM(SUMIFS(INDIRECT($A$5),OtrosR!$C$3:$C65,$A52,OtrosR!$B$3:$B65,BM$1))</f>
        <v>#N/A</v>
      </c>
      <c r="BN52" s="17" t="str">
        <f t="array" ref="BN52">SUM(SUMIFS(INDIRECT($A$5),OtrosR!$C$3:$C65,$A52,OtrosR!$B$3:$B65,BN$1))</f>
        <v>#N/A</v>
      </c>
      <c r="BO52" s="16" t="str">
        <f t="array" ref="BO52">SUM(SUMIFS(INDIRECT($A$5),OtrosR!$C$3:$C65,$A52,OtrosR!$B$3:$B65,BO$1))</f>
        <v>#N/A</v>
      </c>
      <c r="BP52" s="17" t="str">
        <f t="array" ref="BP52">SUM(SUMIFS(INDIRECT($A$5),OtrosR!$C$3:$C65,$A52,OtrosR!$B$3:$B65,BP$1))</f>
        <v>#N/A</v>
      </c>
      <c r="BQ52" s="16" t="str">
        <f t="array" ref="BQ52">SUM(SUMIFS(INDIRECT($A$5),OtrosR!$C$3:$C65,$A52,OtrosR!$B$3:$B65,BQ$1))</f>
        <v>#N/A</v>
      </c>
      <c r="BR52" s="17" t="str">
        <f t="array" ref="BR52">SUM(SUMIFS(INDIRECT($A$5),OtrosR!$C$3:$C65,$A52,OtrosR!$B$3:$B65,BR$1))</f>
        <v>#N/A</v>
      </c>
      <c r="BS52" s="16" t="str">
        <f t="array" ref="BS52">SUM(SUMIFS(INDIRECT($A$5),OtrosR!$C$3:$C65,$A52,OtrosR!$B$3:$B65,BS$1))</f>
        <v>#N/A</v>
      </c>
      <c r="BT52" s="17" t="str">
        <f t="array" ref="BT52">SUM(SUMIFS(INDIRECT($A$5),OtrosR!$C$3:$C65,$A52,OtrosR!$B$3:$B65,BT$1))</f>
        <v>#N/A</v>
      </c>
      <c r="BU52" s="16" t="str">
        <f t="array" ref="BU52">SUM(SUMIFS(INDIRECT($A$5),OtrosR!$C$3:$C65,$A52,OtrosR!$B$3:$B65,BU$1))</f>
        <v>#N/A</v>
      </c>
      <c r="BV52" s="17" t="str">
        <f t="array" ref="BV52">SUM(SUMIFS(INDIRECT($A$5),OtrosR!$C$3:$C65,$A52,OtrosR!$B$3:$B65,BV$1))</f>
        <v>#N/A</v>
      </c>
      <c r="BW52" s="16" t="str">
        <f t="array" ref="BW52">SUM(SUMIFS(INDIRECT($A$5),OtrosR!$C$3:$C65,$A52,OtrosR!$B$3:$B65,BW$1))</f>
        <v>#N/A</v>
      </c>
      <c r="BX52" s="17" t="str">
        <f t="array" ref="BX52">SUM(SUMIFS(INDIRECT($A$5),OtrosR!$C$3:$C65,$A52,OtrosR!$B$3:$B65,BX$1))</f>
        <v>#N/A</v>
      </c>
      <c r="BY52" s="16" t="str">
        <f t="array" ref="BY52">SUM(SUMIFS(INDIRECT($A$5),OtrosR!$C$3:$C65,$A52,OtrosR!$B$3:$B65,BY$1))</f>
        <v>#N/A</v>
      </c>
      <c r="BZ52" s="17" t="str">
        <f t="array" ref="BZ52">SUM(SUMIFS(INDIRECT($A$5),OtrosR!$C$3:$C65,$A52,OtrosR!$B$3:$B65,BZ$1))</f>
        <v>#N/A</v>
      </c>
      <c r="CA52" s="16" t="str">
        <f t="array" ref="CA52">SUM(SUMIFS(INDIRECT($A$5),OtrosR!$C$3:$C65,$A52,OtrosR!$B$3:$B65,CA$1))</f>
        <v>#N/A</v>
      </c>
      <c r="CB52" s="17" t="str">
        <f t="array" ref="CB52">SUM(SUMIFS(INDIRECT($A$5),OtrosR!$C$3:$C65,$A52,OtrosR!$B$3:$B65,CB$1))</f>
        <v>#N/A</v>
      </c>
      <c r="CC52" s="16" t="str">
        <f t="array" ref="CC52">SUM(SUMIFS(INDIRECT($A$5),OtrosR!$C$3:$C65,$A52,OtrosR!$B$3:$B65,CC$1))</f>
        <v>#N/A</v>
      </c>
      <c r="CD52" s="17" t="str">
        <f t="array" ref="CD52">SUM(SUMIFS(INDIRECT($A$5),OtrosR!$C$3:$C65,$A52,OtrosR!$B$3:$B65,CD$1))</f>
        <v>#N/A</v>
      </c>
      <c r="CE52" s="16" t="str">
        <f t="array" ref="CE52">SUM(SUMIFS(INDIRECT($A$5),OtrosR!$C$3:$C65,$A52,OtrosR!$B$3:$B65,CE$1))</f>
        <v>#N/A</v>
      </c>
      <c r="CF52" s="17" t="str">
        <f t="array" ref="CF52">SUM(SUMIFS(INDIRECT($A$5),OtrosR!$C$3:$C65,$A52,OtrosR!$B$3:$B65,CF$1))</f>
        <v>#N/A</v>
      </c>
      <c r="CG52" s="16" t="str">
        <f t="array" ref="CG52">SUM(SUMIFS(INDIRECT($A$5),OtrosR!$C$3:$C65,$A52,OtrosR!$B$3:$B65,CG$1))</f>
        <v>#N/A</v>
      </c>
      <c r="CH52" s="17" t="str">
        <f t="array" ref="CH52">SUM(SUMIFS(INDIRECT($A$5),OtrosR!$C$3:$C65,$A52,OtrosR!$B$3:$B65,CH$1))</f>
        <v>#N/A</v>
      </c>
      <c r="CI52" s="16" t="str">
        <f t="array" ref="CI52">SUM(SUMIFS(INDIRECT($A$5),OtrosR!$C$3:$C65,$A52,OtrosR!$B$3:$B65,CI$1))</f>
        <v>#N/A</v>
      </c>
      <c r="CJ52" s="17" t="str">
        <f t="array" ref="CJ52">SUM(SUMIFS(INDIRECT($A$5),OtrosR!$C$3:$C65,$A52,OtrosR!$B$3:$B65,CJ$1))</f>
        <v>#N/A</v>
      </c>
      <c r="CK52" s="16" t="str">
        <f t="array" ref="CK52">SUM(SUMIFS(INDIRECT($A$5),OtrosR!$C$3:$C65,$A52,OtrosR!$B$3:$B65,CK$1))</f>
        <v>#N/A</v>
      </c>
      <c r="CL52" s="17" t="str">
        <f t="array" ref="CL52">SUM(SUMIFS(INDIRECT($A$5),OtrosR!$C$3:$C65,$A52,OtrosR!$B$3:$B65,CL$1))</f>
        <v>#N/A</v>
      </c>
      <c r="CM52" s="16" t="str">
        <f t="array" ref="CM52">SUM(SUMIFS(INDIRECT($A$5),OtrosR!$C$3:$C65,$A52,OtrosR!$B$3:$B65,CM$1))</f>
        <v>#N/A</v>
      </c>
      <c r="CN52" s="17" t="str">
        <f t="array" ref="CN52">SUM(SUMIFS(INDIRECT($A$5),OtrosR!$C$3:$C65,$A52,OtrosR!$B$3:$B65,CN$1))</f>
        <v>#N/A</v>
      </c>
      <c r="CO52" s="16" t="str">
        <f t="array" ref="CO52">SUM(SUMIFS(INDIRECT($A$5),OtrosR!$C$3:$C65,$A52,OtrosR!$B$3:$B65,CO$1))</f>
        <v>#N/A</v>
      </c>
      <c r="CP52" s="17" t="str">
        <f t="array" ref="CP52">SUM(SUMIFS(INDIRECT($A$5),OtrosR!$C$3:$C65,$A52,OtrosR!$B$3:$B65,CP$1))</f>
        <v>#N/A</v>
      </c>
      <c r="CQ52" s="16" t="str">
        <f t="array" ref="CQ52">SUM(SUMIFS(INDIRECT($A$5),OtrosR!$C$3:$C65,$A52,OtrosR!$B$3:$B65,CQ$1))</f>
        <v>#N/A</v>
      </c>
      <c r="CR52" s="17" t="str">
        <f t="array" ref="CR52">SUM(SUMIFS(INDIRECT($A$5),OtrosR!$C$3:$C65,$A52,OtrosR!$B$3:$B65,CR$1))</f>
        <v>#N/A</v>
      </c>
      <c r="CS52" s="16" t="str">
        <f t="array" ref="CS52">SUM(SUMIFS(INDIRECT($A$5),OtrosR!$C$3:$C65,$A52,OtrosR!$B$3:$B65,CS$1))</f>
        <v>#N/A</v>
      </c>
      <c r="CT52" s="17" t="str">
        <f t="array" ref="CT52">SUM(SUMIFS(INDIRECT($A$5),OtrosR!$C$3:$C65,$A52,OtrosR!$B$3:$B65,CT$1))</f>
        <v>#N/A</v>
      </c>
      <c r="CU52" s="16" t="str">
        <f t="array" ref="CU52">SUM(SUMIFS(INDIRECT($A$5),OtrosR!$C$3:$C65,$A52,OtrosR!$B$3:$B65,CU$1))</f>
        <v>#N/A</v>
      </c>
      <c r="CV52" s="17" t="str">
        <f t="array" ref="CV52">SUM(SUMIFS(INDIRECT($A$5),OtrosR!$C$3:$C65,$A52,OtrosR!$B$3:$B65,CV$1))</f>
        <v>#N/A</v>
      </c>
      <c r="CW52" s="16" t="str">
        <f t="array" ref="CW52">SUM(SUMIFS(INDIRECT($A$5),OtrosR!$C$3:$C65,$A52,OtrosR!$B$3:$B65,CW$1))</f>
        <v>#N/A</v>
      </c>
      <c r="CX52" s="17" t="str">
        <f t="array" ref="CX52">SUM(SUMIFS(INDIRECT($A$5),OtrosR!$C$3:$C65,$A52,OtrosR!$B$3:$B65,CX$1))</f>
        <v>#N/A</v>
      </c>
      <c r="CY52" s="16" t="str">
        <f t="array" ref="CY52">SUM(SUMIFS(INDIRECT($A$5),OtrosR!$C$3:$C65,$A52,OtrosR!$B$3:$B65,CY$1))</f>
        <v>#N/A</v>
      </c>
      <c r="CZ52" s="17" t="str">
        <f t="array" ref="CZ52">SUM(SUMIFS(INDIRECT($A$5),OtrosR!$C$3:$C65,$A52,OtrosR!$B$3:$B65,CZ$1))</f>
        <v>#N/A</v>
      </c>
      <c r="DA52" s="16" t="str">
        <f t="array" ref="DA52">SUM(SUMIFS(INDIRECT($A$5),OtrosR!$C$3:$C65,$A52,OtrosR!$B$3:$B65,DA$1))</f>
        <v>#N/A</v>
      </c>
      <c r="DB52" s="17" t="str">
        <f t="array" ref="DB52">SUM(SUMIFS(INDIRECT($A$5),OtrosR!$C$3:$C65,$A52,OtrosR!$B$3:$B65,DB$1))</f>
        <v>#N/A</v>
      </c>
      <c r="DC52" s="16" t="str">
        <f t="array" ref="DC52">SUM(SUMIFS(INDIRECT($A$5),OtrosR!$C$3:$C65,$A52,OtrosR!$B$3:$B65,DC$1))</f>
        <v>#N/A</v>
      </c>
      <c r="DD52" s="17" t="str">
        <f t="array" ref="DD52">SUM(SUMIFS(INDIRECT($A$5),OtrosR!$C$3:$C65,$A52,OtrosR!$B$3:$B65,DD$1))</f>
        <v>#N/A</v>
      </c>
      <c r="DE52" s="16" t="str">
        <f t="array" ref="DE52">SUM(SUMIFS(INDIRECT($A$5),OtrosR!$C$3:$C65,$A52,OtrosR!$B$3:$B65,DE$1))</f>
        <v>#N/A</v>
      </c>
      <c r="DF52" s="17" t="str">
        <f t="array" ref="DF52">SUM(SUMIFS(INDIRECT($A$5),OtrosR!$C$3:$C65,$A52,OtrosR!$B$3:$B65,DF$1))</f>
        <v>#N/A</v>
      </c>
      <c r="DG52" s="16" t="str">
        <f t="array" ref="DG52">SUM(SUMIFS(INDIRECT($A$5),OtrosR!$C$3:$C65,$A52,OtrosR!$B$3:$B65,DG$1))</f>
        <v>#N/A</v>
      </c>
      <c r="DH52" s="17" t="str">
        <f t="array" ref="DH52">SUM(SUMIFS(INDIRECT($A$5),OtrosR!$C$3:$C65,$A52,OtrosR!$B$3:$B65,DH$1))</f>
        <v>#N/A</v>
      </c>
      <c r="DI52" s="16" t="str">
        <f t="array" ref="DI52">SUM(SUMIFS(INDIRECT($A$5),OtrosR!$C$3:$C65,$A52,OtrosR!$B$3:$B65,DI$1))</f>
        <v>#N/A</v>
      </c>
      <c r="DJ52" s="17" t="str">
        <f t="array" ref="DJ52">SUM(SUMIFS(INDIRECT($A$5),OtrosR!$C$3:$C65,$A52,OtrosR!$B$3:$B65,DJ$1))</f>
        <v>#N/A</v>
      </c>
      <c r="DK52" s="16" t="str">
        <f t="array" ref="DK52">SUM(SUMIFS(INDIRECT($A$5),OtrosR!$C$3:$C65,$A52,OtrosR!$B$3:$B65,DK$1))</f>
        <v>#N/A</v>
      </c>
      <c r="DL52" s="17" t="str">
        <f t="array" ref="DL52">SUM(SUMIFS(INDIRECT($A$5),OtrosR!$C$3:$C65,$A52,OtrosR!$B$3:$B65,DL$1))</f>
        <v>#N/A</v>
      </c>
      <c r="DM52" s="16" t="str">
        <f t="array" ref="DM52">SUM(SUMIFS(INDIRECT($A$5),OtrosR!$C$3:$C65,$A52,OtrosR!$B$3:$B65,DM$1))</f>
        <v>#N/A</v>
      </c>
      <c r="DN52" s="17" t="str">
        <f t="array" ref="DN52">SUM(SUMIFS(INDIRECT($A$5),OtrosR!$C$3:$C65,$A52,OtrosR!$B$3:$B65,DN$1))</f>
        <v>#N/A</v>
      </c>
      <c r="DO52" s="16" t="str">
        <f t="array" ref="DO52">SUM(SUMIFS(INDIRECT($A$5),OtrosR!$C$3:$C65,$A52,OtrosR!$B$3:$B65,DO$1))</f>
        <v>#N/A</v>
      </c>
      <c r="DP52" s="17" t="str">
        <f t="array" ref="DP52">SUM(SUMIFS(INDIRECT($A$5),OtrosR!$C$3:$C65,$A52,OtrosR!$B$3:$B65,DP$1))</f>
        <v>#N/A</v>
      </c>
      <c r="DQ52" s="16" t="str">
        <f t="array" ref="DQ52">SUM(SUMIFS(INDIRECT($A$5),OtrosR!$C$3:$C65,$A52,OtrosR!$B$3:$B65,DQ$1))</f>
        <v>#N/A</v>
      </c>
      <c r="DR52" s="17" t="str">
        <f t="array" ref="DR52">SUM(SUMIFS(INDIRECT($A$5),OtrosR!$C$3:$C65,$A52,OtrosR!$B$3:$B65,DR$1))</f>
        <v>#N/A</v>
      </c>
      <c r="DS52" s="16" t="str">
        <f t="array" ref="DS52">SUM(SUMIFS(INDIRECT($A$5),OtrosR!$C$3:$C65,$A52,OtrosR!$B$3:$B65,DS$1))</f>
        <v>#N/A</v>
      </c>
      <c r="DT52" s="17" t="str">
        <f t="array" ref="DT52">SUM(SUMIFS(INDIRECT($A$5),OtrosR!$C$3:$C65,$A52,OtrosR!$B$3:$B65,DT$1))</f>
        <v>#N/A</v>
      </c>
      <c r="DU52" s="16" t="str">
        <f t="array" ref="DU52">SUM(SUMIFS(INDIRECT($A$5),OtrosR!$C$3:$C65,$A52,OtrosR!$B$3:$B65,DU$1))</f>
        <v>#N/A</v>
      </c>
      <c r="DV52" s="17" t="str">
        <f t="array" ref="DV52">SUM(SUMIFS(INDIRECT($A$5),OtrosR!$C$3:$C65,$A52,OtrosR!$B$3:$B65,DV$1))</f>
        <v>#N/A</v>
      </c>
      <c r="DW52" s="16" t="str">
        <f t="array" ref="DW52">SUM(SUMIFS(INDIRECT($A$5),OtrosR!$C$3:$C65,$A52,OtrosR!$B$3:$B65,DW$1))</f>
        <v>#N/A</v>
      </c>
      <c r="DX52" s="17" t="str">
        <f t="array" ref="DX52">SUM(SUMIFS(INDIRECT($A$5),OtrosR!$C$3:$C65,$A52,OtrosR!$B$3:$B65,DX$1))</f>
        <v>#N/A</v>
      </c>
      <c r="DY52" s="16" t="str">
        <f t="array" ref="DY52">SUM(SUMIFS(INDIRECT($A$5),OtrosR!$C$3:$C65,$A52,OtrosR!$B$3:$B65,DY$1))</f>
        <v>#N/A</v>
      </c>
      <c r="DZ52" s="17" t="str">
        <f t="array" ref="DZ52">SUM(SUMIFS(INDIRECT($A$5),OtrosR!$C$3:$C65,$A52,OtrosR!$B$3:$B65,DZ$1))</f>
        <v>#N/A</v>
      </c>
      <c r="EA52" s="16" t="str">
        <f t="array" ref="EA52">SUM(SUMIFS(INDIRECT($A$5),OtrosR!$C$3:$C65,$A52,OtrosR!$B$3:$B65,EA$1))</f>
        <v>#N/A</v>
      </c>
      <c r="EB52" s="17" t="str">
        <f t="array" ref="EB52">SUM(SUMIFS(INDIRECT($A$5),OtrosR!$C$3:$C65,$A52,OtrosR!$B$3:$B65,EB$1))</f>
        <v>#N/A</v>
      </c>
      <c r="EC52" s="16" t="str">
        <f t="array" ref="EC52">SUM(SUMIFS(INDIRECT($A$5),OtrosR!$C$3:$C65,$A52,OtrosR!$B$3:$B65,EC$1))</f>
        <v>#N/A</v>
      </c>
      <c r="ED52" s="17" t="str">
        <f t="array" ref="ED52">SUM(SUMIFS(INDIRECT($A$5),OtrosR!$C$3:$C65,$A52,OtrosR!$B$3:$B65,ED$1))</f>
        <v>#N/A</v>
      </c>
      <c r="EE52" s="16" t="str">
        <f t="array" ref="EE52">SUM(SUMIFS(INDIRECT($A$5),OtrosR!$C$3:$C65,$A52,OtrosR!$B$3:$B65,EE$1))</f>
        <v>#N/A</v>
      </c>
      <c r="EF52" s="17" t="str">
        <f t="array" ref="EF52">SUM(SUMIFS(INDIRECT($A$5),OtrosR!$C$3:$C65,$A52,OtrosR!$B$3:$B65,EF$1))</f>
        <v>#N/A</v>
      </c>
      <c r="EG52" s="16" t="str">
        <f t="array" ref="EG52">SUM(SUMIFS(INDIRECT($A$5),OtrosR!$C$3:$C65,$A52,OtrosR!$B$3:$B65,EG$1))</f>
        <v>#N/A</v>
      </c>
      <c r="EH52" s="17" t="str">
        <f t="array" ref="EH52">SUM(SUMIFS(INDIRECT($A$5),OtrosR!$C$3:$C65,$A52,OtrosR!$B$3:$B65,EH$1))</f>
        <v>#N/A</v>
      </c>
      <c r="EI52" s="16" t="str">
        <f t="array" ref="EI52">SUM(SUMIFS(INDIRECT($A$5),OtrosR!$C$3:$C65,$A52,OtrosR!$B$3:$B65,EI$1))</f>
        <v>#N/A</v>
      </c>
      <c r="EJ52" s="17" t="str">
        <f t="array" ref="EJ52">SUM(SUMIFS(INDIRECT($A$5),OtrosR!$C$3:$C65,$A52,OtrosR!$B$3:$B65,EJ$1))</f>
        <v>#N/A</v>
      </c>
      <c r="EK52" s="16" t="str">
        <f t="array" ref="EK52">SUM(SUMIFS(INDIRECT($A$5),OtrosR!$C$3:$C65,$A52,OtrosR!$B$3:$B65,EK$1))</f>
        <v>#N/A</v>
      </c>
      <c r="EL52" s="17" t="str">
        <f t="array" ref="EL52">SUM(SUMIFS(INDIRECT($A$5),OtrosR!$C$3:$C65,$A52,OtrosR!$B$3:$B65,EL$1))</f>
        <v>#N/A</v>
      </c>
      <c r="EM52" s="16" t="str">
        <f t="array" ref="EM52">SUM(SUMIFS(INDIRECT($A$5),OtrosR!$C$3:$C65,$A52,OtrosR!$B$3:$B65,EM$1))</f>
        <v>#N/A</v>
      </c>
      <c r="EN52" s="17" t="str">
        <f t="array" ref="EN52">SUM(SUMIFS(INDIRECT($A$5),OtrosR!$C$3:$C65,$A52,OtrosR!$B$3:$B65,EN$1))</f>
        <v>#N/A</v>
      </c>
      <c r="EO52" s="16" t="str">
        <f t="array" ref="EO52">SUM(SUMIFS(INDIRECT($A$5),OtrosR!$C$3:$C65,$A52,OtrosR!$B$3:$B65,EO$1))</f>
        <v>#N/A</v>
      </c>
      <c r="EP52" s="17" t="str">
        <f t="array" ref="EP52">SUM(SUMIFS(INDIRECT($A$5),OtrosR!$C$3:$C65,$A52,OtrosR!$B$3:$B65,EP$1))</f>
        <v>#N/A</v>
      </c>
    </row>
    <row r="53" ht="15.75" customHeight="1">
      <c r="B53" s="43" t="str">
        <f t="shared" si="50"/>
        <v>#N/A</v>
      </c>
      <c r="C53" s="54" t="str">
        <f t="array" ref="C53">SUM(SUMIFS(INDIRECT($A$5),OtrosR!$C$3:$C65,$A53,OtrosR!$B$3:$B65,C$1))</f>
        <v>#N/A</v>
      </c>
      <c r="D53" s="55" t="str">
        <f t="array" ref="D53">SUM(SUMIFS(INDIRECT($A$5),OtrosR!$C$3:$C65,$A53,OtrosR!$B$3:$B65,D$1))</f>
        <v>#N/A</v>
      </c>
      <c r="E53" s="16" t="str">
        <f t="array" ref="E53">SUM(SUMIFS(INDIRECT($A$5),OtrosR!$C$3:$C65,$A53,OtrosR!$B$3:$B65,E$1))</f>
        <v>#N/A</v>
      </c>
      <c r="F53" s="17" t="str">
        <f t="array" ref="F53">SUM(SUMIFS(INDIRECT($A$5),OtrosR!$C$3:$C65,$A53,OtrosR!$B$3:$B65,F$1))</f>
        <v>#N/A</v>
      </c>
      <c r="G53" s="16" t="str">
        <f t="array" ref="G53">SUM(SUMIFS(INDIRECT($A$5),OtrosR!$C$3:$C65,$A53,OtrosR!$B$3:$B65,G$1))</f>
        <v>#N/A</v>
      </c>
      <c r="H53" s="17" t="str">
        <f t="array" ref="H53">SUM(SUMIFS(INDIRECT($A$5),OtrosR!$C$3:$C65,$A53,OtrosR!$B$3:$B65,H$1))</f>
        <v>#N/A</v>
      </c>
      <c r="I53" s="16" t="str">
        <f t="array" ref="I53">SUM(SUMIFS(INDIRECT($A$5),OtrosR!$C$3:$C65,$A53,OtrosR!$B$3:$B65,I$1))</f>
        <v>#N/A</v>
      </c>
      <c r="J53" s="17" t="str">
        <f t="array" ref="J53">SUM(SUMIFS(INDIRECT($A$5),OtrosR!$C$3:$C65,$A53,OtrosR!$B$3:$B65,J$1))</f>
        <v>#N/A</v>
      </c>
      <c r="K53" s="16" t="str">
        <f t="array" ref="K53">SUM(SUMIFS(INDIRECT($A$5),OtrosR!$C$3:$C65,$A53,OtrosR!$B$3:$B65,K$1))</f>
        <v>#N/A</v>
      </c>
      <c r="L53" s="17" t="str">
        <f t="array" ref="L53">SUM(SUMIFS(INDIRECT($A$5),OtrosR!$C$3:$C65,$A53,OtrosR!$B$3:$B65,L$1))</f>
        <v>#N/A</v>
      </c>
      <c r="M53" s="16" t="str">
        <f t="array" ref="M53">SUM(SUMIFS(INDIRECT($A$5),OtrosR!$C$3:$C65,$A53,OtrosR!$B$3:$B65,M$1))</f>
        <v>#N/A</v>
      </c>
      <c r="N53" s="17" t="str">
        <f t="array" ref="N53">SUM(SUMIFS(INDIRECT($A$5),OtrosR!$C$3:$C65,$A53,OtrosR!$B$3:$B65,N$1))</f>
        <v>#N/A</v>
      </c>
      <c r="O53" s="16" t="str">
        <f t="array" ref="O53">SUM(SUMIFS(INDIRECT($A$5),OtrosR!$C$3:$C65,$A53,OtrosR!$B$3:$B65,O$1))</f>
        <v>#N/A</v>
      </c>
      <c r="P53" s="17" t="str">
        <f t="array" ref="P53">SUM(SUMIFS(INDIRECT($A$5),OtrosR!$C$3:$C65,$A53,OtrosR!$B$3:$B65,P$1))</f>
        <v>#N/A</v>
      </c>
      <c r="Q53" s="16" t="str">
        <f t="array" ref="Q53">SUM(SUMIFS(INDIRECT($A$5),OtrosR!$C$3:$C65,$A53,OtrosR!$B$3:$B65,Q$1))</f>
        <v>#N/A</v>
      </c>
      <c r="R53" s="17" t="str">
        <f t="array" ref="R53">SUM(SUMIFS(INDIRECT($A$5),OtrosR!$C$3:$C65,$A53,OtrosR!$B$3:$B65,R$1))</f>
        <v>#N/A</v>
      </c>
      <c r="S53" s="16" t="str">
        <f t="array" ref="S53">SUM(SUMIFS(INDIRECT($A$5),OtrosR!$C$3:$C65,$A53,OtrosR!$B$3:$B65,S$1))</f>
        <v>#N/A</v>
      </c>
      <c r="T53" s="17" t="str">
        <f t="array" ref="T53">SUM(SUMIFS(INDIRECT($A$5),OtrosR!$C$3:$C65,$A53,OtrosR!$B$3:$B65,T$1))</f>
        <v>#N/A</v>
      </c>
      <c r="U53" s="16" t="str">
        <f t="array" ref="U53">SUM(SUMIFS(INDIRECT($A$5),OtrosR!$C$3:$C65,$A53,OtrosR!$B$3:$B65,U$1))</f>
        <v>#N/A</v>
      </c>
      <c r="V53" s="17" t="str">
        <f t="array" ref="V53">SUM(SUMIFS(INDIRECT($A$5),OtrosR!$C$3:$C65,$A53,OtrosR!$B$3:$B65,V$1))</f>
        <v>#N/A</v>
      </c>
      <c r="W53" s="16" t="str">
        <f t="array" ref="W53">SUM(SUMIFS(INDIRECT($A$5),OtrosR!$C$3:$C65,$A53,OtrosR!$B$3:$B65,W$1))</f>
        <v>#N/A</v>
      </c>
      <c r="X53" s="17" t="str">
        <f t="array" ref="X53">SUM(SUMIFS(INDIRECT($A$5),OtrosR!$C$3:$C65,$A53,OtrosR!$B$3:$B65,X$1))</f>
        <v>#N/A</v>
      </c>
      <c r="Y53" s="16" t="str">
        <f t="array" ref="Y53">SUM(SUMIFS(INDIRECT($A$5),OtrosR!$C$3:$C65,$A53,OtrosR!$B$3:$B65,Y$1))</f>
        <v>#N/A</v>
      </c>
      <c r="Z53" s="17" t="str">
        <f t="array" ref="Z53">SUM(SUMIFS(INDIRECT($A$5),OtrosR!$C$3:$C65,$A53,OtrosR!$B$3:$B65,Z$1))</f>
        <v>#N/A</v>
      </c>
      <c r="AA53" s="16" t="str">
        <f t="array" ref="AA53">SUM(SUMIFS(INDIRECT($A$5),OtrosR!$C$3:$C65,$A53,OtrosR!$B$3:$B65,AA$1))</f>
        <v>#N/A</v>
      </c>
      <c r="AB53" s="17" t="str">
        <f t="array" ref="AB53">SUM(SUMIFS(INDIRECT($A$5),OtrosR!$C$3:$C65,$A53,OtrosR!$B$3:$B65,AB$1))</f>
        <v>#N/A</v>
      </c>
      <c r="AC53" s="16" t="str">
        <f t="array" ref="AC53">SUM(SUMIFS(INDIRECT($A$5),OtrosR!$C$3:$C65,$A53,OtrosR!$B$3:$B65,AC$1))</f>
        <v>#N/A</v>
      </c>
      <c r="AD53" s="17" t="str">
        <f t="array" ref="AD53">SUM(SUMIFS(INDIRECT($A$5),OtrosR!$C$3:$C65,$A53,OtrosR!$B$3:$B65,AD$1))</f>
        <v>#N/A</v>
      </c>
      <c r="AE53" s="16" t="str">
        <f t="array" ref="AE53">SUM(SUMIFS(INDIRECT($A$5),OtrosR!$C$3:$C65,$A53,OtrosR!$B$3:$B65,AE$1))</f>
        <v>#N/A</v>
      </c>
      <c r="AF53" s="17" t="str">
        <f t="array" ref="AF53">SUM(SUMIFS(INDIRECT($A$5),OtrosR!$C$3:$C65,$A53,OtrosR!$B$3:$B65,AF$1))</f>
        <v>#N/A</v>
      </c>
      <c r="AG53" s="16" t="str">
        <f t="array" ref="AG53">SUM(SUMIFS(INDIRECT($A$5),OtrosR!$C$3:$C65,$A53,OtrosR!$B$3:$B65,AG$1))</f>
        <v>#N/A</v>
      </c>
      <c r="AH53" s="17" t="str">
        <f t="array" ref="AH53">SUM(SUMIFS(INDIRECT($A$5),OtrosR!$C$3:$C65,$A53,OtrosR!$B$3:$B65,AH$1))</f>
        <v>#N/A</v>
      </c>
      <c r="AI53" s="16" t="str">
        <f t="array" ref="AI53">SUM(SUMIFS(INDIRECT($A$5),OtrosR!$C$3:$C65,$A53,OtrosR!$B$3:$B65,AI$1))</f>
        <v>#N/A</v>
      </c>
      <c r="AJ53" s="17" t="str">
        <f t="array" ref="AJ53">SUM(SUMIFS(INDIRECT($A$5),OtrosR!$C$3:$C65,$A53,OtrosR!$B$3:$B65,AJ$1))</f>
        <v>#N/A</v>
      </c>
      <c r="AK53" s="16" t="str">
        <f t="array" ref="AK53">SUM(SUMIFS(INDIRECT($A$5),OtrosR!$C$3:$C65,$A53,OtrosR!$B$3:$B65,AK$1))</f>
        <v>#N/A</v>
      </c>
      <c r="AL53" s="17" t="str">
        <f t="array" ref="AL53">SUM(SUMIFS(INDIRECT($A$5),OtrosR!$C$3:$C65,$A53,OtrosR!$B$3:$B65,AL$1))</f>
        <v>#N/A</v>
      </c>
      <c r="AM53" s="16" t="str">
        <f t="array" ref="AM53">SUM(SUMIFS(INDIRECT($A$5),OtrosR!$C$3:$C65,$A53,OtrosR!$B$3:$B65,AM$1))</f>
        <v>#N/A</v>
      </c>
      <c r="AN53" s="17" t="str">
        <f t="array" ref="AN53">SUM(SUMIFS(INDIRECT($A$5),OtrosR!$C$3:$C65,$A53,OtrosR!$B$3:$B65,AN$1))</f>
        <v>#N/A</v>
      </c>
      <c r="AO53" s="16" t="str">
        <f t="array" ref="AO53">SUM(SUMIFS(INDIRECT($A$5),OtrosR!$C$3:$C65,$A53,OtrosR!$B$3:$B65,AO$1))</f>
        <v>#N/A</v>
      </c>
      <c r="AP53" s="17" t="str">
        <f t="array" ref="AP53">SUM(SUMIFS(INDIRECT($A$5),OtrosR!$C$3:$C65,$A53,OtrosR!$B$3:$B65,AP$1))</f>
        <v>#N/A</v>
      </c>
      <c r="AQ53" s="16" t="str">
        <f t="array" ref="AQ53">SUM(SUMIFS(INDIRECT($A$5),OtrosR!$C$3:$C65,$A53,OtrosR!$B$3:$B65,AQ$1))</f>
        <v>#N/A</v>
      </c>
      <c r="AR53" s="17" t="str">
        <f t="array" ref="AR53">SUM(SUMIFS(INDIRECT($A$5),OtrosR!$C$3:$C65,$A53,OtrosR!$B$3:$B65,AR$1))</f>
        <v>#N/A</v>
      </c>
      <c r="AS53" s="16" t="str">
        <f t="array" ref="AS53">SUM(SUMIFS(INDIRECT($A$5),OtrosR!$C$3:$C65,$A53,OtrosR!$B$3:$B65,AS$1))</f>
        <v>#N/A</v>
      </c>
      <c r="AT53" s="17" t="str">
        <f t="array" ref="AT53">SUM(SUMIFS(INDIRECT($A$5),OtrosR!$C$3:$C65,$A53,OtrosR!$B$3:$B65,AT$1))</f>
        <v>#N/A</v>
      </c>
      <c r="AU53" s="16" t="str">
        <f t="array" ref="AU53">SUM(SUMIFS(INDIRECT($A$5),OtrosR!$C$3:$C65,$A53,OtrosR!$B$3:$B65,AU$1))</f>
        <v>#N/A</v>
      </c>
      <c r="AV53" s="17" t="str">
        <f t="array" ref="AV53">SUM(SUMIFS(INDIRECT($A$5),OtrosR!$C$3:$C65,$A53,OtrosR!$B$3:$B65,AV$1))</f>
        <v>#N/A</v>
      </c>
      <c r="AW53" s="16" t="str">
        <f t="array" ref="AW53">SUM(SUMIFS(INDIRECT($A$5),OtrosR!$C$3:$C65,$A53,OtrosR!$B$3:$B65,AW$1))</f>
        <v>#N/A</v>
      </c>
      <c r="AX53" s="17" t="str">
        <f t="array" ref="AX53">SUM(SUMIFS(INDIRECT($A$5),OtrosR!$C$3:$C65,$A53,OtrosR!$B$3:$B65,AX$1))</f>
        <v>#N/A</v>
      </c>
      <c r="AY53" s="16" t="str">
        <f t="array" ref="AY53">SUM(SUMIFS(INDIRECT($A$5),OtrosR!$C$3:$C65,$A53,OtrosR!$B$3:$B65,AY$1))</f>
        <v>#N/A</v>
      </c>
      <c r="AZ53" s="17" t="str">
        <f t="array" ref="AZ53">SUM(SUMIFS(INDIRECT($A$5),OtrosR!$C$3:$C65,$A53,OtrosR!$B$3:$B65,AZ$1))</f>
        <v>#N/A</v>
      </c>
      <c r="BA53" s="16" t="str">
        <f t="array" ref="BA53">SUM(SUMIFS(INDIRECT($A$5),OtrosR!$C$3:$C65,$A53,OtrosR!$B$3:$B65,BA$1))</f>
        <v>#N/A</v>
      </c>
      <c r="BB53" s="17" t="str">
        <f t="array" ref="BB53">SUM(SUMIFS(INDIRECT($A$5),OtrosR!$C$3:$C65,$A53,OtrosR!$B$3:$B65,BB$1))</f>
        <v>#N/A</v>
      </c>
      <c r="BC53" s="16" t="str">
        <f t="array" ref="BC53">SUM(SUMIFS(INDIRECT($A$5),OtrosR!$C$3:$C65,$A53,OtrosR!$B$3:$B65,BC$1))</f>
        <v>#N/A</v>
      </c>
      <c r="BD53" s="17" t="str">
        <f t="array" ref="BD53">SUM(SUMIFS(INDIRECT($A$5),OtrosR!$C$3:$C65,$A53,OtrosR!$B$3:$B65,BD$1))</f>
        <v>#N/A</v>
      </c>
      <c r="BE53" s="16" t="str">
        <f t="array" ref="BE53">SUM(SUMIFS(INDIRECT($A$5),OtrosR!$C$3:$C65,$A53,OtrosR!$B$3:$B65,BE$1))</f>
        <v>#N/A</v>
      </c>
      <c r="BF53" s="17" t="str">
        <f t="array" ref="BF53">SUM(SUMIFS(INDIRECT($A$5),OtrosR!$C$3:$C65,$A53,OtrosR!$B$3:$B65,BF$1))</f>
        <v>#N/A</v>
      </c>
      <c r="BG53" s="16" t="str">
        <f t="array" ref="BG53">SUM(SUMIFS(INDIRECT($A$5),OtrosR!$C$3:$C65,$A53,OtrosR!$B$3:$B65,BG$1))</f>
        <v>#N/A</v>
      </c>
      <c r="BH53" s="17" t="str">
        <f t="array" ref="BH53">SUM(SUMIFS(INDIRECT($A$5),OtrosR!$C$3:$C65,$A53,OtrosR!$B$3:$B65,BH$1))</f>
        <v>#N/A</v>
      </c>
      <c r="BI53" s="16" t="str">
        <f t="array" ref="BI53">SUM(SUMIFS(INDIRECT($A$5),OtrosR!$C$3:$C65,$A53,OtrosR!$B$3:$B65,BI$1))</f>
        <v>#N/A</v>
      </c>
      <c r="BJ53" s="17" t="str">
        <f t="array" ref="BJ53">SUM(SUMIFS(INDIRECT($A$5),OtrosR!$C$3:$C65,$A53,OtrosR!$B$3:$B65,BJ$1))</f>
        <v>#N/A</v>
      </c>
      <c r="BK53" s="16" t="str">
        <f t="array" ref="BK53">SUM(SUMIFS(INDIRECT($A$5),OtrosR!$C$3:$C65,$A53,OtrosR!$B$3:$B65,BK$1))</f>
        <v>#N/A</v>
      </c>
      <c r="BL53" s="17" t="str">
        <f t="array" ref="BL53">SUM(SUMIFS(INDIRECT($A$5),OtrosR!$C$3:$C65,$A53,OtrosR!$B$3:$B65,BL$1))</f>
        <v>#N/A</v>
      </c>
      <c r="BM53" s="16" t="str">
        <f t="array" ref="BM53">SUM(SUMIFS(INDIRECT($A$5),OtrosR!$C$3:$C65,$A53,OtrosR!$B$3:$B65,BM$1))</f>
        <v>#N/A</v>
      </c>
      <c r="BN53" s="17" t="str">
        <f t="array" ref="BN53">SUM(SUMIFS(INDIRECT($A$5),OtrosR!$C$3:$C65,$A53,OtrosR!$B$3:$B65,BN$1))</f>
        <v>#N/A</v>
      </c>
      <c r="BO53" s="16" t="str">
        <f t="array" ref="BO53">SUM(SUMIFS(INDIRECT($A$5),OtrosR!$C$3:$C65,$A53,OtrosR!$B$3:$B65,BO$1))</f>
        <v>#N/A</v>
      </c>
      <c r="BP53" s="17" t="str">
        <f t="array" ref="BP53">SUM(SUMIFS(INDIRECT($A$5),OtrosR!$C$3:$C65,$A53,OtrosR!$B$3:$B65,BP$1))</f>
        <v>#N/A</v>
      </c>
      <c r="BQ53" s="16" t="str">
        <f t="array" ref="BQ53">SUM(SUMIFS(INDIRECT($A$5),OtrosR!$C$3:$C65,$A53,OtrosR!$B$3:$B65,BQ$1))</f>
        <v>#N/A</v>
      </c>
      <c r="BR53" s="17" t="str">
        <f t="array" ref="BR53">SUM(SUMIFS(INDIRECT($A$5),OtrosR!$C$3:$C65,$A53,OtrosR!$B$3:$B65,BR$1))</f>
        <v>#N/A</v>
      </c>
      <c r="BS53" s="16" t="str">
        <f t="array" ref="BS53">SUM(SUMIFS(INDIRECT($A$5),OtrosR!$C$3:$C65,$A53,OtrosR!$B$3:$B65,BS$1))</f>
        <v>#N/A</v>
      </c>
      <c r="BT53" s="17" t="str">
        <f t="array" ref="BT53">SUM(SUMIFS(INDIRECT($A$5),OtrosR!$C$3:$C65,$A53,OtrosR!$B$3:$B65,BT$1))</f>
        <v>#N/A</v>
      </c>
      <c r="BU53" s="16" t="str">
        <f t="array" ref="BU53">SUM(SUMIFS(INDIRECT($A$5),OtrosR!$C$3:$C65,$A53,OtrosR!$B$3:$B65,BU$1))</f>
        <v>#N/A</v>
      </c>
      <c r="BV53" s="17" t="str">
        <f t="array" ref="BV53">SUM(SUMIFS(INDIRECT($A$5),OtrosR!$C$3:$C65,$A53,OtrosR!$B$3:$B65,BV$1))</f>
        <v>#N/A</v>
      </c>
      <c r="BW53" s="16" t="str">
        <f t="array" ref="BW53">SUM(SUMIFS(INDIRECT($A$5),OtrosR!$C$3:$C65,$A53,OtrosR!$B$3:$B65,BW$1))</f>
        <v>#N/A</v>
      </c>
      <c r="BX53" s="17" t="str">
        <f t="array" ref="BX53">SUM(SUMIFS(INDIRECT($A$5),OtrosR!$C$3:$C65,$A53,OtrosR!$B$3:$B65,BX$1))</f>
        <v>#N/A</v>
      </c>
      <c r="BY53" s="16" t="str">
        <f t="array" ref="BY53">SUM(SUMIFS(INDIRECT($A$5),OtrosR!$C$3:$C65,$A53,OtrosR!$B$3:$B65,BY$1))</f>
        <v>#N/A</v>
      </c>
      <c r="BZ53" s="17" t="str">
        <f t="array" ref="BZ53">SUM(SUMIFS(INDIRECT($A$5),OtrosR!$C$3:$C65,$A53,OtrosR!$B$3:$B65,BZ$1))</f>
        <v>#N/A</v>
      </c>
      <c r="CA53" s="16" t="str">
        <f t="array" ref="CA53">SUM(SUMIFS(INDIRECT($A$5),OtrosR!$C$3:$C65,$A53,OtrosR!$B$3:$B65,CA$1))</f>
        <v>#N/A</v>
      </c>
      <c r="CB53" s="17" t="str">
        <f t="array" ref="CB53">SUM(SUMIFS(INDIRECT($A$5),OtrosR!$C$3:$C65,$A53,OtrosR!$B$3:$B65,CB$1))</f>
        <v>#N/A</v>
      </c>
      <c r="CC53" s="16" t="str">
        <f t="array" ref="CC53">SUM(SUMIFS(INDIRECT($A$5),OtrosR!$C$3:$C65,$A53,OtrosR!$B$3:$B65,CC$1))</f>
        <v>#N/A</v>
      </c>
      <c r="CD53" s="17" t="str">
        <f t="array" ref="CD53">SUM(SUMIFS(INDIRECT($A$5),OtrosR!$C$3:$C65,$A53,OtrosR!$B$3:$B65,CD$1))</f>
        <v>#N/A</v>
      </c>
      <c r="CE53" s="16" t="str">
        <f t="array" ref="CE53">SUM(SUMIFS(INDIRECT($A$5),OtrosR!$C$3:$C65,$A53,OtrosR!$B$3:$B65,CE$1))</f>
        <v>#N/A</v>
      </c>
      <c r="CF53" s="17" t="str">
        <f t="array" ref="CF53">SUM(SUMIFS(INDIRECT($A$5),OtrosR!$C$3:$C65,$A53,OtrosR!$B$3:$B65,CF$1))</f>
        <v>#N/A</v>
      </c>
      <c r="CG53" s="16" t="str">
        <f t="array" ref="CG53">SUM(SUMIFS(INDIRECT($A$5),OtrosR!$C$3:$C65,$A53,OtrosR!$B$3:$B65,CG$1))</f>
        <v>#N/A</v>
      </c>
      <c r="CH53" s="17" t="str">
        <f t="array" ref="CH53">SUM(SUMIFS(INDIRECT($A$5),OtrosR!$C$3:$C65,$A53,OtrosR!$B$3:$B65,CH$1))</f>
        <v>#N/A</v>
      </c>
      <c r="CI53" s="16" t="str">
        <f t="array" ref="CI53">SUM(SUMIFS(INDIRECT($A$5),OtrosR!$C$3:$C65,$A53,OtrosR!$B$3:$B65,CI$1))</f>
        <v>#N/A</v>
      </c>
      <c r="CJ53" s="17" t="str">
        <f t="array" ref="CJ53">SUM(SUMIFS(INDIRECT($A$5),OtrosR!$C$3:$C65,$A53,OtrosR!$B$3:$B65,CJ$1))</f>
        <v>#N/A</v>
      </c>
      <c r="CK53" s="16" t="str">
        <f t="array" ref="CK53">SUM(SUMIFS(INDIRECT($A$5),OtrosR!$C$3:$C65,$A53,OtrosR!$B$3:$B65,CK$1))</f>
        <v>#N/A</v>
      </c>
      <c r="CL53" s="17" t="str">
        <f t="array" ref="CL53">SUM(SUMIFS(INDIRECT($A$5),OtrosR!$C$3:$C65,$A53,OtrosR!$B$3:$B65,CL$1))</f>
        <v>#N/A</v>
      </c>
      <c r="CM53" s="16" t="str">
        <f t="array" ref="CM53">SUM(SUMIFS(INDIRECT($A$5),OtrosR!$C$3:$C65,$A53,OtrosR!$B$3:$B65,CM$1))</f>
        <v>#N/A</v>
      </c>
      <c r="CN53" s="17" t="str">
        <f t="array" ref="CN53">SUM(SUMIFS(INDIRECT($A$5),OtrosR!$C$3:$C65,$A53,OtrosR!$B$3:$B65,CN$1))</f>
        <v>#N/A</v>
      </c>
      <c r="CO53" s="16" t="str">
        <f t="array" ref="CO53">SUM(SUMIFS(INDIRECT($A$5),OtrosR!$C$3:$C65,$A53,OtrosR!$B$3:$B65,CO$1))</f>
        <v>#N/A</v>
      </c>
      <c r="CP53" s="17" t="str">
        <f t="array" ref="CP53">SUM(SUMIFS(INDIRECT($A$5),OtrosR!$C$3:$C65,$A53,OtrosR!$B$3:$B65,CP$1))</f>
        <v>#N/A</v>
      </c>
      <c r="CQ53" s="16" t="str">
        <f t="array" ref="CQ53">SUM(SUMIFS(INDIRECT($A$5),OtrosR!$C$3:$C65,$A53,OtrosR!$B$3:$B65,CQ$1))</f>
        <v>#N/A</v>
      </c>
      <c r="CR53" s="17" t="str">
        <f t="array" ref="CR53">SUM(SUMIFS(INDIRECT($A$5),OtrosR!$C$3:$C65,$A53,OtrosR!$B$3:$B65,CR$1))</f>
        <v>#N/A</v>
      </c>
      <c r="CS53" s="16" t="str">
        <f t="array" ref="CS53">SUM(SUMIFS(INDIRECT($A$5),OtrosR!$C$3:$C65,$A53,OtrosR!$B$3:$B65,CS$1))</f>
        <v>#N/A</v>
      </c>
      <c r="CT53" s="17" t="str">
        <f t="array" ref="CT53">SUM(SUMIFS(INDIRECT($A$5),OtrosR!$C$3:$C65,$A53,OtrosR!$B$3:$B65,CT$1))</f>
        <v>#N/A</v>
      </c>
      <c r="CU53" s="16" t="str">
        <f t="array" ref="CU53">SUM(SUMIFS(INDIRECT($A$5),OtrosR!$C$3:$C65,$A53,OtrosR!$B$3:$B65,CU$1))</f>
        <v>#N/A</v>
      </c>
      <c r="CV53" s="17" t="str">
        <f t="array" ref="CV53">SUM(SUMIFS(INDIRECT($A$5),OtrosR!$C$3:$C65,$A53,OtrosR!$B$3:$B65,CV$1))</f>
        <v>#N/A</v>
      </c>
      <c r="CW53" s="16" t="str">
        <f t="array" ref="CW53">SUM(SUMIFS(INDIRECT($A$5),OtrosR!$C$3:$C65,$A53,OtrosR!$B$3:$B65,CW$1))</f>
        <v>#N/A</v>
      </c>
      <c r="CX53" s="17" t="str">
        <f t="array" ref="CX53">SUM(SUMIFS(INDIRECT($A$5),OtrosR!$C$3:$C65,$A53,OtrosR!$B$3:$B65,CX$1))</f>
        <v>#N/A</v>
      </c>
      <c r="CY53" s="16" t="str">
        <f t="array" ref="CY53">SUM(SUMIFS(INDIRECT($A$5),OtrosR!$C$3:$C65,$A53,OtrosR!$B$3:$B65,CY$1))</f>
        <v>#N/A</v>
      </c>
      <c r="CZ53" s="17" t="str">
        <f t="array" ref="CZ53">SUM(SUMIFS(INDIRECT($A$5),OtrosR!$C$3:$C65,$A53,OtrosR!$B$3:$B65,CZ$1))</f>
        <v>#N/A</v>
      </c>
      <c r="DA53" s="16" t="str">
        <f t="array" ref="DA53">SUM(SUMIFS(INDIRECT($A$5),OtrosR!$C$3:$C65,$A53,OtrosR!$B$3:$B65,DA$1))</f>
        <v>#N/A</v>
      </c>
      <c r="DB53" s="17" t="str">
        <f t="array" ref="DB53">SUM(SUMIFS(INDIRECT($A$5),OtrosR!$C$3:$C65,$A53,OtrosR!$B$3:$B65,DB$1))</f>
        <v>#N/A</v>
      </c>
      <c r="DC53" s="16" t="str">
        <f t="array" ref="DC53">SUM(SUMIFS(INDIRECT($A$5),OtrosR!$C$3:$C65,$A53,OtrosR!$B$3:$B65,DC$1))</f>
        <v>#N/A</v>
      </c>
      <c r="DD53" s="17" t="str">
        <f t="array" ref="DD53">SUM(SUMIFS(INDIRECT($A$5),OtrosR!$C$3:$C65,$A53,OtrosR!$B$3:$B65,DD$1))</f>
        <v>#N/A</v>
      </c>
      <c r="DE53" s="16" t="str">
        <f t="array" ref="DE53">SUM(SUMIFS(INDIRECT($A$5),OtrosR!$C$3:$C65,$A53,OtrosR!$B$3:$B65,DE$1))</f>
        <v>#N/A</v>
      </c>
      <c r="DF53" s="17" t="str">
        <f t="array" ref="DF53">SUM(SUMIFS(INDIRECT($A$5),OtrosR!$C$3:$C65,$A53,OtrosR!$B$3:$B65,DF$1))</f>
        <v>#N/A</v>
      </c>
      <c r="DG53" s="16" t="str">
        <f t="array" ref="DG53">SUM(SUMIFS(INDIRECT($A$5),OtrosR!$C$3:$C65,$A53,OtrosR!$B$3:$B65,DG$1))</f>
        <v>#N/A</v>
      </c>
      <c r="DH53" s="17" t="str">
        <f t="array" ref="DH53">SUM(SUMIFS(INDIRECT($A$5),OtrosR!$C$3:$C65,$A53,OtrosR!$B$3:$B65,DH$1))</f>
        <v>#N/A</v>
      </c>
      <c r="DI53" s="16" t="str">
        <f t="array" ref="DI53">SUM(SUMIFS(INDIRECT($A$5),OtrosR!$C$3:$C65,$A53,OtrosR!$B$3:$B65,DI$1))</f>
        <v>#N/A</v>
      </c>
      <c r="DJ53" s="17" t="str">
        <f t="array" ref="DJ53">SUM(SUMIFS(INDIRECT($A$5),OtrosR!$C$3:$C65,$A53,OtrosR!$B$3:$B65,DJ$1))</f>
        <v>#N/A</v>
      </c>
      <c r="DK53" s="16" t="str">
        <f t="array" ref="DK53">SUM(SUMIFS(INDIRECT($A$5),OtrosR!$C$3:$C65,$A53,OtrosR!$B$3:$B65,DK$1))</f>
        <v>#N/A</v>
      </c>
      <c r="DL53" s="17" t="str">
        <f t="array" ref="DL53">SUM(SUMIFS(INDIRECT($A$5),OtrosR!$C$3:$C65,$A53,OtrosR!$B$3:$B65,DL$1))</f>
        <v>#N/A</v>
      </c>
      <c r="DM53" s="16" t="str">
        <f t="array" ref="DM53">SUM(SUMIFS(INDIRECT($A$5),OtrosR!$C$3:$C65,$A53,OtrosR!$B$3:$B65,DM$1))</f>
        <v>#N/A</v>
      </c>
      <c r="DN53" s="17" t="str">
        <f t="array" ref="DN53">SUM(SUMIFS(INDIRECT($A$5),OtrosR!$C$3:$C65,$A53,OtrosR!$B$3:$B65,DN$1))</f>
        <v>#N/A</v>
      </c>
      <c r="DO53" s="16" t="str">
        <f t="array" ref="DO53">SUM(SUMIFS(INDIRECT($A$5),OtrosR!$C$3:$C65,$A53,OtrosR!$B$3:$B65,DO$1))</f>
        <v>#N/A</v>
      </c>
      <c r="DP53" s="17" t="str">
        <f t="array" ref="DP53">SUM(SUMIFS(INDIRECT($A$5),OtrosR!$C$3:$C65,$A53,OtrosR!$B$3:$B65,DP$1))</f>
        <v>#N/A</v>
      </c>
      <c r="DQ53" s="16" t="str">
        <f t="array" ref="DQ53">SUM(SUMIFS(INDIRECT($A$5),OtrosR!$C$3:$C65,$A53,OtrosR!$B$3:$B65,DQ$1))</f>
        <v>#N/A</v>
      </c>
      <c r="DR53" s="17" t="str">
        <f t="array" ref="DR53">SUM(SUMIFS(INDIRECT($A$5),OtrosR!$C$3:$C65,$A53,OtrosR!$B$3:$B65,DR$1))</f>
        <v>#N/A</v>
      </c>
      <c r="DS53" s="16" t="str">
        <f t="array" ref="DS53">SUM(SUMIFS(INDIRECT($A$5),OtrosR!$C$3:$C65,$A53,OtrosR!$B$3:$B65,DS$1))</f>
        <v>#N/A</v>
      </c>
      <c r="DT53" s="17" t="str">
        <f t="array" ref="DT53">SUM(SUMIFS(INDIRECT($A$5),OtrosR!$C$3:$C65,$A53,OtrosR!$B$3:$B65,DT$1))</f>
        <v>#N/A</v>
      </c>
      <c r="DU53" s="16" t="str">
        <f t="array" ref="DU53">SUM(SUMIFS(INDIRECT($A$5),OtrosR!$C$3:$C65,$A53,OtrosR!$B$3:$B65,DU$1))</f>
        <v>#N/A</v>
      </c>
      <c r="DV53" s="17" t="str">
        <f t="array" ref="DV53">SUM(SUMIFS(INDIRECT($A$5),OtrosR!$C$3:$C65,$A53,OtrosR!$B$3:$B65,DV$1))</f>
        <v>#N/A</v>
      </c>
      <c r="DW53" s="16" t="str">
        <f t="array" ref="DW53">SUM(SUMIFS(INDIRECT($A$5),OtrosR!$C$3:$C65,$A53,OtrosR!$B$3:$B65,DW$1))</f>
        <v>#N/A</v>
      </c>
      <c r="DX53" s="17" t="str">
        <f t="array" ref="DX53">SUM(SUMIFS(INDIRECT($A$5),OtrosR!$C$3:$C65,$A53,OtrosR!$B$3:$B65,DX$1))</f>
        <v>#N/A</v>
      </c>
      <c r="DY53" s="16" t="str">
        <f t="array" ref="DY53">SUM(SUMIFS(INDIRECT($A$5),OtrosR!$C$3:$C65,$A53,OtrosR!$B$3:$B65,DY$1))</f>
        <v>#N/A</v>
      </c>
      <c r="DZ53" s="17" t="str">
        <f t="array" ref="DZ53">SUM(SUMIFS(INDIRECT($A$5),OtrosR!$C$3:$C65,$A53,OtrosR!$B$3:$B65,DZ$1))</f>
        <v>#N/A</v>
      </c>
      <c r="EA53" s="16" t="str">
        <f t="array" ref="EA53">SUM(SUMIFS(INDIRECT($A$5),OtrosR!$C$3:$C65,$A53,OtrosR!$B$3:$B65,EA$1))</f>
        <v>#N/A</v>
      </c>
      <c r="EB53" s="17" t="str">
        <f t="array" ref="EB53">SUM(SUMIFS(INDIRECT($A$5),OtrosR!$C$3:$C65,$A53,OtrosR!$B$3:$B65,EB$1))</f>
        <v>#N/A</v>
      </c>
      <c r="EC53" s="16" t="str">
        <f t="array" ref="EC53">SUM(SUMIFS(INDIRECT($A$5),OtrosR!$C$3:$C65,$A53,OtrosR!$B$3:$B65,EC$1))</f>
        <v>#N/A</v>
      </c>
      <c r="ED53" s="17" t="str">
        <f t="array" ref="ED53">SUM(SUMIFS(INDIRECT($A$5),OtrosR!$C$3:$C65,$A53,OtrosR!$B$3:$B65,ED$1))</f>
        <v>#N/A</v>
      </c>
      <c r="EE53" s="16" t="str">
        <f t="array" ref="EE53">SUM(SUMIFS(INDIRECT($A$5),OtrosR!$C$3:$C65,$A53,OtrosR!$B$3:$B65,EE$1))</f>
        <v>#N/A</v>
      </c>
      <c r="EF53" s="17" t="str">
        <f t="array" ref="EF53">SUM(SUMIFS(INDIRECT($A$5),OtrosR!$C$3:$C65,$A53,OtrosR!$B$3:$B65,EF$1))</f>
        <v>#N/A</v>
      </c>
      <c r="EG53" s="16" t="str">
        <f t="array" ref="EG53">SUM(SUMIFS(INDIRECT($A$5),OtrosR!$C$3:$C65,$A53,OtrosR!$B$3:$B65,EG$1))</f>
        <v>#N/A</v>
      </c>
      <c r="EH53" s="17" t="str">
        <f t="array" ref="EH53">SUM(SUMIFS(INDIRECT($A$5),OtrosR!$C$3:$C65,$A53,OtrosR!$B$3:$B65,EH$1))</f>
        <v>#N/A</v>
      </c>
      <c r="EI53" s="16" t="str">
        <f t="array" ref="EI53">SUM(SUMIFS(INDIRECT($A$5),OtrosR!$C$3:$C65,$A53,OtrosR!$B$3:$B65,EI$1))</f>
        <v>#N/A</v>
      </c>
      <c r="EJ53" s="17" t="str">
        <f t="array" ref="EJ53">SUM(SUMIFS(INDIRECT($A$5),OtrosR!$C$3:$C65,$A53,OtrosR!$B$3:$B65,EJ$1))</f>
        <v>#N/A</v>
      </c>
      <c r="EK53" s="16" t="str">
        <f t="array" ref="EK53">SUM(SUMIFS(INDIRECT($A$5),OtrosR!$C$3:$C65,$A53,OtrosR!$B$3:$B65,EK$1))</f>
        <v>#N/A</v>
      </c>
      <c r="EL53" s="17" t="str">
        <f t="array" ref="EL53">SUM(SUMIFS(INDIRECT($A$5),OtrosR!$C$3:$C65,$A53,OtrosR!$B$3:$B65,EL$1))</f>
        <v>#N/A</v>
      </c>
      <c r="EM53" s="16" t="str">
        <f t="array" ref="EM53">SUM(SUMIFS(INDIRECT($A$5),OtrosR!$C$3:$C65,$A53,OtrosR!$B$3:$B65,EM$1))</f>
        <v>#N/A</v>
      </c>
      <c r="EN53" s="17" t="str">
        <f t="array" ref="EN53">SUM(SUMIFS(INDIRECT($A$5),OtrosR!$C$3:$C65,$A53,OtrosR!$B$3:$B65,EN$1))</f>
        <v>#N/A</v>
      </c>
      <c r="EO53" s="16" t="str">
        <f t="array" ref="EO53">SUM(SUMIFS(INDIRECT($A$5),OtrosR!$C$3:$C65,$A53,OtrosR!$B$3:$B65,EO$1))</f>
        <v>#N/A</v>
      </c>
      <c r="EP53" s="17" t="str">
        <f t="array" ref="EP53">SUM(SUMIFS(INDIRECT($A$5),OtrosR!$C$3:$C65,$A53,OtrosR!$B$3:$B65,EP$1))</f>
        <v>#N/A</v>
      </c>
    </row>
    <row r="54" ht="15.75" customHeight="1">
      <c r="B54" s="43" t="str">
        <f t="shared" si="50"/>
        <v>#N/A</v>
      </c>
      <c r="C54" s="54" t="str">
        <f t="array" ref="C54">SUM(SUMIFS(INDIRECT($A$5),OtrosR!$C$3:$C65,$A54,OtrosR!$B$3:$B65,C$1))</f>
        <v>#N/A</v>
      </c>
      <c r="D54" s="55" t="str">
        <f t="array" ref="D54">SUM(SUMIFS(INDIRECT($A$5),OtrosR!$C$3:$C65,$A54,OtrosR!$B$3:$B65,D$1))</f>
        <v>#N/A</v>
      </c>
      <c r="E54" s="16" t="str">
        <f t="array" ref="E54">SUM(SUMIFS(INDIRECT($A$5),OtrosR!$C$3:$C65,$A54,OtrosR!$B$3:$B65,E$1))</f>
        <v>#N/A</v>
      </c>
      <c r="F54" s="17" t="str">
        <f t="array" ref="F54">SUM(SUMIFS(INDIRECT($A$5),OtrosR!$C$3:$C65,$A54,OtrosR!$B$3:$B65,F$1))</f>
        <v>#N/A</v>
      </c>
      <c r="G54" s="16" t="str">
        <f t="array" ref="G54">SUM(SUMIFS(INDIRECT($A$5),OtrosR!$C$3:$C65,$A54,OtrosR!$B$3:$B65,G$1))</f>
        <v>#N/A</v>
      </c>
      <c r="H54" s="17" t="str">
        <f t="array" ref="H54">SUM(SUMIFS(INDIRECT($A$5),OtrosR!$C$3:$C65,$A54,OtrosR!$B$3:$B65,H$1))</f>
        <v>#N/A</v>
      </c>
      <c r="I54" s="16" t="str">
        <f t="array" ref="I54">SUM(SUMIFS(INDIRECT($A$5),OtrosR!$C$3:$C65,$A54,OtrosR!$B$3:$B65,I$1))</f>
        <v>#N/A</v>
      </c>
      <c r="J54" s="17" t="str">
        <f t="array" ref="J54">SUM(SUMIFS(INDIRECT($A$5),OtrosR!$C$3:$C65,$A54,OtrosR!$B$3:$B65,J$1))</f>
        <v>#N/A</v>
      </c>
      <c r="K54" s="16" t="str">
        <f t="array" ref="K54">SUM(SUMIFS(INDIRECT($A$5),OtrosR!$C$3:$C65,$A54,OtrosR!$B$3:$B65,K$1))</f>
        <v>#N/A</v>
      </c>
      <c r="L54" s="17" t="str">
        <f t="array" ref="L54">SUM(SUMIFS(INDIRECT($A$5),OtrosR!$C$3:$C65,$A54,OtrosR!$B$3:$B65,L$1))</f>
        <v>#N/A</v>
      </c>
      <c r="M54" s="16" t="str">
        <f t="array" ref="M54">SUM(SUMIFS(INDIRECT($A$5),OtrosR!$C$3:$C65,$A54,OtrosR!$B$3:$B65,M$1))</f>
        <v>#N/A</v>
      </c>
      <c r="N54" s="17" t="str">
        <f t="array" ref="N54">SUM(SUMIFS(INDIRECT($A$5),OtrosR!$C$3:$C65,$A54,OtrosR!$B$3:$B65,N$1))</f>
        <v>#N/A</v>
      </c>
      <c r="O54" s="16" t="str">
        <f t="array" ref="O54">SUM(SUMIFS(INDIRECT($A$5),OtrosR!$C$3:$C65,$A54,OtrosR!$B$3:$B65,O$1))</f>
        <v>#N/A</v>
      </c>
      <c r="P54" s="17" t="str">
        <f t="array" ref="P54">SUM(SUMIFS(INDIRECT($A$5),OtrosR!$C$3:$C65,$A54,OtrosR!$B$3:$B65,P$1))</f>
        <v>#N/A</v>
      </c>
      <c r="Q54" s="16" t="str">
        <f t="array" ref="Q54">SUM(SUMIFS(INDIRECT($A$5),OtrosR!$C$3:$C65,$A54,OtrosR!$B$3:$B65,Q$1))</f>
        <v>#N/A</v>
      </c>
      <c r="R54" s="17" t="str">
        <f t="array" ref="R54">SUM(SUMIFS(INDIRECT($A$5),OtrosR!$C$3:$C65,$A54,OtrosR!$B$3:$B65,R$1))</f>
        <v>#N/A</v>
      </c>
      <c r="S54" s="16" t="str">
        <f t="array" ref="S54">SUM(SUMIFS(INDIRECT($A$5),OtrosR!$C$3:$C65,$A54,OtrosR!$B$3:$B65,S$1))</f>
        <v>#N/A</v>
      </c>
      <c r="T54" s="17" t="str">
        <f t="array" ref="T54">SUM(SUMIFS(INDIRECT($A$5),OtrosR!$C$3:$C65,$A54,OtrosR!$B$3:$B65,T$1))</f>
        <v>#N/A</v>
      </c>
      <c r="U54" s="16" t="str">
        <f t="array" ref="U54">SUM(SUMIFS(INDIRECT($A$5),OtrosR!$C$3:$C65,$A54,OtrosR!$B$3:$B65,U$1))</f>
        <v>#N/A</v>
      </c>
      <c r="V54" s="17" t="str">
        <f t="array" ref="V54">SUM(SUMIFS(INDIRECT($A$5),OtrosR!$C$3:$C65,$A54,OtrosR!$B$3:$B65,V$1))</f>
        <v>#N/A</v>
      </c>
      <c r="W54" s="16" t="str">
        <f t="array" ref="W54">SUM(SUMIFS(INDIRECT($A$5),OtrosR!$C$3:$C65,$A54,OtrosR!$B$3:$B65,W$1))</f>
        <v>#N/A</v>
      </c>
      <c r="X54" s="17" t="str">
        <f t="array" ref="X54">SUM(SUMIFS(INDIRECT($A$5),OtrosR!$C$3:$C65,$A54,OtrosR!$B$3:$B65,X$1))</f>
        <v>#N/A</v>
      </c>
      <c r="Y54" s="16" t="str">
        <f t="array" ref="Y54">SUM(SUMIFS(INDIRECT($A$5),OtrosR!$C$3:$C65,$A54,OtrosR!$B$3:$B65,Y$1))</f>
        <v>#N/A</v>
      </c>
      <c r="Z54" s="17" t="str">
        <f t="array" ref="Z54">SUM(SUMIFS(INDIRECT($A$5),OtrosR!$C$3:$C65,$A54,OtrosR!$B$3:$B65,Z$1))</f>
        <v>#N/A</v>
      </c>
      <c r="AA54" s="16" t="str">
        <f t="array" ref="AA54">SUM(SUMIFS(INDIRECT($A$5),OtrosR!$C$3:$C65,$A54,OtrosR!$B$3:$B65,AA$1))</f>
        <v>#N/A</v>
      </c>
      <c r="AB54" s="17" t="str">
        <f t="array" ref="AB54">SUM(SUMIFS(INDIRECT($A$5),OtrosR!$C$3:$C65,$A54,OtrosR!$B$3:$B65,AB$1))</f>
        <v>#N/A</v>
      </c>
      <c r="AC54" s="16" t="str">
        <f t="array" ref="AC54">SUM(SUMIFS(INDIRECT($A$5),OtrosR!$C$3:$C65,$A54,OtrosR!$B$3:$B65,AC$1))</f>
        <v>#N/A</v>
      </c>
      <c r="AD54" s="17" t="str">
        <f t="array" ref="AD54">SUM(SUMIFS(INDIRECT($A$5),OtrosR!$C$3:$C65,$A54,OtrosR!$B$3:$B65,AD$1))</f>
        <v>#N/A</v>
      </c>
      <c r="AE54" s="16" t="str">
        <f t="array" ref="AE54">SUM(SUMIFS(INDIRECT($A$5),OtrosR!$C$3:$C65,$A54,OtrosR!$B$3:$B65,AE$1))</f>
        <v>#N/A</v>
      </c>
      <c r="AF54" s="17" t="str">
        <f t="array" ref="AF54">SUM(SUMIFS(INDIRECT($A$5),OtrosR!$C$3:$C65,$A54,OtrosR!$B$3:$B65,AF$1))</f>
        <v>#N/A</v>
      </c>
      <c r="AG54" s="16" t="str">
        <f t="array" ref="AG54">SUM(SUMIFS(INDIRECT($A$5),OtrosR!$C$3:$C65,$A54,OtrosR!$B$3:$B65,AG$1))</f>
        <v>#N/A</v>
      </c>
      <c r="AH54" s="17" t="str">
        <f t="array" ref="AH54">SUM(SUMIFS(INDIRECT($A$5),OtrosR!$C$3:$C65,$A54,OtrosR!$B$3:$B65,AH$1))</f>
        <v>#N/A</v>
      </c>
      <c r="AI54" s="16" t="str">
        <f t="array" ref="AI54">SUM(SUMIFS(INDIRECT($A$5),OtrosR!$C$3:$C65,$A54,OtrosR!$B$3:$B65,AI$1))</f>
        <v>#N/A</v>
      </c>
      <c r="AJ54" s="17" t="str">
        <f t="array" ref="AJ54">SUM(SUMIFS(INDIRECT($A$5),OtrosR!$C$3:$C65,$A54,OtrosR!$B$3:$B65,AJ$1))</f>
        <v>#N/A</v>
      </c>
      <c r="AK54" s="16" t="str">
        <f t="array" ref="AK54">SUM(SUMIFS(INDIRECT($A$5),OtrosR!$C$3:$C65,$A54,OtrosR!$B$3:$B65,AK$1))</f>
        <v>#N/A</v>
      </c>
      <c r="AL54" s="17" t="str">
        <f t="array" ref="AL54">SUM(SUMIFS(INDIRECT($A$5),OtrosR!$C$3:$C65,$A54,OtrosR!$B$3:$B65,AL$1))</f>
        <v>#N/A</v>
      </c>
      <c r="AM54" s="16" t="str">
        <f t="array" ref="AM54">SUM(SUMIFS(INDIRECT($A$5),OtrosR!$C$3:$C65,$A54,OtrosR!$B$3:$B65,AM$1))</f>
        <v>#N/A</v>
      </c>
      <c r="AN54" s="17" t="str">
        <f t="array" ref="AN54">SUM(SUMIFS(INDIRECT($A$5),OtrosR!$C$3:$C65,$A54,OtrosR!$B$3:$B65,AN$1))</f>
        <v>#N/A</v>
      </c>
      <c r="AO54" s="16" t="str">
        <f t="array" ref="AO54">SUM(SUMIFS(INDIRECT($A$5),OtrosR!$C$3:$C65,$A54,OtrosR!$B$3:$B65,AO$1))</f>
        <v>#N/A</v>
      </c>
      <c r="AP54" s="17" t="str">
        <f t="array" ref="AP54">SUM(SUMIFS(INDIRECT($A$5),OtrosR!$C$3:$C65,$A54,OtrosR!$B$3:$B65,AP$1))</f>
        <v>#N/A</v>
      </c>
      <c r="AQ54" s="16" t="str">
        <f t="array" ref="AQ54">SUM(SUMIFS(INDIRECT($A$5),OtrosR!$C$3:$C65,$A54,OtrosR!$B$3:$B65,AQ$1))</f>
        <v>#N/A</v>
      </c>
      <c r="AR54" s="17" t="str">
        <f t="array" ref="AR54">SUM(SUMIFS(INDIRECT($A$5),OtrosR!$C$3:$C65,$A54,OtrosR!$B$3:$B65,AR$1))</f>
        <v>#N/A</v>
      </c>
      <c r="AS54" s="16" t="str">
        <f t="array" ref="AS54">SUM(SUMIFS(INDIRECT($A$5),OtrosR!$C$3:$C65,$A54,OtrosR!$B$3:$B65,AS$1))</f>
        <v>#N/A</v>
      </c>
      <c r="AT54" s="17" t="str">
        <f t="array" ref="AT54">SUM(SUMIFS(INDIRECT($A$5),OtrosR!$C$3:$C65,$A54,OtrosR!$B$3:$B65,AT$1))</f>
        <v>#N/A</v>
      </c>
      <c r="AU54" s="16" t="str">
        <f t="array" ref="AU54">SUM(SUMIFS(INDIRECT($A$5),OtrosR!$C$3:$C65,$A54,OtrosR!$B$3:$B65,AU$1))</f>
        <v>#N/A</v>
      </c>
      <c r="AV54" s="17" t="str">
        <f t="array" ref="AV54">SUM(SUMIFS(INDIRECT($A$5),OtrosR!$C$3:$C65,$A54,OtrosR!$B$3:$B65,AV$1))</f>
        <v>#N/A</v>
      </c>
      <c r="AW54" s="16" t="str">
        <f t="array" ref="AW54">SUM(SUMIFS(INDIRECT($A$5),OtrosR!$C$3:$C65,$A54,OtrosR!$B$3:$B65,AW$1))</f>
        <v>#N/A</v>
      </c>
      <c r="AX54" s="17" t="str">
        <f t="array" ref="AX54">SUM(SUMIFS(INDIRECT($A$5),OtrosR!$C$3:$C65,$A54,OtrosR!$B$3:$B65,AX$1))</f>
        <v>#N/A</v>
      </c>
      <c r="AY54" s="16" t="str">
        <f t="array" ref="AY54">SUM(SUMIFS(INDIRECT($A$5),OtrosR!$C$3:$C65,$A54,OtrosR!$B$3:$B65,AY$1))</f>
        <v>#N/A</v>
      </c>
      <c r="AZ54" s="17" t="str">
        <f t="array" ref="AZ54">SUM(SUMIFS(INDIRECT($A$5),OtrosR!$C$3:$C65,$A54,OtrosR!$B$3:$B65,AZ$1))</f>
        <v>#N/A</v>
      </c>
      <c r="BA54" s="16" t="str">
        <f t="array" ref="BA54">SUM(SUMIFS(INDIRECT($A$5),OtrosR!$C$3:$C65,$A54,OtrosR!$B$3:$B65,BA$1))</f>
        <v>#N/A</v>
      </c>
      <c r="BB54" s="17" t="str">
        <f t="array" ref="BB54">SUM(SUMIFS(INDIRECT($A$5),OtrosR!$C$3:$C65,$A54,OtrosR!$B$3:$B65,BB$1))</f>
        <v>#N/A</v>
      </c>
      <c r="BC54" s="16" t="str">
        <f t="array" ref="BC54">SUM(SUMIFS(INDIRECT($A$5),OtrosR!$C$3:$C65,$A54,OtrosR!$B$3:$B65,BC$1))</f>
        <v>#N/A</v>
      </c>
      <c r="BD54" s="17" t="str">
        <f t="array" ref="BD54">SUM(SUMIFS(INDIRECT($A$5),OtrosR!$C$3:$C65,$A54,OtrosR!$B$3:$B65,BD$1))</f>
        <v>#N/A</v>
      </c>
      <c r="BE54" s="16" t="str">
        <f t="array" ref="BE54">SUM(SUMIFS(INDIRECT($A$5),OtrosR!$C$3:$C65,$A54,OtrosR!$B$3:$B65,BE$1))</f>
        <v>#N/A</v>
      </c>
      <c r="BF54" s="17" t="str">
        <f t="array" ref="BF54">SUM(SUMIFS(INDIRECT($A$5),OtrosR!$C$3:$C65,$A54,OtrosR!$B$3:$B65,BF$1))</f>
        <v>#N/A</v>
      </c>
      <c r="BG54" s="16" t="str">
        <f t="array" ref="BG54">SUM(SUMIFS(INDIRECT($A$5),OtrosR!$C$3:$C65,$A54,OtrosR!$B$3:$B65,BG$1))</f>
        <v>#N/A</v>
      </c>
      <c r="BH54" s="17" t="str">
        <f t="array" ref="BH54">SUM(SUMIFS(INDIRECT($A$5),OtrosR!$C$3:$C65,$A54,OtrosR!$B$3:$B65,BH$1))</f>
        <v>#N/A</v>
      </c>
      <c r="BI54" s="16" t="str">
        <f t="array" ref="BI54">SUM(SUMIFS(INDIRECT($A$5),OtrosR!$C$3:$C65,$A54,OtrosR!$B$3:$B65,BI$1))</f>
        <v>#N/A</v>
      </c>
      <c r="BJ54" s="17" t="str">
        <f t="array" ref="BJ54">SUM(SUMIFS(INDIRECT($A$5),OtrosR!$C$3:$C65,$A54,OtrosR!$B$3:$B65,BJ$1))</f>
        <v>#N/A</v>
      </c>
      <c r="BK54" s="16" t="str">
        <f t="array" ref="BK54">SUM(SUMIFS(INDIRECT($A$5),OtrosR!$C$3:$C65,$A54,OtrosR!$B$3:$B65,BK$1))</f>
        <v>#N/A</v>
      </c>
      <c r="BL54" s="17" t="str">
        <f t="array" ref="BL54">SUM(SUMIFS(INDIRECT($A$5),OtrosR!$C$3:$C65,$A54,OtrosR!$B$3:$B65,BL$1))</f>
        <v>#N/A</v>
      </c>
      <c r="BM54" s="16" t="str">
        <f t="array" ref="BM54">SUM(SUMIFS(INDIRECT($A$5),OtrosR!$C$3:$C65,$A54,OtrosR!$B$3:$B65,BM$1))</f>
        <v>#N/A</v>
      </c>
      <c r="BN54" s="17" t="str">
        <f t="array" ref="BN54">SUM(SUMIFS(INDIRECT($A$5),OtrosR!$C$3:$C65,$A54,OtrosR!$B$3:$B65,BN$1))</f>
        <v>#N/A</v>
      </c>
      <c r="BO54" s="16" t="str">
        <f t="array" ref="BO54">SUM(SUMIFS(INDIRECT($A$5),OtrosR!$C$3:$C65,$A54,OtrosR!$B$3:$B65,BO$1))</f>
        <v>#N/A</v>
      </c>
      <c r="BP54" s="17" t="str">
        <f t="array" ref="BP54">SUM(SUMIFS(INDIRECT($A$5),OtrosR!$C$3:$C65,$A54,OtrosR!$B$3:$B65,BP$1))</f>
        <v>#N/A</v>
      </c>
      <c r="BQ54" s="16" t="str">
        <f t="array" ref="BQ54">SUM(SUMIFS(INDIRECT($A$5),OtrosR!$C$3:$C65,$A54,OtrosR!$B$3:$B65,BQ$1))</f>
        <v>#N/A</v>
      </c>
      <c r="BR54" s="17" t="str">
        <f t="array" ref="BR54">SUM(SUMIFS(INDIRECT($A$5),OtrosR!$C$3:$C65,$A54,OtrosR!$B$3:$B65,BR$1))</f>
        <v>#N/A</v>
      </c>
      <c r="BS54" s="16" t="str">
        <f t="array" ref="BS54">SUM(SUMIFS(INDIRECT($A$5),OtrosR!$C$3:$C65,$A54,OtrosR!$B$3:$B65,BS$1))</f>
        <v>#N/A</v>
      </c>
      <c r="BT54" s="17" t="str">
        <f t="array" ref="BT54">SUM(SUMIFS(INDIRECT($A$5),OtrosR!$C$3:$C65,$A54,OtrosR!$B$3:$B65,BT$1))</f>
        <v>#N/A</v>
      </c>
      <c r="BU54" s="16" t="str">
        <f t="array" ref="BU54">SUM(SUMIFS(INDIRECT($A$5),OtrosR!$C$3:$C65,$A54,OtrosR!$B$3:$B65,BU$1))</f>
        <v>#N/A</v>
      </c>
      <c r="BV54" s="17" t="str">
        <f t="array" ref="BV54">SUM(SUMIFS(INDIRECT($A$5),OtrosR!$C$3:$C65,$A54,OtrosR!$B$3:$B65,BV$1))</f>
        <v>#N/A</v>
      </c>
      <c r="BW54" s="16" t="str">
        <f t="array" ref="BW54">SUM(SUMIFS(INDIRECT($A$5),OtrosR!$C$3:$C65,$A54,OtrosR!$B$3:$B65,BW$1))</f>
        <v>#N/A</v>
      </c>
      <c r="BX54" s="17" t="str">
        <f t="array" ref="BX54">SUM(SUMIFS(INDIRECT($A$5),OtrosR!$C$3:$C65,$A54,OtrosR!$B$3:$B65,BX$1))</f>
        <v>#N/A</v>
      </c>
      <c r="BY54" s="16" t="str">
        <f t="array" ref="BY54">SUM(SUMIFS(INDIRECT($A$5),OtrosR!$C$3:$C65,$A54,OtrosR!$B$3:$B65,BY$1))</f>
        <v>#N/A</v>
      </c>
      <c r="BZ54" s="17" t="str">
        <f t="array" ref="BZ54">SUM(SUMIFS(INDIRECT($A$5),OtrosR!$C$3:$C65,$A54,OtrosR!$B$3:$B65,BZ$1))</f>
        <v>#N/A</v>
      </c>
      <c r="CA54" s="16" t="str">
        <f t="array" ref="CA54">SUM(SUMIFS(INDIRECT($A$5),OtrosR!$C$3:$C65,$A54,OtrosR!$B$3:$B65,CA$1))</f>
        <v>#N/A</v>
      </c>
      <c r="CB54" s="17" t="str">
        <f t="array" ref="CB54">SUM(SUMIFS(INDIRECT($A$5),OtrosR!$C$3:$C65,$A54,OtrosR!$B$3:$B65,CB$1))</f>
        <v>#N/A</v>
      </c>
      <c r="CC54" s="16" t="str">
        <f t="array" ref="CC54">SUM(SUMIFS(INDIRECT($A$5),OtrosR!$C$3:$C65,$A54,OtrosR!$B$3:$B65,CC$1))</f>
        <v>#N/A</v>
      </c>
      <c r="CD54" s="17" t="str">
        <f t="array" ref="CD54">SUM(SUMIFS(INDIRECT($A$5),OtrosR!$C$3:$C65,$A54,OtrosR!$B$3:$B65,CD$1))</f>
        <v>#N/A</v>
      </c>
      <c r="CE54" s="16" t="str">
        <f t="array" ref="CE54">SUM(SUMIFS(INDIRECT($A$5),OtrosR!$C$3:$C65,$A54,OtrosR!$B$3:$B65,CE$1))</f>
        <v>#N/A</v>
      </c>
      <c r="CF54" s="17" t="str">
        <f t="array" ref="CF54">SUM(SUMIFS(INDIRECT($A$5),OtrosR!$C$3:$C65,$A54,OtrosR!$B$3:$B65,CF$1))</f>
        <v>#N/A</v>
      </c>
      <c r="CG54" s="16" t="str">
        <f t="array" ref="CG54">SUM(SUMIFS(INDIRECT($A$5),OtrosR!$C$3:$C65,$A54,OtrosR!$B$3:$B65,CG$1))</f>
        <v>#N/A</v>
      </c>
      <c r="CH54" s="17" t="str">
        <f t="array" ref="CH54">SUM(SUMIFS(INDIRECT($A$5),OtrosR!$C$3:$C65,$A54,OtrosR!$B$3:$B65,CH$1))</f>
        <v>#N/A</v>
      </c>
      <c r="CI54" s="16" t="str">
        <f t="array" ref="CI54">SUM(SUMIFS(INDIRECT($A$5),OtrosR!$C$3:$C65,$A54,OtrosR!$B$3:$B65,CI$1))</f>
        <v>#N/A</v>
      </c>
      <c r="CJ54" s="17" t="str">
        <f t="array" ref="CJ54">SUM(SUMIFS(INDIRECT($A$5),OtrosR!$C$3:$C65,$A54,OtrosR!$B$3:$B65,CJ$1))</f>
        <v>#N/A</v>
      </c>
      <c r="CK54" s="16" t="str">
        <f t="array" ref="CK54">SUM(SUMIFS(INDIRECT($A$5),OtrosR!$C$3:$C65,$A54,OtrosR!$B$3:$B65,CK$1))</f>
        <v>#N/A</v>
      </c>
      <c r="CL54" s="17" t="str">
        <f t="array" ref="CL54">SUM(SUMIFS(INDIRECT($A$5),OtrosR!$C$3:$C65,$A54,OtrosR!$B$3:$B65,CL$1))</f>
        <v>#N/A</v>
      </c>
      <c r="CM54" s="16" t="str">
        <f t="array" ref="CM54">SUM(SUMIFS(INDIRECT($A$5),OtrosR!$C$3:$C65,$A54,OtrosR!$B$3:$B65,CM$1))</f>
        <v>#N/A</v>
      </c>
      <c r="CN54" s="17" t="str">
        <f t="array" ref="CN54">SUM(SUMIFS(INDIRECT($A$5),OtrosR!$C$3:$C65,$A54,OtrosR!$B$3:$B65,CN$1))</f>
        <v>#N/A</v>
      </c>
      <c r="CO54" s="16" t="str">
        <f t="array" ref="CO54">SUM(SUMIFS(INDIRECT($A$5),OtrosR!$C$3:$C65,$A54,OtrosR!$B$3:$B65,CO$1))</f>
        <v>#N/A</v>
      </c>
      <c r="CP54" s="17" t="str">
        <f t="array" ref="CP54">SUM(SUMIFS(INDIRECT($A$5),OtrosR!$C$3:$C65,$A54,OtrosR!$B$3:$B65,CP$1))</f>
        <v>#N/A</v>
      </c>
      <c r="CQ54" s="16" t="str">
        <f t="array" ref="CQ54">SUM(SUMIFS(INDIRECT($A$5),OtrosR!$C$3:$C65,$A54,OtrosR!$B$3:$B65,CQ$1))</f>
        <v>#N/A</v>
      </c>
      <c r="CR54" s="17" t="str">
        <f t="array" ref="CR54">SUM(SUMIFS(INDIRECT($A$5),OtrosR!$C$3:$C65,$A54,OtrosR!$B$3:$B65,CR$1))</f>
        <v>#N/A</v>
      </c>
      <c r="CS54" s="16" t="str">
        <f t="array" ref="CS54">SUM(SUMIFS(INDIRECT($A$5),OtrosR!$C$3:$C65,$A54,OtrosR!$B$3:$B65,CS$1))</f>
        <v>#N/A</v>
      </c>
      <c r="CT54" s="17" t="str">
        <f t="array" ref="CT54">SUM(SUMIFS(INDIRECT($A$5),OtrosR!$C$3:$C65,$A54,OtrosR!$B$3:$B65,CT$1))</f>
        <v>#N/A</v>
      </c>
      <c r="CU54" s="16" t="str">
        <f t="array" ref="CU54">SUM(SUMIFS(INDIRECT($A$5),OtrosR!$C$3:$C65,$A54,OtrosR!$B$3:$B65,CU$1))</f>
        <v>#N/A</v>
      </c>
      <c r="CV54" s="17" t="str">
        <f t="array" ref="CV54">SUM(SUMIFS(INDIRECT($A$5),OtrosR!$C$3:$C65,$A54,OtrosR!$B$3:$B65,CV$1))</f>
        <v>#N/A</v>
      </c>
      <c r="CW54" s="16" t="str">
        <f t="array" ref="CW54">SUM(SUMIFS(INDIRECT($A$5),OtrosR!$C$3:$C65,$A54,OtrosR!$B$3:$B65,CW$1))</f>
        <v>#N/A</v>
      </c>
      <c r="CX54" s="17" t="str">
        <f t="array" ref="CX54">SUM(SUMIFS(INDIRECT($A$5),OtrosR!$C$3:$C65,$A54,OtrosR!$B$3:$B65,CX$1))</f>
        <v>#N/A</v>
      </c>
      <c r="CY54" s="16" t="str">
        <f t="array" ref="CY54">SUM(SUMIFS(INDIRECT($A$5),OtrosR!$C$3:$C65,$A54,OtrosR!$B$3:$B65,CY$1))</f>
        <v>#N/A</v>
      </c>
      <c r="CZ54" s="17" t="str">
        <f t="array" ref="CZ54">SUM(SUMIFS(INDIRECT($A$5),OtrosR!$C$3:$C65,$A54,OtrosR!$B$3:$B65,CZ$1))</f>
        <v>#N/A</v>
      </c>
      <c r="DA54" s="16" t="str">
        <f t="array" ref="DA54">SUM(SUMIFS(INDIRECT($A$5),OtrosR!$C$3:$C65,$A54,OtrosR!$B$3:$B65,DA$1))</f>
        <v>#N/A</v>
      </c>
      <c r="DB54" s="17" t="str">
        <f t="array" ref="DB54">SUM(SUMIFS(INDIRECT($A$5),OtrosR!$C$3:$C65,$A54,OtrosR!$B$3:$B65,DB$1))</f>
        <v>#N/A</v>
      </c>
      <c r="DC54" s="16" t="str">
        <f t="array" ref="DC54">SUM(SUMIFS(INDIRECT($A$5),OtrosR!$C$3:$C65,$A54,OtrosR!$B$3:$B65,DC$1))</f>
        <v>#N/A</v>
      </c>
      <c r="DD54" s="17" t="str">
        <f t="array" ref="DD54">SUM(SUMIFS(INDIRECT($A$5),OtrosR!$C$3:$C65,$A54,OtrosR!$B$3:$B65,DD$1))</f>
        <v>#N/A</v>
      </c>
      <c r="DE54" s="16" t="str">
        <f t="array" ref="DE54">SUM(SUMIFS(INDIRECT($A$5),OtrosR!$C$3:$C65,$A54,OtrosR!$B$3:$B65,DE$1))</f>
        <v>#N/A</v>
      </c>
      <c r="DF54" s="17" t="str">
        <f t="array" ref="DF54">SUM(SUMIFS(INDIRECT($A$5),OtrosR!$C$3:$C65,$A54,OtrosR!$B$3:$B65,DF$1))</f>
        <v>#N/A</v>
      </c>
      <c r="DG54" s="16" t="str">
        <f t="array" ref="DG54">SUM(SUMIFS(INDIRECT($A$5),OtrosR!$C$3:$C65,$A54,OtrosR!$B$3:$B65,DG$1))</f>
        <v>#N/A</v>
      </c>
      <c r="DH54" s="17" t="str">
        <f t="array" ref="DH54">SUM(SUMIFS(INDIRECT($A$5),OtrosR!$C$3:$C65,$A54,OtrosR!$B$3:$B65,DH$1))</f>
        <v>#N/A</v>
      </c>
      <c r="DI54" s="16" t="str">
        <f t="array" ref="DI54">SUM(SUMIFS(INDIRECT($A$5),OtrosR!$C$3:$C65,$A54,OtrosR!$B$3:$B65,DI$1))</f>
        <v>#N/A</v>
      </c>
      <c r="DJ54" s="17" t="str">
        <f t="array" ref="DJ54">SUM(SUMIFS(INDIRECT($A$5),OtrosR!$C$3:$C65,$A54,OtrosR!$B$3:$B65,DJ$1))</f>
        <v>#N/A</v>
      </c>
      <c r="DK54" s="16" t="str">
        <f t="array" ref="DK54">SUM(SUMIFS(INDIRECT($A$5),OtrosR!$C$3:$C65,$A54,OtrosR!$B$3:$B65,DK$1))</f>
        <v>#N/A</v>
      </c>
      <c r="DL54" s="17" t="str">
        <f t="array" ref="DL54">SUM(SUMIFS(INDIRECT($A$5),OtrosR!$C$3:$C65,$A54,OtrosR!$B$3:$B65,DL$1))</f>
        <v>#N/A</v>
      </c>
      <c r="DM54" s="16" t="str">
        <f t="array" ref="DM54">SUM(SUMIFS(INDIRECT($A$5),OtrosR!$C$3:$C65,$A54,OtrosR!$B$3:$B65,DM$1))</f>
        <v>#N/A</v>
      </c>
      <c r="DN54" s="17" t="str">
        <f t="array" ref="DN54">SUM(SUMIFS(INDIRECT($A$5),OtrosR!$C$3:$C65,$A54,OtrosR!$B$3:$B65,DN$1))</f>
        <v>#N/A</v>
      </c>
      <c r="DO54" s="16" t="str">
        <f t="array" ref="DO54">SUM(SUMIFS(INDIRECT($A$5),OtrosR!$C$3:$C65,$A54,OtrosR!$B$3:$B65,DO$1))</f>
        <v>#N/A</v>
      </c>
      <c r="DP54" s="17" t="str">
        <f t="array" ref="DP54">SUM(SUMIFS(INDIRECT($A$5),OtrosR!$C$3:$C65,$A54,OtrosR!$B$3:$B65,DP$1))</f>
        <v>#N/A</v>
      </c>
      <c r="DQ54" s="16" t="str">
        <f t="array" ref="DQ54">SUM(SUMIFS(INDIRECT($A$5),OtrosR!$C$3:$C65,$A54,OtrosR!$B$3:$B65,DQ$1))</f>
        <v>#N/A</v>
      </c>
      <c r="DR54" s="17" t="str">
        <f t="array" ref="DR54">SUM(SUMIFS(INDIRECT($A$5),OtrosR!$C$3:$C65,$A54,OtrosR!$B$3:$B65,DR$1))</f>
        <v>#N/A</v>
      </c>
      <c r="DS54" s="16" t="str">
        <f t="array" ref="DS54">SUM(SUMIFS(INDIRECT($A$5),OtrosR!$C$3:$C65,$A54,OtrosR!$B$3:$B65,DS$1))</f>
        <v>#N/A</v>
      </c>
      <c r="DT54" s="17" t="str">
        <f t="array" ref="DT54">SUM(SUMIFS(INDIRECT($A$5),OtrosR!$C$3:$C65,$A54,OtrosR!$B$3:$B65,DT$1))</f>
        <v>#N/A</v>
      </c>
      <c r="DU54" s="16" t="str">
        <f t="array" ref="DU54">SUM(SUMIFS(INDIRECT($A$5),OtrosR!$C$3:$C65,$A54,OtrosR!$B$3:$B65,DU$1))</f>
        <v>#N/A</v>
      </c>
      <c r="DV54" s="17" t="str">
        <f t="array" ref="DV54">SUM(SUMIFS(INDIRECT($A$5),OtrosR!$C$3:$C65,$A54,OtrosR!$B$3:$B65,DV$1))</f>
        <v>#N/A</v>
      </c>
      <c r="DW54" s="16" t="str">
        <f t="array" ref="DW54">SUM(SUMIFS(INDIRECT($A$5),OtrosR!$C$3:$C65,$A54,OtrosR!$B$3:$B65,DW$1))</f>
        <v>#N/A</v>
      </c>
      <c r="DX54" s="17" t="str">
        <f t="array" ref="DX54">SUM(SUMIFS(INDIRECT($A$5),OtrosR!$C$3:$C65,$A54,OtrosR!$B$3:$B65,DX$1))</f>
        <v>#N/A</v>
      </c>
      <c r="DY54" s="16" t="str">
        <f t="array" ref="DY54">SUM(SUMIFS(INDIRECT($A$5),OtrosR!$C$3:$C65,$A54,OtrosR!$B$3:$B65,DY$1))</f>
        <v>#N/A</v>
      </c>
      <c r="DZ54" s="17" t="str">
        <f t="array" ref="DZ54">SUM(SUMIFS(INDIRECT($A$5),OtrosR!$C$3:$C65,$A54,OtrosR!$B$3:$B65,DZ$1))</f>
        <v>#N/A</v>
      </c>
      <c r="EA54" s="16" t="str">
        <f t="array" ref="EA54">SUM(SUMIFS(INDIRECT($A$5),OtrosR!$C$3:$C65,$A54,OtrosR!$B$3:$B65,EA$1))</f>
        <v>#N/A</v>
      </c>
      <c r="EB54" s="17" t="str">
        <f t="array" ref="EB54">SUM(SUMIFS(INDIRECT($A$5),OtrosR!$C$3:$C65,$A54,OtrosR!$B$3:$B65,EB$1))</f>
        <v>#N/A</v>
      </c>
      <c r="EC54" s="16" t="str">
        <f t="array" ref="EC54">SUM(SUMIFS(INDIRECT($A$5),OtrosR!$C$3:$C65,$A54,OtrosR!$B$3:$B65,EC$1))</f>
        <v>#N/A</v>
      </c>
      <c r="ED54" s="17" t="str">
        <f t="array" ref="ED54">SUM(SUMIFS(INDIRECT($A$5),OtrosR!$C$3:$C65,$A54,OtrosR!$B$3:$B65,ED$1))</f>
        <v>#N/A</v>
      </c>
      <c r="EE54" s="16" t="str">
        <f t="array" ref="EE54">SUM(SUMIFS(INDIRECT($A$5),OtrosR!$C$3:$C65,$A54,OtrosR!$B$3:$B65,EE$1))</f>
        <v>#N/A</v>
      </c>
      <c r="EF54" s="17" t="str">
        <f t="array" ref="EF54">SUM(SUMIFS(INDIRECT($A$5),OtrosR!$C$3:$C65,$A54,OtrosR!$B$3:$B65,EF$1))</f>
        <v>#N/A</v>
      </c>
      <c r="EG54" s="16" t="str">
        <f t="array" ref="EG54">SUM(SUMIFS(INDIRECT($A$5),OtrosR!$C$3:$C65,$A54,OtrosR!$B$3:$B65,EG$1))</f>
        <v>#N/A</v>
      </c>
      <c r="EH54" s="17" t="str">
        <f t="array" ref="EH54">SUM(SUMIFS(INDIRECT($A$5),OtrosR!$C$3:$C65,$A54,OtrosR!$B$3:$B65,EH$1))</f>
        <v>#N/A</v>
      </c>
      <c r="EI54" s="16" t="str">
        <f t="array" ref="EI54">SUM(SUMIFS(INDIRECT($A$5),OtrosR!$C$3:$C65,$A54,OtrosR!$B$3:$B65,EI$1))</f>
        <v>#N/A</v>
      </c>
      <c r="EJ54" s="17" t="str">
        <f t="array" ref="EJ54">SUM(SUMIFS(INDIRECT($A$5),OtrosR!$C$3:$C65,$A54,OtrosR!$B$3:$B65,EJ$1))</f>
        <v>#N/A</v>
      </c>
      <c r="EK54" s="16" t="str">
        <f t="array" ref="EK54">SUM(SUMIFS(INDIRECT($A$5),OtrosR!$C$3:$C65,$A54,OtrosR!$B$3:$B65,EK$1))</f>
        <v>#N/A</v>
      </c>
      <c r="EL54" s="17" t="str">
        <f t="array" ref="EL54">SUM(SUMIFS(INDIRECT($A$5),OtrosR!$C$3:$C65,$A54,OtrosR!$B$3:$B65,EL$1))</f>
        <v>#N/A</v>
      </c>
      <c r="EM54" s="16" t="str">
        <f t="array" ref="EM54">SUM(SUMIFS(INDIRECT($A$5),OtrosR!$C$3:$C65,$A54,OtrosR!$B$3:$B65,EM$1))</f>
        <v>#N/A</v>
      </c>
      <c r="EN54" s="17" t="str">
        <f t="array" ref="EN54">SUM(SUMIFS(INDIRECT($A$5),OtrosR!$C$3:$C65,$A54,OtrosR!$B$3:$B65,EN$1))</f>
        <v>#N/A</v>
      </c>
      <c r="EO54" s="16" t="str">
        <f t="array" ref="EO54">SUM(SUMIFS(INDIRECT($A$5),OtrosR!$C$3:$C65,$A54,OtrosR!$B$3:$B65,EO$1))</f>
        <v>#N/A</v>
      </c>
      <c r="EP54" s="17" t="str">
        <f t="array" ref="EP54">SUM(SUMIFS(INDIRECT($A$5),OtrosR!$C$3:$C65,$A54,OtrosR!$B$3:$B65,EP$1))</f>
        <v>#N/A</v>
      </c>
    </row>
    <row r="55" ht="9.0" customHeight="1">
      <c r="A55" s="5"/>
      <c r="B55" s="48"/>
      <c r="C55" s="4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</row>
    <row r="56" ht="15.75" customHeight="1">
      <c r="A56" s="19" t="s">
        <v>20</v>
      </c>
      <c r="B56" s="51" t="str">
        <f t="shared" ref="B56:AQ56" si="51">SUM(B57:B65)</f>
        <v>#N/A</v>
      </c>
      <c r="C56" s="52" t="str">
        <f t="shared" si="51"/>
        <v>#N/A</v>
      </c>
      <c r="D56" s="53" t="str">
        <f t="shared" si="51"/>
        <v>#N/A</v>
      </c>
      <c r="E56" s="13" t="str">
        <f t="shared" si="51"/>
        <v>#N/A</v>
      </c>
      <c r="F56" s="14" t="str">
        <f t="shared" si="51"/>
        <v>#N/A</v>
      </c>
      <c r="G56" s="13" t="str">
        <f t="shared" si="51"/>
        <v>#N/A</v>
      </c>
      <c r="H56" s="14" t="str">
        <f t="shared" si="51"/>
        <v>#N/A</v>
      </c>
      <c r="I56" s="13" t="str">
        <f t="shared" si="51"/>
        <v>#N/A</v>
      </c>
      <c r="J56" s="14" t="str">
        <f t="shared" si="51"/>
        <v>#N/A</v>
      </c>
      <c r="K56" s="13" t="str">
        <f t="shared" si="51"/>
        <v>#N/A</v>
      </c>
      <c r="L56" s="14" t="str">
        <f t="shared" si="51"/>
        <v>#N/A</v>
      </c>
      <c r="M56" s="13" t="str">
        <f t="shared" si="51"/>
        <v>#N/A</v>
      </c>
      <c r="N56" s="14" t="str">
        <f t="shared" si="51"/>
        <v>#N/A</v>
      </c>
      <c r="O56" s="13" t="str">
        <f t="shared" si="51"/>
        <v>#N/A</v>
      </c>
      <c r="P56" s="14" t="str">
        <f t="shared" si="51"/>
        <v>#N/A</v>
      </c>
      <c r="Q56" s="13" t="str">
        <f t="shared" si="51"/>
        <v>#N/A</v>
      </c>
      <c r="R56" s="14" t="str">
        <f t="shared" si="51"/>
        <v>#N/A</v>
      </c>
      <c r="S56" s="13" t="str">
        <f t="shared" si="51"/>
        <v>#N/A</v>
      </c>
      <c r="T56" s="14" t="str">
        <f t="shared" si="51"/>
        <v>#N/A</v>
      </c>
      <c r="U56" s="13" t="str">
        <f t="shared" si="51"/>
        <v>#N/A</v>
      </c>
      <c r="V56" s="14" t="str">
        <f t="shared" si="51"/>
        <v>#N/A</v>
      </c>
      <c r="W56" s="13" t="str">
        <f t="shared" si="51"/>
        <v>#N/A</v>
      </c>
      <c r="X56" s="14" t="str">
        <f t="shared" si="51"/>
        <v>#N/A</v>
      </c>
      <c r="Y56" s="13" t="str">
        <f t="shared" si="51"/>
        <v>#N/A</v>
      </c>
      <c r="Z56" s="14" t="str">
        <f t="shared" si="51"/>
        <v>#N/A</v>
      </c>
      <c r="AA56" s="13" t="str">
        <f t="shared" si="51"/>
        <v>#N/A</v>
      </c>
      <c r="AB56" s="14" t="str">
        <f t="shared" si="51"/>
        <v>#N/A</v>
      </c>
      <c r="AC56" s="13" t="str">
        <f t="shared" si="51"/>
        <v>#N/A</v>
      </c>
      <c r="AD56" s="14" t="str">
        <f t="shared" si="51"/>
        <v>#N/A</v>
      </c>
      <c r="AE56" s="13" t="str">
        <f t="shared" si="51"/>
        <v>#N/A</v>
      </c>
      <c r="AF56" s="14" t="str">
        <f t="shared" si="51"/>
        <v>#N/A</v>
      </c>
      <c r="AG56" s="13" t="str">
        <f t="shared" si="51"/>
        <v>#N/A</v>
      </c>
      <c r="AH56" s="14" t="str">
        <f t="shared" si="51"/>
        <v>#N/A</v>
      </c>
      <c r="AI56" s="13" t="str">
        <f t="shared" si="51"/>
        <v>#N/A</v>
      </c>
      <c r="AJ56" s="14" t="str">
        <f t="shared" si="51"/>
        <v>#N/A</v>
      </c>
      <c r="AK56" s="13" t="str">
        <f t="shared" si="51"/>
        <v>#N/A</v>
      </c>
      <c r="AL56" s="14" t="str">
        <f t="shared" si="51"/>
        <v>#N/A</v>
      </c>
      <c r="AM56" s="13" t="str">
        <f t="shared" si="51"/>
        <v>#N/A</v>
      </c>
      <c r="AN56" s="14" t="str">
        <f t="shared" si="51"/>
        <v>#N/A</v>
      </c>
      <c r="AO56" s="13" t="str">
        <f t="shared" si="51"/>
        <v>#N/A</v>
      </c>
      <c r="AP56" s="14" t="str">
        <f t="shared" si="51"/>
        <v>#N/A</v>
      </c>
      <c r="AQ56" s="13" t="str">
        <f t="shared" si="51"/>
        <v>#N/A</v>
      </c>
      <c r="AR56" s="14" t="str">
        <f t="shared" ref="AR56:EP56" si="52">SUM(AR52:AR65)</f>
        <v>#REF!</v>
      </c>
      <c r="AS56" s="13" t="str">
        <f t="shared" si="52"/>
        <v>#REF!</v>
      </c>
      <c r="AT56" s="14" t="str">
        <f t="shared" si="52"/>
        <v>#REF!</v>
      </c>
      <c r="AU56" s="13" t="str">
        <f t="shared" si="52"/>
        <v>#REF!</v>
      </c>
      <c r="AV56" s="14" t="str">
        <f t="shared" si="52"/>
        <v>#REF!</v>
      </c>
      <c r="AW56" s="13" t="str">
        <f t="shared" si="52"/>
        <v>#REF!</v>
      </c>
      <c r="AX56" s="14" t="str">
        <f t="shared" si="52"/>
        <v>#REF!</v>
      </c>
      <c r="AY56" s="13" t="str">
        <f t="shared" si="52"/>
        <v>#REF!</v>
      </c>
      <c r="AZ56" s="14" t="str">
        <f t="shared" si="52"/>
        <v>#REF!</v>
      </c>
      <c r="BA56" s="13" t="str">
        <f t="shared" si="52"/>
        <v>#REF!</v>
      </c>
      <c r="BB56" s="14" t="str">
        <f t="shared" si="52"/>
        <v>#REF!</v>
      </c>
      <c r="BC56" s="13" t="str">
        <f t="shared" si="52"/>
        <v>#REF!</v>
      </c>
      <c r="BD56" s="14" t="str">
        <f t="shared" si="52"/>
        <v>#REF!</v>
      </c>
      <c r="BE56" s="13" t="str">
        <f t="shared" si="52"/>
        <v>#REF!</v>
      </c>
      <c r="BF56" s="14" t="str">
        <f t="shared" si="52"/>
        <v>#REF!</v>
      </c>
      <c r="BG56" s="13" t="str">
        <f t="shared" si="52"/>
        <v>#REF!</v>
      </c>
      <c r="BH56" s="14" t="str">
        <f t="shared" si="52"/>
        <v>#REF!</v>
      </c>
      <c r="BI56" s="13" t="str">
        <f t="shared" si="52"/>
        <v>#REF!</v>
      </c>
      <c r="BJ56" s="14" t="str">
        <f t="shared" si="52"/>
        <v>#REF!</v>
      </c>
      <c r="BK56" s="13" t="str">
        <f t="shared" si="52"/>
        <v>#REF!</v>
      </c>
      <c r="BL56" s="14" t="str">
        <f t="shared" si="52"/>
        <v>#REF!</v>
      </c>
      <c r="BM56" s="13" t="str">
        <f t="shared" si="52"/>
        <v>#REF!</v>
      </c>
      <c r="BN56" s="14" t="str">
        <f t="shared" si="52"/>
        <v>#REF!</v>
      </c>
      <c r="BO56" s="13" t="str">
        <f t="shared" si="52"/>
        <v>#REF!</v>
      </c>
      <c r="BP56" s="14" t="str">
        <f t="shared" si="52"/>
        <v>#REF!</v>
      </c>
      <c r="BQ56" s="13" t="str">
        <f t="shared" si="52"/>
        <v>#REF!</v>
      </c>
      <c r="BR56" s="14" t="str">
        <f t="shared" si="52"/>
        <v>#REF!</v>
      </c>
      <c r="BS56" s="13" t="str">
        <f t="shared" si="52"/>
        <v>#REF!</v>
      </c>
      <c r="BT56" s="14" t="str">
        <f t="shared" si="52"/>
        <v>#REF!</v>
      </c>
      <c r="BU56" s="13" t="str">
        <f t="shared" si="52"/>
        <v>#REF!</v>
      </c>
      <c r="BV56" s="14" t="str">
        <f t="shared" si="52"/>
        <v>#REF!</v>
      </c>
      <c r="BW56" s="13" t="str">
        <f t="shared" si="52"/>
        <v>#REF!</v>
      </c>
      <c r="BX56" s="14" t="str">
        <f t="shared" si="52"/>
        <v>#REF!</v>
      </c>
      <c r="BY56" s="13" t="str">
        <f t="shared" si="52"/>
        <v>#REF!</v>
      </c>
      <c r="BZ56" s="14" t="str">
        <f t="shared" si="52"/>
        <v>#REF!</v>
      </c>
      <c r="CA56" s="13" t="str">
        <f t="shared" si="52"/>
        <v>#REF!</v>
      </c>
      <c r="CB56" s="14" t="str">
        <f t="shared" si="52"/>
        <v>#REF!</v>
      </c>
      <c r="CC56" s="13" t="str">
        <f t="shared" si="52"/>
        <v>#REF!</v>
      </c>
      <c r="CD56" s="14" t="str">
        <f t="shared" si="52"/>
        <v>#REF!</v>
      </c>
      <c r="CE56" s="13" t="str">
        <f t="shared" si="52"/>
        <v>#REF!</v>
      </c>
      <c r="CF56" s="14" t="str">
        <f t="shared" si="52"/>
        <v>#REF!</v>
      </c>
      <c r="CG56" s="13" t="str">
        <f t="shared" si="52"/>
        <v>#REF!</v>
      </c>
      <c r="CH56" s="14" t="str">
        <f t="shared" si="52"/>
        <v>#REF!</v>
      </c>
      <c r="CI56" s="13" t="str">
        <f t="shared" si="52"/>
        <v>#REF!</v>
      </c>
      <c r="CJ56" s="14" t="str">
        <f t="shared" si="52"/>
        <v>#REF!</v>
      </c>
      <c r="CK56" s="13" t="str">
        <f t="shared" si="52"/>
        <v>#REF!</v>
      </c>
      <c r="CL56" s="14" t="str">
        <f t="shared" si="52"/>
        <v>#REF!</v>
      </c>
      <c r="CM56" s="13" t="str">
        <f t="shared" si="52"/>
        <v>#REF!</v>
      </c>
      <c r="CN56" s="14" t="str">
        <f t="shared" si="52"/>
        <v>#REF!</v>
      </c>
      <c r="CO56" s="13" t="str">
        <f t="shared" si="52"/>
        <v>#REF!</v>
      </c>
      <c r="CP56" s="14" t="str">
        <f t="shared" si="52"/>
        <v>#REF!</v>
      </c>
      <c r="CQ56" s="13" t="str">
        <f t="shared" si="52"/>
        <v>#REF!</v>
      </c>
      <c r="CR56" s="14" t="str">
        <f t="shared" si="52"/>
        <v>#REF!</v>
      </c>
      <c r="CS56" s="13" t="str">
        <f t="shared" si="52"/>
        <v>#REF!</v>
      </c>
      <c r="CT56" s="14" t="str">
        <f t="shared" si="52"/>
        <v>#REF!</v>
      </c>
      <c r="CU56" s="13" t="str">
        <f t="shared" si="52"/>
        <v>#REF!</v>
      </c>
      <c r="CV56" s="14" t="str">
        <f t="shared" si="52"/>
        <v>#REF!</v>
      </c>
      <c r="CW56" s="13" t="str">
        <f t="shared" si="52"/>
        <v>#REF!</v>
      </c>
      <c r="CX56" s="14" t="str">
        <f t="shared" si="52"/>
        <v>#REF!</v>
      </c>
      <c r="CY56" s="13" t="str">
        <f t="shared" si="52"/>
        <v>#REF!</v>
      </c>
      <c r="CZ56" s="14" t="str">
        <f t="shared" si="52"/>
        <v>#REF!</v>
      </c>
      <c r="DA56" s="13" t="str">
        <f t="shared" si="52"/>
        <v>#REF!</v>
      </c>
      <c r="DB56" s="14" t="str">
        <f t="shared" si="52"/>
        <v>#REF!</v>
      </c>
      <c r="DC56" s="13" t="str">
        <f t="shared" si="52"/>
        <v>#REF!</v>
      </c>
      <c r="DD56" s="14" t="str">
        <f t="shared" si="52"/>
        <v>#REF!</v>
      </c>
      <c r="DE56" s="13" t="str">
        <f t="shared" si="52"/>
        <v>#REF!</v>
      </c>
      <c r="DF56" s="14" t="str">
        <f t="shared" si="52"/>
        <v>#REF!</v>
      </c>
      <c r="DG56" s="13" t="str">
        <f t="shared" si="52"/>
        <v>#REF!</v>
      </c>
      <c r="DH56" s="14" t="str">
        <f t="shared" si="52"/>
        <v>#REF!</v>
      </c>
      <c r="DI56" s="13" t="str">
        <f t="shared" si="52"/>
        <v>#REF!</v>
      </c>
      <c r="DJ56" s="14" t="str">
        <f t="shared" si="52"/>
        <v>#REF!</v>
      </c>
      <c r="DK56" s="13" t="str">
        <f t="shared" si="52"/>
        <v>#REF!</v>
      </c>
      <c r="DL56" s="14" t="str">
        <f t="shared" si="52"/>
        <v>#REF!</v>
      </c>
      <c r="DM56" s="13" t="str">
        <f t="shared" si="52"/>
        <v>#REF!</v>
      </c>
      <c r="DN56" s="14" t="str">
        <f t="shared" si="52"/>
        <v>#REF!</v>
      </c>
      <c r="DO56" s="13" t="str">
        <f t="shared" si="52"/>
        <v>#REF!</v>
      </c>
      <c r="DP56" s="14" t="str">
        <f t="shared" si="52"/>
        <v>#REF!</v>
      </c>
      <c r="DQ56" s="13" t="str">
        <f t="shared" si="52"/>
        <v>#REF!</v>
      </c>
      <c r="DR56" s="14" t="str">
        <f t="shared" si="52"/>
        <v>#REF!</v>
      </c>
      <c r="DS56" s="13" t="str">
        <f t="shared" si="52"/>
        <v>#REF!</v>
      </c>
      <c r="DT56" s="14" t="str">
        <f t="shared" si="52"/>
        <v>#REF!</v>
      </c>
      <c r="DU56" s="13" t="str">
        <f t="shared" si="52"/>
        <v>#REF!</v>
      </c>
      <c r="DV56" s="14" t="str">
        <f t="shared" si="52"/>
        <v>#REF!</v>
      </c>
      <c r="DW56" s="13" t="str">
        <f t="shared" si="52"/>
        <v>#REF!</v>
      </c>
      <c r="DX56" s="14" t="str">
        <f t="shared" si="52"/>
        <v>#REF!</v>
      </c>
      <c r="DY56" s="13" t="str">
        <f t="shared" si="52"/>
        <v>#REF!</v>
      </c>
      <c r="DZ56" s="14" t="str">
        <f t="shared" si="52"/>
        <v>#REF!</v>
      </c>
      <c r="EA56" s="13" t="str">
        <f t="shared" si="52"/>
        <v>#REF!</v>
      </c>
      <c r="EB56" s="14" t="str">
        <f t="shared" si="52"/>
        <v>#REF!</v>
      </c>
      <c r="EC56" s="13" t="str">
        <f t="shared" si="52"/>
        <v>#REF!</v>
      </c>
      <c r="ED56" s="14" t="str">
        <f t="shared" si="52"/>
        <v>#REF!</v>
      </c>
      <c r="EE56" s="13" t="str">
        <f t="shared" si="52"/>
        <v>#REF!</v>
      </c>
      <c r="EF56" s="14" t="str">
        <f t="shared" si="52"/>
        <v>#REF!</v>
      </c>
      <c r="EG56" s="13" t="str">
        <f t="shared" si="52"/>
        <v>#REF!</v>
      </c>
      <c r="EH56" s="14" t="str">
        <f t="shared" si="52"/>
        <v>#REF!</v>
      </c>
      <c r="EI56" s="13" t="str">
        <f t="shared" si="52"/>
        <v>#REF!</v>
      </c>
      <c r="EJ56" s="14" t="str">
        <f t="shared" si="52"/>
        <v>#REF!</v>
      </c>
      <c r="EK56" s="13" t="str">
        <f t="shared" si="52"/>
        <v>#REF!</v>
      </c>
      <c r="EL56" s="14" t="str">
        <f t="shared" si="52"/>
        <v>#REF!</v>
      </c>
      <c r="EM56" s="13" t="str">
        <f t="shared" si="52"/>
        <v>#REF!</v>
      </c>
      <c r="EN56" s="14" t="str">
        <f t="shared" si="52"/>
        <v>#REF!</v>
      </c>
      <c r="EO56" s="13" t="str">
        <f t="shared" si="52"/>
        <v>#REF!</v>
      </c>
      <c r="EP56" s="14" t="str">
        <f t="shared" si="52"/>
        <v>#REF!</v>
      </c>
    </row>
    <row r="57" ht="15.75" customHeight="1">
      <c r="A57" s="6" t="str">
        <f>Menus!Q3</f>
        <v/>
      </c>
      <c r="B57" s="43" t="str">
        <f t="shared" ref="B57:B65" si="53">SUMIF($E$2:$EP$2, $C$2, D57:EP57
)</f>
        <v>#N/A</v>
      </c>
      <c r="C57" s="54" t="str">
        <f t="array" ref="C57">SUM(SUMIFS(INDIRECT($A$5),OtrosR!$C$3:$C65,$A57,OtrosR!$B$3:$B65,C$1))</f>
        <v>#N/A</v>
      </c>
      <c r="D57" s="55" t="str">
        <f t="array" ref="D57">SUM(SUMIFS(INDIRECT($A$5),OtrosR!$C$3:$C65,$A57,OtrosR!$B$3:$B65,D$1))</f>
        <v>#N/A</v>
      </c>
      <c r="E57" s="16" t="str">
        <f t="array" ref="E57">SUM(SUMIFS(INDIRECT($A$5),OtrosR!$C$3:$C65,$A57,OtrosR!$B$3:$B65,E$1))</f>
        <v>#N/A</v>
      </c>
      <c r="F57" s="17" t="str">
        <f t="array" ref="F57">SUM(SUMIFS(INDIRECT($A$5),OtrosR!$C$3:$C65,$A57,OtrosR!$B$3:$B65,F$1))</f>
        <v>#N/A</v>
      </c>
      <c r="G57" s="16" t="str">
        <f t="array" ref="G57">SUM(SUMIFS(INDIRECT($A$5),OtrosR!$C$3:$C65,$A57,OtrosR!$B$3:$B65,G$1))</f>
        <v>#N/A</v>
      </c>
      <c r="H57" s="17" t="str">
        <f t="array" ref="H57">SUM(SUMIFS(INDIRECT($A$5),OtrosR!$C$3:$C65,$A57,OtrosR!$B$3:$B65,H$1))</f>
        <v>#N/A</v>
      </c>
      <c r="I57" s="16" t="str">
        <f t="array" ref="I57">SUM(SUMIFS(INDIRECT($A$5),OtrosR!$C$3:$C65,$A57,OtrosR!$B$3:$B65,I$1))</f>
        <v>#N/A</v>
      </c>
      <c r="J57" s="17" t="str">
        <f t="array" ref="J57">SUM(SUMIFS(INDIRECT($A$5),OtrosR!$C$3:$C65,$A57,OtrosR!$B$3:$B65,J$1))</f>
        <v>#N/A</v>
      </c>
      <c r="K57" s="16" t="str">
        <f t="array" ref="K57">SUM(SUMIFS(INDIRECT($A$5),OtrosR!$C$3:$C65,$A57,OtrosR!$B$3:$B65,K$1))</f>
        <v>#N/A</v>
      </c>
      <c r="L57" s="17" t="str">
        <f t="array" ref="L57">SUM(SUMIFS(INDIRECT($A$5),OtrosR!$C$3:$C65,$A57,OtrosR!$B$3:$B65,L$1))</f>
        <v>#N/A</v>
      </c>
      <c r="M57" s="16" t="str">
        <f t="array" ref="M57">SUM(SUMIFS(INDIRECT($A$5),OtrosR!$C$3:$C65,$A57,OtrosR!$B$3:$B65,M$1))</f>
        <v>#N/A</v>
      </c>
      <c r="N57" s="17" t="str">
        <f t="array" ref="N57">SUM(SUMIFS(INDIRECT($A$5),OtrosR!$C$3:$C65,$A57,OtrosR!$B$3:$B65,N$1))</f>
        <v>#N/A</v>
      </c>
      <c r="O57" s="16" t="str">
        <f t="array" ref="O57">SUM(SUMIFS(INDIRECT($A$5),OtrosR!$C$3:$C65,$A57,OtrosR!$B$3:$B65,O$1))</f>
        <v>#N/A</v>
      </c>
      <c r="P57" s="17" t="str">
        <f t="array" ref="P57">SUM(SUMIFS(INDIRECT($A$5),OtrosR!$C$3:$C65,$A57,OtrosR!$B$3:$B65,P$1))</f>
        <v>#N/A</v>
      </c>
      <c r="Q57" s="16" t="str">
        <f t="array" ref="Q57">SUM(SUMIFS(INDIRECT($A$5),OtrosR!$C$3:$C65,$A57,OtrosR!$B$3:$B65,Q$1))</f>
        <v>#N/A</v>
      </c>
      <c r="R57" s="17" t="str">
        <f t="array" ref="R57">SUM(SUMIFS(INDIRECT($A$5),OtrosR!$C$3:$C65,$A57,OtrosR!$B$3:$B65,R$1))</f>
        <v>#N/A</v>
      </c>
      <c r="S57" s="16" t="str">
        <f t="array" ref="S57">SUM(SUMIFS(INDIRECT($A$5),OtrosR!$C$3:$C65,$A57,OtrosR!$B$3:$B65,S$1))</f>
        <v>#N/A</v>
      </c>
      <c r="T57" s="17" t="str">
        <f t="array" ref="T57">SUM(SUMIFS(INDIRECT($A$5),OtrosR!$C$3:$C65,$A57,OtrosR!$B$3:$B65,T$1))</f>
        <v>#N/A</v>
      </c>
      <c r="U57" s="16" t="str">
        <f t="array" ref="U57">SUM(SUMIFS(INDIRECT($A$5),OtrosR!$C$3:$C65,$A57,OtrosR!$B$3:$B65,U$1))</f>
        <v>#N/A</v>
      </c>
      <c r="V57" s="17" t="str">
        <f t="array" ref="V57">SUM(SUMIFS(INDIRECT($A$5),OtrosR!$C$3:$C65,$A57,OtrosR!$B$3:$B65,V$1))</f>
        <v>#N/A</v>
      </c>
      <c r="W57" s="16" t="str">
        <f t="array" ref="W57">SUM(SUMIFS(INDIRECT($A$5),OtrosR!$C$3:$C65,$A57,OtrosR!$B$3:$B65,W$1))</f>
        <v>#N/A</v>
      </c>
      <c r="X57" s="17" t="str">
        <f t="array" ref="X57">SUM(SUMIFS(INDIRECT($A$5),OtrosR!$C$3:$C65,$A57,OtrosR!$B$3:$B65,X$1))</f>
        <v>#N/A</v>
      </c>
      <c r="Y57" s="16" t="str">
        <f t="array" ref="Y57">SUM(SUMIFS(INDIRECT($A$5),OtrosR!$C$3:$C65,$A57,OtrosR!$B$3:$B65,Y$1))</f>
        <v>#N/A</v>
      </c>
      <c r="Z57" s="17" t="str">
        <f t="array" ref="Z57">SUM(SUMIFS(INDIRECT($A$5),OtrosR!$C$3:$C65,$A57,OtrosR!$B$3:$B65,Z$1))</f>
        <v>#N/A</v>
      </c>
      <c r="AA57" s="16" t="str">
        <f t="array" ref="AA57">SUM(SUMIFS(INDIRECT($A$5),OtrosR!$C$3:$C65,$A57,OtrosR!$B$3:$B65,AA$1))</f>
        <v>#N/A</v>
      </c>
      <c r="AB57" s="17" t="str">
        <f t="array" ref="AB57">SUM(SUMIFS(INDIRECT($A$5),OtrosR!$C$3:$C65,$A57,OtrosR!$B$3:$B65,AB$1))</f>
        <v>#N/A</v>
      </c>
      <c r="AC57" s="16" t="str">
        <f t="array" ref="AC57">SUM(SUMIFS(INDIRECT($A$5),OtrosR!$C$3:$C65,$A57,OtrosR!$B$3:$B65,AC$1))</f>
        <v>#N/A</v>
      </c>
      <c r="AD57" s="17" t="str">
        <f t="array" ref="AD57">SUM(SUMIFS(INDIRECT($A$5),OtrosR!$C$3:$C65,$A57,OtrosR!$B$3:$B65,AD$1))</f>
        <v>#N/A</v>
      </c>
      <c r="AE57" s="16" t="str">
        <f t="array" ref="AE57">SUM(SUMIFS(INDIRECT($A$5),OtrosR!$C$3:$C65,$A57,OtrosR!$B$3:$B65,AE$1))</f>
        <v>#N/A</v>
      </c>
      <c r="AF57" s="17" t="str">
        <f t="array" ref="AF57">SUM(SUMIFS(INDIRECT($A$5),OtrosR!$C$3:$C65,$A57,OtrosR!$B$3:$B65,AF$1))</f>
        <v>#N/A</v>
      </c>
      <c r="AG57" s="16" t="str">
        <f t="array" ref="AG57">SUM(SUMIFS(INDIRECT($A$5),OtrosR!$C$3:$C65,$A57,OtrosR!$B$3:$B65,AG$1))</f>
        <v>#N/A</v>
      </c>
      <c r="AH57" s="17" t="str">
        <f t="array" ref="AH57">SUM(SUMIFS(INDIRECT($A$5),OtrosR!$C$3:$C65,$A57,OtrosR!$B$3:$B65,AH$1))</f>
        <v>#N/A</v>
      </c>
      <c r="AI57" s="16" t="str">
        <f t="array" ref="AI57">SUM(SUMIFS(INDIRECT($A$5),OtrosR!$C$3:$C65,$A57,OtrosR!$B$3:$B65,AI$1))</f>
        <v>#N/A</v>
      </c>
      <c r="AJ57" s="17" t="str">
        <f t="array" ref="AJ57">SUM(SUMIFS(INDIRECT($A$5),OtrosR!$C$3:$C65,$A57,OtrosR!$B$3:$B65,AJ$1))</f>
        <v>#N/A</v>
      </c>
      <c r="AK57" s="16" t="str">
        <f t="array" ref="AK57">SUM(SUMIFS(INDIRECT($A$5),OtrosR!$C$3:$C65,$A57,OtrosR!$B$3:$B65,AK$1))</f>
        <v>#N/A</v>
      </c>
      <c r="AL57" s="17" t="str">
        <f t="array" ref="AL57">SUM(SUMIFS(INDIRECT($A$5),OtrosR!$C$3:$C65,$A57,OtrosR!$B$3:$B65,AL$1))</f>
        <v>#N/A</v>
      </c>
      <c r="AM57" s="16" t="str">
        <f t="array" ref="AM57">SUM(SUMIFS(INDIRECT($A$5),OtrosR!$C$3:$C65,$A57,OtrosR!$B$3:$B65,AM$1))</f>
        <v>#N/A</v>
      </c>
      <c r="AN57" s="17" t="str">
        <f t="array" ref="AN57">SUM(SUMIFS(INDIRECT($A$5),OtrosR!$C$3:$C65,$A57,OtrosR!$B$3:$B65,AN$1))</f>
        <v>#N/A</v>
      </c>
      <c r="AO57" s="16" t="str">
        <f t="array" ref="AO57">SUM(SUMIFS(INDIRECT($A$5),OtrosR!$C$3:$C65,$A57,OtrosR!$B$3:$B65,AO$1))</f>
        <v>#N/A</v>
      </c>
      <c r="AP57" s="17" t="str">
        <f t="array" ref="AP57">SUM(SUMIFS(INDIRECT($A$5),OtrosR!$C$3:$C65,$A57,OtrosR!$B$3:$B65,AP$1))</f>
        <v>#N/A</v>
      </c>
      <c r="AQ57" s="16" t="str">
        <f t="array" ref="AQ57">SUM(SUMIFS(INDIRECT($A$5),OtrosR!$C$3:$C65,$A57,OtrosR!$B$3:$B65,AQ$1))</f>
        <v>#N/A</v>
      </c>
      <c r="AR57" s="17" t="str">
        <f t="array" ref="AR57">SUM(SUMIFS(INDIRECT($A$5),OtrosR!$C$3:$C65,$A57,OtrosR!$B$3:$B65,AR$1))</f>
        <v>#N/A</v>
      </c>
      <c r="AS57" s="16" t="str">
        <f t="array" ref="AS57">SUM(SUMIFS(INDIRECT($A$5),OtrosR!$C$3:$C65,$A57,OtrosR!$B$3:$B65,AS$1))</f>
        <v>#N/A</v>
      </c>
      <c r="AT57" s="17" t="str">
        <f t="array" ref="AT57">SUM(SUMIFS(INDIRECT($A$5),OtrosR!$C$3:$C65,$A57,OtrosR!$B$3:$B65,AT$1))</f>
        <v>#N/A</v>
      </c>
      <c r="AU57" s="16" t="str">
        <f t="array" ref="AU57">SUM(SUMIFS(INDIRECT($A$5),OtrosR!$C$3:$C65,$A57,OtrosR!$B$3:$B65,AU$1))</f>
        <v>#N/A</v>
      </c>
      <c r="AV57" s="17" t="str">
        <f t="array" ref="AV57">SUM(SUMIFS(INDIRECT($A$5),OtrosR!$C$3:$C65,$A57,OtrosR!$B$3:$B65,AV$1))</f>
        <v>#N/A</v>
      </c>
      <c r="AW57" s="16" t="str">
        <f t="array" ref="AW57">SUM(SUMIFS(INDIRECT($A$5),OtrosR!$C$3:$C65,$A57,OtrosR!$B$3:$B65,AW$1))</f>
        <v>#N/A</v>
      </c>
      <c r="AX57" s="17" t="str">
        <f t="array" ref="AX57">SUM(SUMIFS(INDIRECT($A$5),OtrosR!$C$3:$C65,$A57,OtrosR!$B$3:$B65,AX$1))</f>
        <v>#N/A</v>
      </c>
      <c r="AY57" s="16" t="str">
        <f t="array" ref="AY57">SUM(SUMIFS(INDIRECT($A$5),OtrosR!$C$3:$C65,$A57,OtrosR!$B$3:$B65,AY$1))</f>
        <v>#N/A</v>
      </c>
      <c r="AZ57" s="17" t="str">
        <f t="array" ref="AZ57">SUM(SUMIFS(INDIRECT($A$5),OtrosR!$C$3:$C65,$A57,OtrosR!$B$3:$B65,AZ$1))</f>
        <v>#N/A</v>
      </c>
      <c r="BA57" s="16" t="str">
        <f t="array" ref="BA57">SUM(SUMIFS(INDIRECT($A$5),OtrosR!$C$3:$C65,$A57,OtrosR!$B$3:$B65,BA$1))</f>
        <v>#N/A</v>
      </c>
      <c r="BB57" s="17" t="str">
        <f t="array" ref="BB57">SUM(SUMIFS(INDIRECT($A$5),OtrosR!$C$3:$C65,$A57,OtrosR!$B$3:$B65,BB$1))</f>
        <v>#N/A</v>
      </c>
      <c r="BC57" s="16" t="str">
        <f t="array" ref="BC57">SUM(SUMIFS(INDIRECT($A$5),OtrosR!$C$3:$C65,$A57,OtrosR!$B$3:$B65,BC$1))</f>
        <v>#N/A</v>
      </c>
      <c r="BD57" s="17" t="str">
        <f t="array" ref="BD57">SUM(SUMIFS(INDIRECT($A$5),OtrosR!$C$3:$C65,$A57,OtrosR!$B$3:$B65,BD$1))</f>
        <v>#N/A</v>
      </c>
      <c r="BE57" s="16" t="str">
        <f t="array" ref="BE57">SUM(SUMIFS(INDIRECT($A$5),OtrosR!$C$3:$C65,$A57,OtrosR!$B$3:$B65,BE$1))</f>
        <v>#N/A</v>
      </c>
      <c r="BF57" s="17" t="str">
        <f t="array" ref="BF57">SUM(SUMIFS(INDIRECT($A$5),OtrosR!$C$3:$C65,$A57,OtrosR!$B$3:$B65,BF$1))</f>
        <v>#N/A</v>
      </c>
      <c r="BG57" s="16" t="str">
        <f t="array" ref="BG57">SUM(SUMIFS(INDIRECT($A$5),OtrosR!$C$3:$C65,$A57,OtrosR!$B$3:$B65,BG$1))</f>
        <v>#N/A</v>
      </c>
      <c r="BH57" s="17" t="str">
        <f t="array" ref="BH57">SUM(SUMIFS(INDIRECT($A$5),OtrosR!$C$3:$C65,$A57,OtrosR!$B$3:$B65,BH$1))</f>
        <v>#N/A</v>
      </c>
      <c r="BI57" s="16" t="str">
        <f t="array" ref="BI57">SUM(SUMIFS(INDIRECT($A$5),OtrosR!$C$3:$C65,$A57,OtrosR!$B$3:$B65,BI$1))</f>
        <v>#N/A</v>
      </c>
      <c r="BJ57" s="17" t="str">
        <f t="array" ref="BJ57">SUM(SUMIFS(INDIRECT($A$5),OtrosR!$C$3:$C65,$A57,OtrosR!$B$3:$B65,BJ$1))</f>
        <v>#N/A</v>
      </c>
      <c r="BK57" s="16" t="str">
        <f t="array" ref="BK57">SUM(SUMIFS(INDIRECT($A$5),OtrosR!$C$3:$C65,$A57,OtrosR!$B$3:$B65,BK$1))</f>
        <v>#N/A</v>
      </c>
      <c r="BL57" s="17" t="str">
        <f t="array" ref="BL57">SUM(SUMIFS(INDIRECT($A$5),OtrosR!$C$3:$C65,$A57,OtrosR!$B$3:$B65,BL$1))</f>
        <v>#N/A</v>
      </c>
      <c r="BM57" s="16" t="str">
        <f t="array" ref="BM57">SUM(SUMIFS(INDIRECT($A$5),OtrosR!$C$3:$C65,$A57,OtrosR!$B$3:$B65,BM$1))</f>
        <v>#N/A</v>
      </c>
      <c r="BN57" s="17" t="str">
        <f t="array" ref="BN57">SUM(SUMIFS(INDIRECT($A$5),OtrosR!$C$3:$C65,$A57,OtrosR!$B$3:$B65,BN$1))</f>
        <v>#N/A</v>
      </c>
      <c r="BO57" s="16" t="str">
        <f t="array" ref="BO57">SUM(SUMIFS(INDIRECT($A$5),OtrosR!$C$3:$C65,$A57,OtrosR!$B$3:$B65,BO$1))</f>
        <v>#N/A</v>
      </c>
      <c r="BP57" s="17" t="str">
        <f t="array" ref="BP57">SUM(SUMIFS(INDIRECT($A$5),OtrosR!$C$3:$C65,$A57,OtrosR!$B$3:$B65,BP$1))</f>
        <v>#N/A</v>
      </c>
      <c r="BQ57" s="16" t="str">
        <f t="array" ref="BQ57">SUM(SUMIFS(INDIRECT($A$5),OtrosR!$C$3:$C65,$A57,OtrosR!$B$3:$B65,BQ$1))</f>
        <v>#N/A</v>
      </c>
      <c r="BR57" s="17" t="str">
        <f t="array" ref="BR57">SUM(SUMIFS(INDIRECT($A$5),OtrosR!$C$3:$C65,$A57,OtrosR!$B$3:$B65,BR$1))</f>
        <v>#N/A</v>
      </c>
      <c r="BS57" s="16" t="str">
        <f t="array" ref="BS57">SUM(SUMIFS(INDIRECT($A$5),OtrosR!$C$3:$C65,$A57,OtrosR!$B$3:$B65,BS$1))</f>
        <v>#N/A</v>
      </c>
      <c r="BT57" s="17" t="str">
        <f t="array" ref="BT57">SUM(SUMIFS(INDIRECT($A$5),OtrosR!$C$3:$C65,$A57,OtrosR!$B$3:$B65,BT$1))</f>
        <v>#N/A</v>
      </c>
      <c r="BU57" s="16" t="str">
        <f t="array" ref="BU57">SUM(SUMIFS(INDIRECT($A$5),OtrosR!$C$3:$C65,$A57,OtrosR!$B$3:$B65,BU$1))</f>
        <v>#N/A</v>
      </c>
      <c r="BV57" s="17" t="str">
        <f t="array" ref="BV57">SUM(SUMIFS(INDIRECT($A$5),OtrosR!$C$3:$C65,$A57,OtrosR!$B$3:$B65,BV$1))</f>
        <v>#N/A</v>
      </c>
      <c r="BW57" s="16" t="str">
        <f t="array" ref="BW57">SUM(SUMIFS(INDIRECT($A$5),OtrosR!$C$3:$C65,$A57,OtrosR!$B$3:$B65,BW$1))</f>
        <v>#N/A</v>
      </c>
      <c r="BX57" s="17" t="str">
        <f t="array" ref="BX57">SUM(SUMIFS(INDIRECT($A$5),OtrosR!$C$3:$C65,$A57,OtrosR!$B$3:$B65,BX$1))</f>
        <v>#N/A</v>
      </c>
      <c r="BY57" s="16" t="str">
        <f t="array" ref="BY57">SUM(SUMIFS(INDIRECT($A$5),OtrosR!$C$3:$C65,$A57,OtrosR!$B$3:$B65,BY$1))</f>
        <v>#N/A</v>
      </c>
      <c r="BZ57" s="17" t="str">
        <f t="array" ref="BZ57">SUM(SUMIFS(INDIRECT($A$5),OtrosR!$C$3:$C65,$A57,OtrosR!$B$3:$B65,BZ$1))</f>
        <v>#N/A</v>
      </c>
      <c r="CA57" s="16" t="str">
        <f t="array" ref="CA57">SUM(SUMIFS(INDIRECT($A$5),OtrosR!$C$3:$C65,$A57,OtrosR!$B$3:$B65,CA$1))</f>
        <v>#N/A</v>
      </c>
      <c r="CB57" s="17" t="str">
        <f t="array" ref="CB57">SUM(SUMIFS(INDIRECT($A$5),OtrosR!$C$3:$C65,$A57,OtrosR!$B$3:$B65,CB$1))</f>
        <v>#N/A</v>
      </c>
      <c r="CC57" s="16" t="str">
        <f t="array" ref="CC57">SUM(SUMIFS(INDIRECT($A$5),OtrosR!$C$3:$C65,$A57,OtrosR!$B$3:$B65,CC$1))</f>
        <v>#N/A</v>
      </c>
      <c r="CD57" s="17" t="str">
        <f t="array" ref="CD57">SUM(SUMIFS(INDIRECT($A$5),OtrosR!$C$3:$C65,$A57,OtrosR!$B$3:$B65,CD$1))</f>
        <v>#N/A</v>
      </c>
      <c r="CE57" s="16" t="str">
        <f t="array" ref="CE57">SUM(SUMIFS(INDIRECT($A$5),OtrosR!$C$3:$C65,$A57,OtrosR!$B$3:$B65,CE$1))</f>
        <v>#N/A</v>
      </c>
      <c r="CF57" s="17" t="str">
        <f t="array" ref="CF57">SUM(SUMIFS(INDIRECT($A$5),OtrosR!$C$3:$C65,$A57,OtrosR!$B$3:$B65,CF$1))</f>
        <v>#N/A</v>
      </c>
      <c r="CG57" s="16" t="str">
        <f t="array" ref="CG57">SUM(SUMIFS(INDIRECT($A$5),OtrosR!$C$3:$C65,$A57,OtrosR!$B$3:$B65,CG$1))</f>
        <v>#N/A</v>
      </c>
      <c r="CH57" s="17" t="str">
        <f t="array" ref="CH57">SUM(SUMIFS(INDIRECT($A$5),OtrosR!$C$3:$C65,$A57,OtrosR!$B$3:$B65,CH$1))</f>
        <v>#N/A</v>
      </c>
      <c r="CI57" s="16" t="str">
        <f t="array" ref="CI57">SUM(SUMIFS(INDIRECT($A$5),OtrosR!$C$3:$C65,$A57,OtrosR!$B$3:$B65,CI$1))</f>
        <v>#N/A</v>
      </c>
      <c r="CJ57" s="17" t="str">
        <f t="array" ref="CJ57">SUM(SUMIFS(INDIRECT($A$5),OtrosR!$C$3:$C65,$A57,OtrosR!$B$3:$B65,CJ$1))</f>
        <v>#N/A</v>
      </c>
      <c r="CK57" s="16" t="str">
        <f t="array" ref="CK57">SUM(SUMIFS(INDIRECT($A$5),OtrosR!$C$3:$C65,$A57,OtrosR!$B$3:$B65,CK$1))</f>
        <v>#N/A</v>
      </c>
      <c r="CL57" s="17" t="str">
        <f t="array" ref="CL57">SUM(SUMIFS(INDIRECT($A$5),OtrosR!$C$3:$C65,$A57,OtrosR!$B$3:$B65,CL$1))</f>
        <v>#N/A</v>
      </c>
      <c r="CM57" s="16" t="str">
        <f t="array" ref="CM57">SUM(SUMIFS(INDIRECT($A$5),OtrosR!$C$3:$C65,$A57,OtrosR!$B$3:$B65,CM$1))</f>
        <v>#N/A</v>
      </c>
      <c r="CN57" s="17" t="str">
        <f t="array" ref="CN57">SUM(SUMIFS(INDIRECT($A$5),OtrosR!$C$3:$C65,$A57,OtrosR!$B$3:$B65,CN$1))</f>
        <v>#N/A</v>
      </c>
      <c r="CO57" s="16" t="str">
        <f t="array" ref="CO57">SUM(SUMIFS(INDIRECT($A$5),OtrosR!$C$3:$C65,$A57,OtrosR!$B$3:$B65,CO$1))</f>
        <v>#N/A</v>
      </c>
      <c r="CP57" s="17" t="str">
        <f t="array" ref="CP57">SUM(SUMIFS(INDIRECT($A$5),OtrosR!$C$3:$C65,$A57,OtrosR!$B$3:$B65,CP$1))</f>
        <v>#N/A</v>
      </c>
      <c r="CQ57" s="16" t="str">
        <f t="array" ref="CQ57">SUM(SUMIFS(INDIRECT($A$5),OtrosR!$C$3:$C65,$A57,OtrosR!$B$3:$B65,CQ$1))</f>
        <v>#N/A</v>
      </c>
      <c r="CR57" s="17" t="str">
        <f t="array" ref="CR57">SUM(SUMIFS(INDIRECT($A$5),OtrosR!$C$3:$C65,$A57,OtrosR!$B$3:$B65,CR$1))</f>
        <v>#N/A</v>
      </c>
      <c r="CS57" s="16" t="str">
        <f t="array" ref="CS57">SUM(SUMIFS(INDIRECT($A$5),OtrosR!$C$3:$C65,$A57,OtrosR!$B$3:$B65,CS$1))</f>
        <v>#N/A</v>
      </c>
      <c r="CT57" s="17" t="str">
        <f t="array" ref="CT57">SUM(SUMIFS(INDIRECT($A$5),OtrosR!$C$3:$C65,$A57,OtrosR!$B$3:$B65,CT$1))</f>
        <v>#N/A</v>
      </c>
      <c r="CU57" s="16" t="str">
        <f t="array" ref="CU57">SUM(SUMIFS(INDIRECT($A$5),OtrosR!$C$3:$C65,$A57,OtrosR!$B$3:$B65,CU$1))</f>
        <v>#N/A</v>
      </c>
      <c r="CV57" s="17" t="str">
        <f t="array" ref="CV57">SUM(SUMIFS(INDIRECT($A$5),OtrosR!$C$3:$C65,$A57,OtrosR!$B$3:$B65,CV$1))</f>
        <v>#N/A</v>
      </c>
      <c r="CW57" s="16" t="str">
        <f t="array" ref="CW57">SUM(SUMIFS(INDIRECT($A$5),OtrosR!$C$3:$C65,$A57,OtrosR!$B$3:$B65,CW$1))</f>
        <v>#N/A</v>
      </c>
      <c r="CX57" s="17" t="str">
        <f t="array" ref="CX57">SUM(SUMIFS(INDIRECT($A$5),OtrosR!$C$3:$C65,$A57,OtrosR!$B$3:$B65,CX$1))</f>
        <v>#N/A</v>
      </c>
      <c r="CY57" s="16" t="str">
        <f t="array" ref="CY57">SUM(SUMIFS(INDIRECT($A$5),OtrosR!$C$3:$C65,$A57,OtrosR!$B$3:$B65,CY$1))</f>
        <v>#N/A</v>
      </c>
      <c r="CZ57" s="17" t="str">
        <f t="array" ref="CZ57">SUM(SUMIFS(INDIRECT($A$5),OtrosR!$C$3:$C65,$A57,OtrosR!$B$3:$B65,CZ$1))</f>
        <v>#N/A</v>
      </c>
      <c r="DA57" s="16" t="str">
        <f t="array" ref="DA57">SUM(SUMIFS(INDIRECT($A$5),OtrosR!$C$3:$C65,$A57,OtrosR!$B$3:$B65,DA$1))</f>
        <v>#N/A</v>
      </c>
      <c r="DB57" s="17" t="str">
        <f t="array" ref="DB57">SUM(SUMIFS(INDIRECT($A$5),OtrosR!$C$3:$C65,$A57,OtrosR!$B$3:$B65,DB$1))</f>
        <v>#N/A</v>
      </c>
      <c r="DC57" s="16" t="str">
        <f t="array" ref="DC57">SUM(SUMIFS(INDIRECT($A$5),OtrosR!$C$3:$C65,$A57,OtrosR!$B$3:$B65,DC$1))</f>
        <v>#N/A</v>
      </c>
      <c r="DD57" s="17" t="str">
        <f t="array" ref="DD57">SUM(SUMIFS(INDIRECT($A$5),OtrosR!$C$3:$C65,$A57,OtrosR!$B$3:$B65,DD$1))</f>
        <v>#N/A</v>
      </c>
      <c r="DE57" s="16" t="str">
        <f t="array" ref="DE57">SUM(SUMIFS(INDIRECT($A$5),OtrosR!$C$3:$C65,$A57,OtrosR!$B$3:$B65,DE$1))</f>
        <v>#N/A</v>
      </c>
      <c r="DF57" s="17" t="str">
        <f t="array" ref="DF57">SUM(SUMIFS(INDIRECT($A$5),OtrosR!$C$3:$C65,$A57,OtrosR!$B$3:$B65,DF$1))</f>
        <v>#N/A</v>
      </c>
      <c r="DG57" s="16" t="str">
        <f t="array" ref="DG57">SUM(SUMIFS(INDIRECT($A$5),OtrosR!$C$3:$C65,$A57,OtrosR!$B$3:$B65,DG$1))</f>
        <v>#N/A</v>
      </c>
      <c r="DH57" s="17" t="str">
        <f t="array" ref="DH57">SUM(SUMIFS(INDIRECT($A$5),OtrosR!$C$3:$C65,$A57,OtrosR!$B$3:$B65,DH$1))</f>
        <v>#N/A</v>
      </c>
      <c r="DI57" s="16" t="str">
        <f t="array" ref="DI57">SUM(SUMIFS(INDIRECT($A$5),OtrosR!$C$3:$C65,$A57,OtrosR!$B$3:$B65,DI$1))</f>
        <v>#N/A</v>
      </c>
      <c r="DJ57" s="17" t="str">
        <f t="array" ref="DJ57">SUM(SUMIFS(INDIRECT($A$5),OtrosR!$C$3:$C65,$A57,OtrosR!$B$3:$B65,DJ$1))</f>
        <v>#N/A</v>
      </c>
      <c r="DK57" s="16" t="str">
        <f t="array" ref="DK57">SUM(SUMIFS(INDIRECT($A$5),OtrosR!$C$3:$C65,$A57,OtrosR!$B$3:$B65,DK$1))</f>
        <v>#N/A</v>
      </c>
      <c r="DL57" s="17" t="str">
        <f t="array" ref="DL57">SUM(SUMIFS(INDIRECT($A$5),OtrosR!$C$3:$C65,$A57,OtrosR!$B$3:$B65,DL$1))</f>
        <v>#N/A</v>
      </c>
      <c r="DM57" s="16" t="str">
        <f t="array" ref="DM57">SUM(SUMIFS(INDIRECT($A$5),OtrosR!$C$3:$C65,$A57,OtrosR!$B$3:$B65,DM$1))</f>
        <v>#N/A</v>
      </c>
      <c r="DN57" s="17" t="str">
        <f t="array" ref="DN57">SUM(SUMIFS(INDIRECT($A$5),OtrosR!$C$3:$C65,$A57,OtrosR!$B$3:$B65,DN$1))</f>
        <v>#N/A</v>
      </c>
      <c r="DO57" s="16" t="str">
        <f t="array" ref="DO57">SUM(SUMIFS(INDIRECT($A$5),OtrosR!$C$3:$C65,$A57,OtrosR!$B$3:$B65,DO$1))</f>
        <v>#N/A</v>
      </c>
      <c r="DP57" s="17" t="str">
        <f t="array" ref="DP57">SUM(SUMIFS(INDIRECT($A$5),OtrosR!$C$3:$C65,$A57,OtrosR!$B$3:$B65,DP$1))</f>
        <v>#N/A</v>
      </c>
      <c r="DQ57" s="16" t="str">
        <f t="array" ref="DQ57">SUM(SUMIFS(INDIRECT($A$5),OtrosR!$C$3:$C65,$A57,OtrosR!$B$3:$B65,DQ$1))</f>
        <v>#N/A</v>
      </c>
      <c r="DR57" s="17" t="str">
        <f t="array" ref="DR57">SUM(SUMIFS(INDIRECT($A$5),OtrosR!$C$3:$C65,$A57,OtrosR!$B$3:$B65,DR$1))</f>
        <v>#N/A</v>
      </c>
      <c r="DS57" s="16" t="str">
        <f t="array" ref="DS57">SUM(SUMIFS(INDIRECT($A$5),OtrosR!$C$3:$C65,$A57,OtrosR!$B$3:$B65,DS$1))</f>
        <v>#N/A</v>
      </c>
      <c r="DT57" s="17" t="str">
        <f t="array" ref="DT57">SUM(SUMIFS(INDIRECT($A$5),OtrosR!$C$3:$C65,$A57,OtrosR!$B$3:$B65,DT$1))</f>
        <v>#N/A</v>
      </c>
      <c r="DU57" s="16" t="str">
        <f t="array" ref="DU57">SUM(SUMIFS(INDIRECT($A$5),OtrosR!$C$3:$C65,$A57,OtrosR!$B$3:$B65,DU$1))</f>
        <v>#N/A</v>
      </c>
      <c r="DV57" s="17" t="str">
        <f t="array" ref="DV57">SUM(SUMIFS(INDIRECT($A$5),OtrosR!$C$3:$C65,$A57,OtrosR!$B$3:$B65,DV$1))</f>
        <v>#N/A</v>
      </c>
      <c r="DW57" s="16" t="str">
        <f t="array" ref="DW57">SUM(SUMIFS(INDIRECT($A$5),OtrosR!$C$3:$C65,$A57,OtrosR!$B$3:$B65,DW$1))</f>
        <v>#N/A</v>
      </c>
      <c r="DX57" s="17" t="str">
        <f t="array" ref="DX57">SUM(SUMIFS(INDIRECT($A$5),OtrosR!$C$3:$C65,$A57,OtrosR!$B$3:$B65,DX$1))</f>
        <v>#N/A</v>
      </c>
      <c r="DY57" s="16" t="str">
        <f t="array" ref="DY57">SUM(SUMIFS(INDIRECT($A$5),OtrosR!$C$3:$C65,$A57,OtrosR!$B$3:$B65,DY$1))</f>
        <v>#N/A</v>
      </c>
      <c r="DZ57" s="17" t="str">
        <f t="array" ref="DZ57">SUM(SUMIFS(INDIRECT($A$5),OtrosR!$C$3:$C65,$A57,OtrosR!$B$3:$B65,DZ$1))</f>
        <v>#N/A</v>
      </c>
      <c r="EA57" s="16" t="str">
        <f t="array" ref="EA57">SUM(SUMIFS(INDIRECT($A$5),OtrosR!$C$3:$C65,$A57,OtrosR!$B$3:$B65,EA$1))</f>
        <v>#N/A</v>
      </c>
      <c r="EB57" s="17" t="str">
        <f t="array" ref="EB57">SUM(SUMIFS(INDIRECT($A$5),OtrosR!$C$3:$C65,$A57,OtrosR!$B$3:$B65,EB$1))</f>
        <v>#N/A</v>
      </c>
      <c r="EC57" s="16" t="str">
        <f t="array" ref="EC57">SUM(SUMIFS(INDIRECT($A$5),OtrosR!$C$3:$C65,$A57,OtrosR!$B$3:$B65,EC$1))</f>
        <v>#N/A</v>
      </c>
      <c r="ED57" s="17" t="str">
        <f t="array" ref="ED57">SUM(SUMIFS(INDIRECT($A$5),OtrosR!$C$3:$C65,$A57,OtrosR!$B$3:$B65,ED$1))</f>
        <v>#N/A</v>
      </c>
      <c r="EE57" s="16" t="str">
        <f t="array" ref="EE57">SUM(SUMIFS(INDIRECT($A$5),OtrosR!$C$3:$C65,$A57,OtrosR!$B$3:$B65,EE$1))</f>
        <v>#N/A</v>
      </c>
      <c r="EF57" s="17" t="str">
        <f t="array" ref="EF57">SUM(SUMIFS(INDIRECT($A$5),OtrosR!$C$3:$C65,$A57,OtrosR!$B$3:$B65,EF$1))</f>
        <v>#N/A</v>
      </c>
      <c r="EG57" s="16" t="str">
        <f t="array" ref="EG57">SUM(SUMIFS(INDIRECT($A$5),OtrosR!$C$3:$C65,$A57,OtrosR!$B$3:$B65,EG$1))</f>
        <v>#N/A</v>
      </c>
      <c r="EH57" s="17" t="str">
        <f t="array" ref="EH57">SUM(SUMIFS(INDIRECT($A$5),OtrosR!$C$3:$C65,$A57,OtrosR!$B$3:$B65,EH$1))</f>
        <v>#N/A</v>
      </c>
      <c r="EI57" s="16" t="str">
        <f t="array" ref="EI57">SUM(SUMIFS(INDIRECT($A$5),OtrosR!$C$3:$C65,$A57,OtrosR!$B$3:$B65,EI$1))</f>
        <v>#N/A</v>
      </c>
      <c r="EJ57" s="17" t="str">
        <f t="array" ref="EJ57">SUM(SUMIFS(INDIRECT($A$5),OtrosR!$C$3:$C65,$A57,OtrosR!$B$3:$B65,EJ$1))</f>
        <v>#N/A</v>
      </c>
      <c r="EK57" s="16" t="str">
        <f t="array" ref="EK57">SUM(SUMIFS(INDIRECT($A$5),OtrosR!$C$3:$C65,$A57,OtrosR!$B$3:$B65,EK$1))</f>
        <v>#N/A</v>
      </c>
      <c r="EL57" s="17" t="str">
        <f t="array" ref="EL57">SUM(SUMIFS(INDIRECT($A$5),OtrosR!$C$3:$C65,$A57,OtrosR!$B$3:$B65,EL$1))</f>
        <v>#N/A</v>
      </c>
      <c r="EM57" s="16" t="str">
        <f t="array" ref="EM57">SUM(SUMIFS(INDIRECT($A$5),OtrosR!$C$3:$C65,$A57,OtrosR!$B$3:$B65,EM$1))</f>
        <v>#N/A</v>
      </c>
      <c r="EN57" s="17" t="str">
        <f t="array" ref="EN57">SUM(SUMIFS(INDIRECT($A$5),OtrosR!$C$3:$C65,$A57,OtrosR!$B$3:$B65,EN$1))</f>
        <v>#N/A</v>
      </c>
      <c r="EO57" s="16" t="str">
        <f t="array" ref="EO57">SUM(SUMIFS(INDIRECT($A$5),OtrosR!$C$3:$C65,$A57,OtrosR!$B$3:$B65,EO$1))</f>
        <v>#N/A</v>
      </c>
      <c r="EP57" s="17" t="str">
        <f t="array" ref="EP57">SUM(SUMIFS(INDIRECT($A$5),OtrosR!$C$3:$C65,$A57,OtrosR!$B$3:$B65,EP$1))</f>
        <v>#N/A</v>
      </c>
    </row>
    <row r="58" ht="15.75" customHeight="1">
      <c r="A58" s="6" t="str">
        <f>Menus!Q4</f>
        <v/>
      </c>
      <c r="B58" s="43" t="str">
        <f t="shared" si="53"/>
        <v>#N/A</v>
      </c>
      <c r="C58" s="54" t="str">
        <f t="array" ref="C58">SUM(SUMIFS(INDIRECT($A$5),OtrosR!$C$3:$C65,$A58,OtrosR!$B$3:$B65,C$1))</f>
        <v>#N/A</v>
      </c>
      <c r="D58" s="55" t="str">
        <f t="array" ref="D58">SUM(SUMIFS(INDIRECT($A$5),OtrosR!$C$3:$C65,$A58,OtrosR!$B$3:$B65,D$1))</f>
        <v>#N/A</v>
      </c>
      <c r="E58" s="16" t="str">
        <f t="array" ref="E58">SUM(SUMIFS(INDIRECT($A$5),OtrosR!$C$3:$C65,$A58,OtrosR!$B$3:$B65,E$1))</f>
        <v>#N/A</v>
      </c>
      <c r="F58" s="17" t="str">
        <f t="array" ref="F58">SUM(SUMIFS(INDIRECT($A$5),OtrosR!$C$3:$C65,$A58,OtrosR!$B$3:$B65,F$1))</f>
        <v>#N/A</v>
      </c>
      <c r="G58" s="16" t="str">
        <f t="array" ref="G58">SUM(SUMIFS(INDIRECT($A$5),OtrosR!$C$3:$C65,$A58,OtrosR!$B$3:$B65,G$1))</f>
        <v>#N/A</v>
      </c>
      <c r="H58" s="17" t="str">
        <f t="array" ref="H58">SUM(SUMIFS(INDIRECT($A$5),OtrosR!$C$3:$C65,$A58,OtrosR!$B$3:$B65,H$1))</f>
        <v>#N/A</v>
      </c>
      <c r="I58" s="16" t="str">
        <f t="array" ref="I58">SUM(SUMIFS(INDIRECT($A$5),OtrosR!$C$3:$C65,$A58,OtrosR!$B$3:$B65,I$1))</f>
        <v>#N/A</v>
      </c>
      <c r="J58" s="17" t="str">
        <f t="array" ref="J58">SUM(SUMIFS(INDIRECT($A$5),OtrosR!$C$3:$C65,$A58,OtrosR!$B$3:$B65,J$1))</f>
        <v>#N/A</v>
      </c>
      <c r="K58" s="16" t="str">
        <f t="array" ref="K58">SUM(SUMIFS(INDIRECT($A$5),OtrosR!$C$3:$C65,$A58,OtrosR!$B$3:$B65,K$1))</f>
        <v>#N/A</v>
      </c>
      <c r="L58" s="17" t="str">
        <f t="array" ref="L58">SUM(SUMIFS(INDIRECT($A$5),OtrosR!$C$3:$C65,$A58,OtrosR!$B$3:$B65,L$1))</f>
        <v>#N/A</v>
      </c>
      <c r="M58" s="16" t="str">
        <f t="array" ref="M58">SUM(SUMIFS(INDIRECT($A$5),OtrosR!$C$3:$C65,$A58,OtrosR!$B$3:$B65,M$1))</f>
        <v>#N/A</v>
      </c>
      <c r="N58" s="17" t="str">
        <f t="array" ref="N58">SUM(SUMIFS(INDIRECT($A$5),OtrosR!$C$3:$C65,$A58,OtrosR!$B$3:$B65,N$1))</f>
        <v>#N/A</v>
      </c>
      <c r="O58" s="16" t="str">
        <f t="array" ref="O58">SUM(SUMIFS(INDIRECT($A$5),OtrosR!$C$3:$C65,$A58,OtrosR!$B$3:$B65,O$1))</f>
        <v>#N/A</v>
      </c>
      <c r="P58" s="17" t="str">
        <f t="array" ref="P58">SUM(SUMIFS(INDIRECT($A$5),OtrosR!$C$3:$C65,$A58,OtrosR!$B$3:$B65,P$1))</f>
        <v>#N/A</v>
      </c>
      <c r="Q58" s="16" t="str">
        <f t="array" ref="Q58">SUM(SUMIFS(INDIRECT($A$5),OtrosR!$C$3:$C65,$A58,OtrosR!$B$3:$B65,Q$1))</f>
        <v>#N/A</v>
      </c>
      <c r="R58" s="17" t="str">
        <f t="array" ref="R58">SUM(SUMIFS(INDIRECT($A$5),OtrosR!$C$3:$C65,$A58,OtrosR!$B$3:$B65,R$1))</f>
        <v>#N/A</v>
      </c>
      <c r="S58" s="16" t="str">
        <f t="array" ref="S58">SUM(SUMIFS(INDIRECT($A$5),OtrosR!$C$3:$C65,$A58,OtrosR!$B$3:$B65,S$1))</f>
        <v>#N/A</v>
      </c>
      <c r="T58" s="17" t="str">
        <f t="array" ref="T58">SUM(SUMIFS(INDIRECT($A$5),OtrosR!$C$3:$C65,$A58,OtrosR!$B$3:$B65,T$1))</f>
        <v>#N/A</v>
      </c>
      <c r="U58" s="16" t="str">
        <f t="array" ref="U58">SUM(SUMIFS(INDIRECT($A$5),OtrosR!$C$3:$C65,$A58,OtrosR!$B$3:$B65,U$1))</f>
        <v>#N/A</v>
      </c>
      <c r="V58" s="17" t="str">
        <f t="array" ref="V58">SUM(SUMIFS(INDIRECT($A$5),OtrosR!$C$3:$C65,$A58,OtrosR!$B$3:$B65,V$1))</f>
        <v>#N/A</v>
      </c>
      <c r="W58" s="16" t="str">
        <f t="array" ref="W58">SUM(SUMIFS(INDIRECT($A$5),OtrosR!$C$3:$C65,$A58,OtrosR!$B$3:$B65,W$1))</f>
        <v>#N/A</v>
      </c>
      <c r="X58" s="17" t="str">
        <f t="array" ref="X58">SUM(SUMIFS(INDIRECT($A$5),OtrosR!$C$3:$C65,$A58,OtrosR!$B$3:$B65,X$1))</f>
        <v>#N/A</v>
      </c>
      <c r="Y58" s="16" t="str">
        <f t="array" ref="Y58">SUM(SUMIFS(INDIRECT($A$5),OtrosR!$C$3:$C65,$A58,OtrosR!$B$3:$B65,Y$1))</f>
        <v>#N/A</v>
      </c>
      <c r="Z58" s="17" t="str">
        <f t="array" ref="Z58">SUM(SUMIFS(INDIRECT($A$5),OtrosR!$C$3:$C65,$A58,OtrosR!$B$3:$B65,Z$1))</f>
        <v>#N/A</v>
      </c>
      <c r="AA58" s="16" t="str">
        <f t="array" ref="AA58">SUM(SUMIFS(INDIRECT($A$5),OtrosR!$C$3:$C65,$A58,OtrosR!$B$3:$B65,AA$1))</f>
        <v>#N/A</v>
      </c>
      <c r="AB58" s="17" t="str">
        <f t="array" ref="AB58">SUM(SUMIFS(INDIRECT($A$5),OtrosR!$C$3:$C65,$A58,OtrosR!$B$3:$B65,AB$1))</f>
        <v>#N/A</v>
      </c>
      <c r="AC58" s="16" t="str">
        <f t="array" ref="AC58">SUM(SUMIFS(INDIRECT($A$5),OtrosR!$C$3:$C65,$A58,OtrosR!$B$3:$B65,AC$1))</f>
        <v>#N/A</v>
      </c>
      <c r="AD58" s="17" t="str">
        <f t="array" ref="AD58">SUM(SUMIFS(INDIRECT($A$5),OtrosR!$C$3:$C65,$A58,OtrosR!$B$3:$B65,AD$1))</f>
        <v>#N/A</v>
      </c>
      <c r="AE58" s="16" t="str">
        <f t="array" ref="AE58">SUM(SUMIFS(INDIRECT($A$5),OtrosR!$C$3:$C65,$A58,OtrosR!$B$3:$B65,AE$1))</f>
        <v>#N/A</v>
      </c>
      <c r="AF58" s="17" t="str">
        <f t="array" ref="AF58">SUM(SUMIFS(INDIRECT($A$5),OtrosR!$C$3:$C65,$A58,OtrosR!$B$3:$B65,AF$1))</f>
        <v>#N/A</v>
      </c>
      <c r="AG58" s="16" t="str">
        <f t="array" ref="AG58">SUM(SUMIFS(INDIRECT($A$5),OtrosR!$C$3:$C65,$A58,OtrosR!$B$3:$B65,AG$1))</f>
        <v>#N/A</v>
      </c>
      <c r="AH58" s="17" t="str">
        <f t="array" ref="AH58">SUM(SUMIFS(INDIRECT($A$5),OtrosR!$C$3:$C65,$A58,OtrosR!$B$3:$B65,AH$1))</f>
        <v>#N/A</v>
      </c>
      <c r="AI58" s="16" t="str">
        <f t="array" ref="AI58">SUM(SUMIFS(INDIRECT($A$5),OtrosR!$C$3:$C65,$A58,OtrosR!$B$3:$B65,AI$1))</f>
        <v>#N/A</v>
      </c>
      <c r="AJ58" s="17" t="str">
        <f t="array" ref="AJ58">SUM(SUMIFS(INDIRECT($A$5),OtrosR!$C$3:$C65,$A58,OtrosR!$B$3:$B65,AJ$1))</f>
        <v>#N/A</v>
      </c>
      <c r="AK58" s="16" t="str">
        <f t="array" ref="AK58">SUM(SUMIFS(INDIRECT($A$5),OtrosR!$C$3:$C65,$A58,OtrosR!$B$3:$B65,AK$1))</f>
        <v>#N/A</v>
      </c>
      <c r="AL58" s="17" t="str">
        <f t="array" ref="AL58">SUM(SUMIFS(INDIRECT($A$5),OtrosR!$C$3:$C65,$A58,OtrosR!$B$3:$B65,AL$1))</f>
        <v>#N/A</v>
      </c>
      <c r="AM58" s="16" t="str">
        <f t="array" ref="AM58">SUM(SUMIFS(INDIRECT($A$5),OtrosR!$C$3:$C65,$A58,OtrosR!$B$3:$B65,AM$1))</f>
        <v>#N/A</v>
      </c>
      <c r="AN58" s="17" t="str">
        <f t="array" ref="AN58">SUM(SUMIFS(INDIRECT($A$5),OtrosR!$C$3:$C65,$A58,OtrosR!$B$3:$B65,AN$1))</f>
        <v>#N/A</v>
      </c>
      <c r="AO58" s="16" t="str">
        <f t="array" ref="AO58">SUM(SUMIFS(INDIRECT($A$5),OtrosR!$C$3:$C65,$A58,OtrosR!$B$3:$B65,AO$1))</f>
        <v>#N/A</v>
      </c>
      <c r="AP58" s="17" t="str">
        <f t="array" ref="AP58">SUM(SUMIFS(INDIRECT($A$5),OtrosR!$C$3:$C65,$A58,OtrosR!$B$3:$B65,AP$1))</f>
        <v>#N/A</v>
      </c>
      <c r="AQ58" s="16" t="str">
        <f t="array" ref="AQ58">SUM(SUMIFS(INDIRECT($A$5),OtrosR!$C$3:$C65,$A58,OtrosR!$B$3:$B65,AQ$1))</f>
        <v>#N/A</v>
      </c>
      <c r="AR58" s="17" t="str">
        <f t="array" ref="AR58">SUM(SUMIFS(INDIRECT($A$5),OtrosR!$C$3:$C65,$A58,OtrosR!$B$3:$B65,AR$1))</f>
        <v>#N/A</v>
      </c>
      <c r="AS58" s="16" t="str">
        <f t="array" ref="AS58">SUM(SUMIFS(INDIRECT($A$5),OtrosR!$C$3:$C65,$A58,OtrosR!$B$3:$B65,AS$1))</f>
        <v>#N/A</v>
      </c>
      <c r="AT58" s="17" t="str">
        <f t="array" ref="AT58">SUM(SUMIFS(INDIRECT($A$5),OtrosR!$C$3:$C65,$A58,OtrosR!$B$3:$B65,AT$1))</f>
        <v>#N/A</v>
      </c>
      <c r="AU58" s="16" t="str">
        <f t="array" ref="AU58">SUM(SUMIFS(INDIRECT($A$5),OtrosR!$C$3:$C65,$A58,OtrosR!$B$3:$B65,AU$1))</f>
        <v>#N/A</v>
      </c>
      <c r="AV58" s="17" t="str">
        <f t="array" ref="AV58">SUM(SUMIFS(INDIRECT($A$5),OtrosR!$C$3:$C65,$A58,OtrosR!$B$3:$B65,AV$1))</f>
        <v>#N/A</v>
      </c>
      <c r="AW58" s="16" t="str">
        <f t="array" ref="AW58">SUM(SUMIFS(INDIRECT($A$5),OtrosR!$C$3:$C65,$A58,OtrosR!$B$3:$B65,AW$1))</f>
        <v>#N/A</v>
      </c>
      <c r="AX58" s="17" t="str">
        <f t="array" ref="AX58">SUM(SUMIFS(INDIRECT($A$5),OtrosR!$C$3:$C65,$A58,OtrosR!$B$3:$B65,AX$1))</f>
        <v>#N/A</v>
      </c>
      <c r="AY58" s="16" t="str">
        <f t="array" ref="AY58">SUM(SUMIFS(INDIRECT($A$5),OtrosR!$C$3:$C65,$A58,OtrosR!$B$3:$B65,AY$1))</f>
        <v>#N/A</v>
      </c>
      <c r="AZ58" s="17" t="str">
        <f t="array" ref="AZ58">SUM(SUMIFS(INDIRECT($A$5),OtrosR!$C$3:$C65,$A58,OtrosR!$B$3:$B65,AZ$1))</f>
        <v>#N/A</v>
      </c>
      <c r="BA58" s="16" t="str">
        <f t="array" ref="BA58">SUM(SUMIFS(INDIRECT($A$5),OtrosR!$C$3:$C65,$A58,OtrosR!$B$3:$B65,BA$1))</f>
        <v>#N/A</v>
      </c>
      <c r="BB58" s="17" t="str">
        <f t="array" ref="BB58">SUM(SUMIFS(INDIRECT($A$5),OtrosR!$C$3:$C65,$A58,OtrosR!$B$3:$B65,BB$1))</f>
        <v>#N/A</v>
      </c>
      <c r="BC58" s="16" t="str">
        <f t="array" ref="BC58">SUM(SUMIFS(INDIRECT($A$5),OtrosR!$C$3:$C65,$A58,OtrosR!$B$3:$B65,BC$1))</f>
        <v>#N/A</v>
      </c>
      <c r="BD58" s="17" t="str">
        <f t="array" ref="BD58">SUM(SUMIFS(INDIRECT($A$5),OtrosR!$C$3:$C65,$A58,OtrosR!$B$3:$B65,BD$1))</f>
        <v>#N/A</v>
      </c>
      <c r="BE58" s="16" t="str">
        <f t="array" ref="BE58">SUM(SUMIFS(INDIRECT($A$5),OtrosR!$C$3:$C65,$A58,OtrosR!$B$3:$B65,BE$1))</f>
        <v>#N/A</v>
      </c>
      <c r="BF58" s="17" t="str">
        <f t="array" ref="BF58">SUM(SUMIFS(INDIRECT($A$5),OtrosR!$C$3:$C65,$A58,OtrosR!$B$3:$B65,BF$1))</f>
        <v>#N/A</v>
      </c>
      <c r="BG58" s="16" t="str">
        <f t="array" ref="BG58">SUM(SUMIFS(INDIRECT($A$5),OtrosR!$C$3:$C65,$A58,OtrosR!$B$3:$B65,BG$1))</f>
        <v>#N/A</v>
      </c>
      <c r="BH58" s="17" t="str">
        <f t="array" ref="BH58">SUM(SUMIFS(INDIRECT($A$5),OtrosR!$C$3:$C65,$A58,OtrosR!$B$3:$B65,BH$1))</f>
        <v>#N/A</v>
      </c>
      <c r="BI58" s="16" t="str">
        <f t="array" ref="BI58">SUM(SUMIFS(INDIRECT($A$5),OtrosR!$C$3:$C65,$A58,OtrosR!$B$3:$B65,BI$1))</f>
        <v>#N/A</v>
      </c>
      <c r="BJ58" s="17" t="str">
        <f t="array" ref="BJ58">SUM(SUMIFS(INDIRECT($A$5),OtrosR!$C$3:$C65,$A58,OtrosR!$B$3:$B65,BJ$1))</f>
        <v>#N/A</v>
      </c>
      <c r="BK58" s="16" t="str">
        <f t="array" ref="BK58">SUM(SUMIFS(INDIRECT($A$5),OtrosR!$C$3:$C65,$A58,OtrosR!$B$3:$B65,BK$1))</f>
        <v>#N/A</v>
      </c>
      <c r="BL58" s="17" t="str">
        <f t="array" ref="BL58">SUM(SUMIFS(INDIRECT($A$5),OtrosR!$C$3:$C65,$A58,OtrosR!$B$3:$B65,BL$1))</f>
        <v>#N/A</v>
      </c>
      <c r="BM58" s="16" t="str">
        <f t="array" ref="BM58">SUM(SUMIFS(INDIRECT($A$5),OtrosR!$C$3:$C65,$A58,OtrosR!$B$3:$B65,BM$1))</f>
        <v>#N/A</v>
      </c>
      <c r="BN58" s="17" t="str">
        <f t="array" ref="BN58">SUM(SUMIFS(INDIRECT($A$5),OtrosR!$C$3:$C65,$A58,OtrosR!$B$3:$B65,BN$1))</f>
        <v>#N/A</v>
      </c>
      <c r="BO58" s="16" t="str">
        <f t="array" ref="BO58">SUM(SUMIFS(INDIRECT($A$5),OtrosR!$C$3:$C65,$A58,OtrosR!$B$3:$B65,BO$1))</f>
        <v>#N/A</v>
      </c>
      <c r="BP58" s="17" t="str">
        <f t="array" ref="BP58">SUM(SUMIFS(INDIRECT($A$5),OtrosR!$C$3:$C65,$A58,OtrosR!$B$3:$B65,BP$1))</f>
        <v>#N/A</v>
      </c>
      <c r="BQ58" s="16" t="str">
        <f t="array" ref="BQ58">SUM(SUMIFS(INDIRECT($A$5),OtrosR!$C$3:$C65,$A58,OtrosR!$B$3:$B65,BQ$1))</f>
        <v>#N/A</v>
      </c>
      <c r="BR58" s="17" t="str">
        <f t="array" ref="BR58">SUM(SUMIFS(INDIRECT($A$5),OtrosR!$C$3:$C65,$A58,OtrosR!$B$3:$B65,BR$1))</f>
        <v>#N/A</v>
      </c>
      <c r="BS58" s="16" t="str">
        <f t="array" ref="BS58">SUM(SUMIFS(INDIRECT($A$5),OtrosR!$C$3:$C65,$A58,OtrosR!$B$3:$B65,BS$1))</f>
        <v>#N/A</v>
      </c>
      <c r="BT58" s="17" t="str">
        <f t="array" ref="BT58">SUM(SUMIFS(INDIRECT($A$5),OtrosR!$C$3:$C65,$A58,OtrosR!$B$3:$B65,BT$1))</f>
        <v>#N/A</v>
      </c>
      <c r="BU58" s="16" t="str">
        <f t="array" ref="BU58">SUM(SUMIFS(INDIRECT($A$5),OtrosR!$C$3:$C65,$A58,OtrosR!$B$3:$B65,BU$1))</f>
        <v>#N/A</v>
      </c>
      <c r="BV58" s="17" t="str">
        <f t="array" ref="BV58">SUM(SUMIFS(INDIRECT($A$5),OtrosR!$C$3:$C65,$A58,OtrosR!$B$3:$B65,BV$1))</f>
        <v>#N/A</v>
      </c>
      <c r="BW58" s="16" t="str">
        <f t="array" ref="BW58">SUM(SUMIFS(INDIRECT($A$5),OtrosR!$C$3:$C65,$A58,OtrosR!$B$3:$B65,BW$1))</f>
        <v>#N/A</v>
      </c>
      <c r="BX58" s="17" t="str">
        <f t="array" ref="BX58">SUM(SUMIFS(INDIRECT($A$5),OtrosR!$C$3:$C65,$A58,OtrosR!$B$3:$B65,BX$1))</f>
        <v>#N/A</v>
      </c>
      <c r="BY58" s="16" t="str">
        <f t="array" ref="BY58">SUM(SUMIFS(INDIRECT($A$5),OtrosR!$C$3:$C65,$A58,OtrosR!$B$3:$B65,BY$1))</f>
        <v>#N/A</v>
      </c>
      <c r="BZ58" s="17" t="str">
        <f t="array" ref="BZ58">SUM(SUMIFS(INDIRECT($A$5),OtrosR!$C$3:$C65,$A58,OtrosR!$B$3:$B65,BZ$1))</f>
        <v>#N/A</v>
      </c>
      <c r="CA58" s="16" t="str">
        <f t="array" ref="CA58">SUM(SUMIFS(INDIRECT($A$5),OtrosR!$C$3:$C65,$A58,OtrosR!$B$3:$B65,CA$1))</f>
        <v>#N/A</v>
      </c>
      <c r="CB58" s="17" t="str">
        <f t="array" ref="CB58">SUM(SUMIFS(INDIRECT($A$5),OtrosR!$C$3:$C65,$A58,OtrosR!$B$3:$B65,CB$1))</f>
        <v>#N/A</v>
      </c>
      <c r="CC58" s="16" t="str">
        <f t="array" ref="CC58">SUM(SUMIFS(INDIRECT($A$5),OtrosR!$C$3:$C65,$A58,OtrosR!$B$3:$B65,CC$1))</f>
        <v>#N/A</v>
      </c>
      <c r="CD58" s="17" t="str">
        <f t="array" ref="CD58">SUM(SUMIFS(INDIRECT($A$5),OtrosR!$C$3:$C65,$A58,OtrosR!$B$3:$B65,CD$1))</f>
        <v>#N/A</v>
      </c>
      <c r="CE58" s="16" t="str">
        <f t="array" ref="CE58">SUM(SUMIFS(INDIRECT($A$5),OtrosR!$C$3:$C65,$A58,OtrosR!$B$3:$B65,CE$1))</f>
        <v>#N/A</v>
      </c>
      <c r="CF58" s="17" t="str">
        <f t="array" ref="CF58">SUM(SUMIFS(INDIRECT($A$5),OtrosR!$C$3:$C65,$A58,OtrosR!$B$3:$B65,CF$1))</f>
        <v>#N/A</v>
      </c>
      <c r="CG58" s="16" t="str">
        <f t="array" ref="CG58">SUM(SUMIFS(INDIRECT($A$5),OtrosR!$C$3:$C65,$A58,OtrosR!$B$3:$B65,CG$1))</f>
        <v>#N/A</v>
      </c>
      <c r="CH58" s="17" t="str">
        <f t="array" ref="CH58">SUM(SUMIFS(INDIRECT($A$5),OtrosR!$C$3:$C65,$A58,OtrosR!$B$3:$B65,CH$1))</f>
        <v>#N/A</v>
      </c>
      <c r="CI58" s="16" t="str">
        <f t="array" ref="CI58">SUM(SUMIFS(INDIRECT($A$5),OtrosR!$C$3:$C65,$A58,OtrosR!$B$3:$B65,CI$1))</f>
        <v>#N/A</v>
      </c>
      <c r="CJ58" s="17" t="str">
        <f t="array" ref="CJ58">SUM(SUMIFS(INDIRECT($A$5),OtrosR!$C$3:$C65,$A58,OtrosR!$B$3:$B65,CJ$1))</f>
        <v>#N/A</v>
      </c>
      <c r="CK58" s="16" t="str">
        <f t="array" ref="CK58">SUM(SUMIFS(INDIRECT($A$5),OtrosR!$C$3:$C65,$A58,OtrosR!$B$3:$B65,CK$1))</f>
        <v>#N/A</v>
      </c>
      <c r="CL58" s="17" t="str">
        <f t="array" ref="CL58">SUM(SUMIFS(INDIRECT($A$5),OtrosR!$C$3:$C65,$A58,OtrosR!$B$3:$B65,CL$1))</f>
        <v>#N/A</v>
      </c>
      <c r="CM58" s="16" t="str">
        <f t="array" ref="CM58">SUM(SUMIFS(INDIRECT($A$5),OtrosR!$C$3:$C65,$A58,OtrosR!$B$3:$B65,CM$1))</f>
        <v>#N/A</v>
      </c>
      <c r="CN58" s="17" t="str">
        <f t="array" ref="CN58">SUM(SUMIFS(INDIRECT($A$5),OtrosR!$C$3:$C65,$A58,OtrosR!$B$3:$B65,CN$1))</f>
        <v>#N/A</v>
      </c>
      <c r="CO58" s="16" t="str">
        <f t="array" ref="CO58">SUM(SUMIFS(INDIRECT($A$5),OtrosR!$C$3:$C65,$A58,OtrosR!$B$3:$B65,CO$1))</f>
        <v>#N/A</v>
      </c>
      <c r="CP58" s="17" t="str">
        <f t="array" ref="CP58">SUM(SUMIFS(INDIRECT($A$5),OtrosR!$C$3:$C65,$A58,OtrosR!$B$3:$B65,CP$1))</f>
        <v>#N/A</v>
      </c>
      <c r="CQ58" s="16" t="str">
        <f t="array" ref="CQ58">SUM(SUMIFS(INDIRECT($A$5),OtrosR!$C$3:$C65,$A58,OtrosR!$B$3:$B65,CQ$1))</f>
        <v>#N/A</v>
      </c>
      <c r="CR58" s="17" t="str">
        <f t="array" ref="CR58">SUM(SUMIFS(INDIRECT($A$5),OtrosR!$C$3:$C65,$A58,OtrosR!$B$3:$B65,CR$1))</f>
        <v>#N/A</v>
      </c>
      <c r="CS58" s="16" t="str">
        <f t="array" ref="CS58">SUM(SUMIFS(INDIRECT($A$5),OtrosR!$C$3:$C65,$A58,OtrosR!$B$3:$B65,CS$1))</f>
        <v>#N/A</v>
      </c>
      <c r="CT58" s="17" t="str">
        <f t="array" ref="CT58">SUM(SUMIFS(INDIRECT($A$5),OtrosR!$C$3:$C65,$A58,OtrosR!$B$3:$B65,CT$1))</f>
        <v>#N/A</v>
      </c>
      <c r="CU58" s="16" t="str">
        <f t="array" ref="CU58">SUM(SUMIFS(INDIRECT($A$5),OtrosR!$C$3:$C65,$A58,OtrosR!$B$3:$B65,CU$1))</f>
        <v>#N/A</v>
      </c>
      <c r="CV58" s="17" t="str">
        <f t="array" ref="CV58">SUM(SUMIFS(INDIRECT($A$5),OtrosR!$C$3:$C65,$A58,OtrosR!$B$3:$B65,CV$1))</f>
        <v>#N/A</v>
      </c>
      <c r="CW58" s="16" t="str">
        <f t="array" ref="CW58">SUM(SUMIFS(INDIRECT($A$5),OtrosR!$C$3:$C65,$A58,OtrosR!$B$3:$B65,CW$1))</f>
        <v>#N/A</v>
      </c>
      <c r="CX58" s="17" t="str">
        <f t="array" ref="CX58">SUM(SUMIFS(INDIRECT($A$5),OtrosR!$C$3:$C65,$A58,OtrosR!$B$3:$B65,CX$1))</f>
        <v>#N/A</v>
      </c>
      <c r="CY58" s="16" t="str">
        <f t="array" ref="CY58">SUM(SUMIFS(INDIRECT($A$5),OtrosR!$C$3:$C65,$A58,OtrosR!$B$3:$B65,CY$1))</f>
        <v>#N/A</v>
      </c>
      <c r="CZ58" s="17" t="str">
        <f t="array" ref="CZ58">SUM(SUMIFS(INDIRECT($A$5),OtrosR!$C$3:$C65,$A58,OtrosR!$B$3:$B65,CZ$1))</f>
        <v>#N/A</v>
      </c>
      <c r="DA58" s="16" t="str">
        <f t="array" ref="DA58">SUM(SUMIFS(INDIRECT($A$5),OtrosR!$C$3:$C65,$A58,OtrosR!$B$3:$B65,DA$1))</f>
        <v>#N/A</v>
      </c>
      <c r="DB58" s="17" t="str">
        <f t="array" ref="DB58">SUM(SUMIFS(INDIRECT($A$5),OtrosR!$C$3:$C65,$A58,OtrosR!$B$3:$B65,DB$1))</f>
        <v>#N/A</v>
      </c>
      <c r="DC58" s="16" t="str">
        <f t="array" ref="DC58">SUM(SUMIFS(INDIRECT($A$5),OtrosR!$C$3:$C65,$A58,OtrosR!$B$3:$B65,DC$1))</f>
        <v>#N/A</v>
      </c>
      <c r="DD58" s="17" t="str">
        <f t="array" ref="DD58">SUM(SUMIFS(INDIRECT($A$5),OtrosR!$C$3:$C65,$A58,OtrosR!$B$3:$B65,DD$1))</f>
        <v>#N/A</v>
      </c>
      <c r="DE58" s="16" t="str">
        <f t="array" ref="DE58">SUM(SUMIFS(INDIRECT($A$5),OtrosR!$C$3:$C65,$A58,OtrosR!$B$3:$B65,DE$1))</f>
        <v>#N/A</v>
      </c>
      <c r="DF58" s="17" t="str">
        <f t="array" ref="DF58">SUM(SUMIFS(INDIRECT($A$5),OtrosR!$C$3:$C65,$A58,OtrosR!$B$3:$B65,DF$1))</f>
        <v>#N/A</v>
      </c>
      <c r="DG58" s="16" t="str">
        <f t="array" ref="DG58">SUM(SUMIFS(INDIRECT($A$5),OtrosR!$C$3:$C65,$A58,OtrosR!$B$3:$B65,DG$1))</f>
        <v>#N/A</v>
      </c>
      <c r="DH58" s="17" t="str">
        <f t="array" ref="DH58">SUM(SUMIFS(INDIRECT($A$5),OtrosR!$C$3:$C65,$A58,OtrosR!$B$3:$B65,DH$1))</f>
        <v>#N/A</v>
      </c>
      <c r="DI58" s="16" t="str">
        <f t="array" ref="DI58">SUM(SUMIFS(INDIRECT($A$5),OtrosR!$C$3:$C65,$A58,OtrosR!$B$3:$B65,DI$1))</f>
        <v>#N/A</v>
      </c>
      <c r="DJ58" s="17" t="str">
        <f t="array" ref="DJ58">SUM(SUMIFS(INDIRECT($A$5),OtrosR!$C$3:$C65,$A58,OtrosR!$B$3:$B65,DJ$1))</f>
        <v>#N/A</v>
      </c>
      <c r="DK58" s="16" t="str">
        <f t="array" ref="DK58">SUM(SUMIFS(INDIRECT($A$5),OtrosR!$C$3:$C65,$A58,OtrosR!$B$3:$B65,DK$1))</f>
        <v>#N/A</v>
      </c>
      <c r="DL58" s="17" t="str">
        <f t="array" ref="DL58">SUM(SUMIFS(INDIRECT($A$5),OtrosR!$C$3:$C65,$A58,OtrosR!$B$3:$B65,DL$1))</f>
        <v>#N/A</v>
      </c>
      <c r="DM58" s="16" t="str">
        <f t="array" ref="DM58">SUM(SUMIFS(INDIRECT($A$5),OtrosR!$C$3:$C65,$A58,OtrosR!$B$3:$B65,DM$1))</f>
        <v>#N/A</v>
      </c>
      <c r="DN58" s="17" t="str">
        <f t="array" ref="DN58">SUM(SUMIFS(INDIRECT($A$5),OtrosR!$C$3:$C65,$A58,OtrosR!$B$3:$B65,DN$1))</f>
        <v>#N/A</v>
      </c>
      <c r="DO58" s="16" t="str">
        <f t="array" ref="DO58">SUM(SUMIFS(INDIRECT($A$5),OtrosR!$C$3:$C65,$A58,OtrosR!$B$3:$B65,DO$1))</f>
        <v>#N/A</v>
      </c>
      <c r="DP58" s="17" t="str">
        <f t="array" ref="DP58">SUM(SUMIFS(INDIRECT($A$5),OtrosR!$C$3:$C65,$A58,OtrosR!$B$3:$B65,DP$1))</f>
        <v>#N/A</v>
      </c>
      <c r="DQ58" s="16" t="str">
        <f t="array" ref="DQ58">SUM(SUMIFS(INDIRECT($A$5),OtrosR!$C$3:$C65,$A58,OtrosR!$B$3:$B65,DQ$1))</f>
        <v>#N/A</v>
      </c>
      <c r="DR58" s="17" t="str">
        <f t="array" ref="DR58">SUM(SUMIFS(INDIRECT($A$5),OtrosR!$C$3:$C65,$A58,OtrosR!$B$3:$B65,DR$1))</f>
        <v>#N/A</v>
      </c>
      <c r="DS58" s="16" t="str">
        <f t="array" ref="DS58">SUM(SUMIFS(INDIRECT($A$5),OtrosR!$C$3:$C65,$A58,OtrosR!$B$3:$B65,DS$1))</f>
        <v>#N/A</v>
      </c>
      <c r="DT58" s="17" t="str">
        <f t="array" ref="DT58">SUM(SUMIFS(INDIRECT($A$5),OtrosR!$C$3:$C65,$A58,OtrosR!$B$3:$B65,DT$1))</f>
        <v>#N/A</v>
      </c>
      <c r="DU58" s="16" t="str">
        <f t="array" ref="DU58">SUM(SUMIFS(INDIRECT($A$5),OtrosR!$C$3:$C65,$A58,OtrosR!$B$3:$B65,DU$1))</f>
        <v>#N/A</v>
      </c>
      <c r="DV58" s="17" t="str">
        <f t="array" ref="DV58">SUM(SUMIFS(INDIRECT($A$5),OtrosR!$C$3:$C65,$A58,OtrosR!$B$3:$B65,DV$1))</f>
        <v>#N/A</v>
      </c>
      <c r="DW58" s="16" t="str">
        <f t="array" ref="DW58">SUM(SUMIFS(INDIRECT($A$5),OtrosR!$C$3:$C65,$A58,OtrosR!$B$3:$B65,DW$1))</f>
        <v>#N/A</v>
      </c>
      <c r="DX58" s="17" t="str">
        <f t="array" ref="DX58">SUM(SUMIFS(INDIRECT($A$5),OtrosR!$C$3:$C65,$A58,OtrosR!$B$3:$B65,DX$1))</f>
        <v>#N/A</v>
      </c>
      <c r="DY58" s="16" t="str">
        <f t="array" ref="DY58">SUM(SUMIFS(INDIRECT($A$5),OtrosR!$C$3:$C65,$A58,OtrosR!$B$3:$B65,DY$1))</f>
        <v>#N/A</v>
      </c>
      <c r="DZ58" s="17" t="str">
        <f t="array" ref="DZ58">SUM(SUMIFS(INDIRECT($A$5),OtrosR!$C$3:$C65,$A58,OtrosR!$B$3:$B65,DZ$1))</f>
        <v>#N/A</v>
      </c>
      <c r="EA58" s="16" t="str">
        <f t="array" ref="EA58">SUM(SUMIFS(INDIRECT($A$5),OtrosR!$C$3:$C65,$A58,OtrosR!$B$3:$B65,EA$1))</f>
        <v>#N/A</v>
      </c>
      <c r="EB58" s="17" t="str">
        <f t="array" ref="EB58">SUM(SUMIFS(INDIRECT($A$5),OtrosR!$C$3:$C65,$A58,OtrosR!$B$3:$B65,EB$1))</f>
        <v>#N/A</v>
      </c>
      <c r="EC58" s="16" t="str">
        <f t="array" ref="EC58">SUM(SUMIFS(INDIRECT($A$5),OtrosR!$C$3:$C65,$A58,OtrosR!$B$3:$B65,EC$1))</f>
        <v>#N/A</v>
      </c>
      <c r="ED58" s="17" t="str">
        <f t="array" ref="ED58">SUM(SUMIFS(INDIRECT($A$5),OtrosR!$C$3:$C65,$A58,OtrosR!$B$3:$B65,ED$1))</f>
        <v>#N/A</v>
      </c>
      <c r="EE58" s="16" t="str">
        <f t="array" ref="EE58">SUM(SUMIFS(INDIRECT($A$5),OtrosR!$C$3:$C65,$A58,OtrosR!$B$3:$B65,EE$1))</f>
        <v>#N/A</v>
      </c>
      <c r="EF58" s="17" t="str">
        <f t="array" ref="EF58">SUM(SUMIFS(INDIRECT($A$5),OtrosR!$C$3:$C65,$A58,OtrosR!$B$3:$B65,EF$1))</f>
        <v>#N/A</v>
      </c>
      <c r="EG58" s="16" t="str">
        <f t="array" ref="EG58">SUM(SUMIFS(INDIRECT($A$5),OtrosR!$C$3:$C65,$A58,OtrosR!$B$3:$B65,EG$1))</f>
        <v>#N/A</v>
      </c>
      <c r="EH58" s="17" t="str">
        <f t="array" ref="EH58">SUM(SUMIFS(INDIRECT($A$5),OtrosR!$C$3:$C65,$A58,OtrosR!$B$3:$B65,EH$1))</f>
        <v>#N/A</v>
      </c>
      <c r="EI58" s="16" t="str">
        <f t="array" ref="EI58">SUM(SUMIFS(INDIRECT($A$5),OtrosR!$C$3:$C65,$A58,OtrosR!$B$3:$B65,EI$1))</f>
        <v>#N/A</v>
      </c>
      <c r="EJ58" s="17" t="str">
        <f t="array" ref="EJ58">SUM(SUMIFS(INDIRECT($A$5),OtrosR!$C$3:$C65,$A58,OtrosR!$B$3:$B65,EJ$1))</f>
        <v>#N/A</v>
      </c>
      <c r="EK58" s="16" t="str">
        <f t="array" ref="EK58">SUM(SUMIFS(INDIRECT($A$5),OtrosR!$C$3:$C65,$A58,OtrosR!$B$3:$B65,EK$1))</f>
        <v>#N/A</v>
      </c>
      <c r="EL58" s="17" t="str">
        <f t="array" ref="EL58">SUM(SUMIFS(INDIRECT($A$5),OtrosR!$C$3:$C65,$A58,OtrosR!$B$3:$B65,EL$1))</f>
        <v>#N/A</v>
      </c>
      <c r="EM58" s="16" t="str">
        <f t="array" ref="EM58">SUM(SUMIFS(INDIRECT($A$5),OtrosR!$C$3:$C65,$A58,OtrosR!$B$3:$B65,EM$1))</f>
        <v>#N/A</v>
      </c>
      <c r="EN58" s="17" t="str">
        <f t="array" ref="EN58">SUM(SUMIFS(INDIRECT($A$5),OtrosR!$C$3:$C65,$A58,OtrosR!$B$3:$B65,EN$1))</f>
        <v>#N/A</v>
      </c>
      <c r="EO58" s="16" t="str">
        <f t="array" ref="EO58">SUM(SUMIFS(INDIRECT($A$5),OtrosR!$C$3:$C65,$A58,OtrosR!$B$3:$B65,EO$1))</f>
        <v>#N/A</v>
      </c>
      <c r="EP58" s="17" t="str">
        <f t="array" ref="EP58">SUM(SUMIFS(INDIRECT($A$5),OtrosR!$C$3:$C65,$A58,OtrosR!$B$3:$B65,EP$1))</f>
        <v>#N/A</v>
      </c>
    </row>
    <row r="59" ht="15.75" customHeight="1">
      <c r="A59" s="6" t="str">
        <f>Menus!Q5</f>
        <v/>
      </c>
      <c r="B59" s="43" t="str">
        <f t="shared" si="53"/>
        <v>#N/A</v>
      </c>
      <c r="C59" s="56" t="str">
        <f t="array" ref="C59">SUM(SUMIFS(INDIRECT($A$5),OtrosR!$C$3:$C65,$A59,OtrosR!$B$3:$B65,C$1))</f>
        <v>#N/A</v>
      </c>
      <c r="D59" s="55" t="str">
        <f t="array" ref="D59">SUM(SUMIFS(INDIRECT($A$5),OtrosR!$C$3:$C65,$A59,OtrosR!$B$3:$B65,D$1))</f>
        <v>#N/A</v>
      </c>
      <c r="E59" s="16" t="str">
        <f t="array" ref="E59">SUM(SUMIFS(INDIRECT($A$5),OtrosR!$C$3:$C65,$A59,OtrosR!$B$3:$B65,E$1))</f>
        <v>#N/A</v>
      </c>
      <c r="F59" s="17" t="str">
        <f t="array" ref="F59">SUM(SUMIFS(INDIRECT($A$5),OtrosR!$C$3:$C65,$A59,OtrosR!$B$3:$B65,F$1))</f>
        <v>#N/A</v>
      </c>
      <c r="G59" s="16" t="str">
        <f t="array" ref="G59">SUM(SUMIFS(INDIRECT($A$5),OtrosR!$C$3:$C65,$A59,OtrosR!$B$3:$B65,G$1))</f>
        <v>#N/A</v>
      </c>
      <c r="H59" s="17" t="str">
        <f t="array" ref="H59">SUM(SUMIFS(INDIRECT($A$5),OtrosR!$C$3:$C65,$A59,OtrosR!$B$3:$B65,H$1))</f>
        <v>#N/A</v>
      </c>
      <c r="I59" s="16" t="str">
        <f t="array" ref="I59">SUM(SUMIFS(INDIRECT($A$5),OtrosR!$C$3:$C65,$A59,OtrosR!$B$3:$B65,I$1))</f>
        <v>#N/A</v>
      </c>
      <c r="J59" s="17" t="str">
        <f t="array" ref="J59">SUM(SUMIFS(INDIRECT($A$5),OtrosR!$C$3:$C65,$A59,OtrosR!$B$3:$B65,J$1))</f>
        <v>#N/A</v>
      </c>
      <c r="K59" s="16" t="str">
        <f t="array" ref="K59">SUM(SUMIFS(INDIRECT($A$5),OtrosR!$C$3:$C65,$A59,OtrosR!$B$3:$B65,K$1))</f>
        <v>#N/A</v>
      </c>
      <c r="L59" s="17" t="str">
        <f t="array" ref="L59">SUM(SUMIFS(INDIRECT($A$5),OtrosR!$C$3:$C65,$A59,OtrosR!$B$3:$B65,L$1))</f>
        <v>#N/A</v>
      </c>
      <c r="M59" s="16" t="str">
        <f t="array" ref="M59">SUM(SUMIFS(INDIRECT($A$5),OtrosR!$C$3:$C65,$A59,OtrosR!$B$3:$B65,M$1))</f>
        <v>#N/A</v>
      </c>
      <c r="N59" s="17" t="str">
        <f t="array" ref="N59">SUM(SUMIFS(INDIRECT($A$5),OtrosR!$C$3:$C65,$A59,OtrosR!$B$3:$B65,N$1))</f>
        <v>#N/A</v>
      </c>
      <c r="O59" s="16" t="str">
        <f t="array" ref="O59">SUM(SUMIFS(INDIRECT($A$5),OtrosR!$C$3:$C65,$A59,OtrosR!$B$3:$B65,O$1))</f>
        <v>#N/A</v>
      </c>
      <c r="P59" s="17" t="str">
        <f t="array" ref="P59">SUM(SUMIFS(INDIRECT($A$5),OtrosR!$C$3:$C65,$A59,OtrosR!$B$3:$B65,P$1))</f>
        <v>#N/A</v>
      </c>
      <c r="Q59" s="16" t="str">
        <f t="array" ref="Q59">SUM(SUMIFS(INDIRECT($A$5),OtrosR!$C$3:$C65,$A59,OtrosR!$B$3:$B65,Q$1))</f>
        <v>#N/A</v>
      </c>
      <c r="R59" s="17" t="str">
        <f t="array" ref="R59">SUM(SUMIFS(INDIRECT($A$5),OtrosR!$C$3:$C65,$A59,OtrosR!$B$3:$B65,R$1))</f>
        <v>#N/A</v>
      </c>
      <c r="S59" s="16" t="str">
        <f t="array" ref="S59">SUM(SUMIFS(INDIRECT($A$5),OtrosR!$C$3:$C65,$A59,OtrosR!$B$3:$B65,S$1))</f>
        <v>#N/A</v>
      </c>
      <c r="T59" s="17" t="str">
        <f t="array" ref="T59">SUM(SUMIFS(INDIRECT($A$5),OtrosR!$C$3:$C65,$A59,OtrosR!$B$3:$B65,T$1))</f>
        <v>#N/A</v>
      </c>
      <c r="U59" s="16" t="str">
        <f t="array" ref="U59">SUM(SUMIFS(INDIRECT($A$5),OtrosR!$C$3:$C65,$A59,OtrosR!$B$3:$B65,U$1))</f>
        <v>#N/A</v>
      </c>
      <c r="V59" s="17" t="str">
        <f t="array" ref="V59">SUM(SUMIFS(INDIRECT($A$5),OtrosR!$C$3:$C65,$A59,OtrosR!$B$3:$B65,V$1))</f>
        <v>#N/A</v>
      </c>
      <c r="W59" s="16" t="str">
        <f t="array" ref="W59">SUM(SUMIFS(INDIRECT($A$5),OtrosR!$C$3:$C65,$A59,OtrosR!$B$3:$B65,W$1))</f>
        <v>#N/A</v>
      </c>
      <c r="X59" s="17" t="str">
        <f t="array" ref="X59">SUM(SUMIFS(INDIRECT($A$5),OtrosR!$C$3:$C65,$A59,OtrosR!$B$3:$B65,X$1))</f>
        <v>#N/A</v>
      </c>
      <c r="Y59" s="16" t="str">
        <f t="array" ref="Y59">SUM(SUMIFS(INDIRECT($A$5),OtrosR!$C$3:$C65,$A59,OtrosR!$B$3:$B65,Y$1))</f>
        <v>#N/A</v>
      </c>
      <c r="Z59" s="17" t="str">
        <f t="array" ref="Z59">SUM(SUMIFS(INDIRECT($A$5),OtrosR!$C$3:$C65,$A59,OtrosR!$B$3:$B65,Z$1))</f>
        <v>#N/A</v>
      </c>
      <c r="AA59" s="16" t="str">
        <f t="array" ref="AA59">SUM(SUMIFS(INDIRECT($A$5),OtrosR!$C$3:$C65,$A59,OtrosR!$B$3:$B65,AA$1))</f>
        <v>#N/A</v>
      </c>
      <c r="AB59" s="17" t="str">
        <f t="array" ref="AB59">SUM(SUMIFS(INDIRECT($A$5),OtrosR!$C$3:$C65,$A59,OtrosR!$B$3:$B65,AB$1))</f>
        <v>#N/A</v>
      </c>
      <c r="AC59" s="16" t="str">
        <f t="array" ref="AC59">SUM(SUMIFS(INDIRECT($A$5),OtrosR!$C$3:$C65,$A59,OtrosR!$B$3:$B65,AC$1))</f>
        <v>#N/A</v>
      </c>
      <c r="AD59" s="17" t="str">
        <f t="array" ref="AD59">SUM(SUMIFS(INDIRECT($A$5),OtrosR!$C$3:$C65,$A59,OtrosR!$B$3:$B65,AD$1))</f>
        <v>#N/A</v>
      </c>
      <c r="AE59" s="16" t="str">
        <f t="array" ref="AE59">SUM(SUMIFS(INDIRECT($A$5),OtrosR!$C$3:$C65,$A59,OtrosR!$B$3:$B65,AE$1))</f>
        <v>#N/A</v>
      </c>
      <c r="AF59" s="17" t="str">
        <f t="array" ref="AF59">SUM(SUMIFS(INDIRECT($A$5),OtrosR!$C$3:$C65,$A59,OtrosR!$B$3:$B65,AF$1))</f>
        <v>#N/A</v>
      </c>
      <c r="AG59" s="16" t="str">
        <f t="array" ref="AG59">SUM(SUMIFS(INDIRECT($A$5),OtrosR!$C$3:$C65,$A59,OtrosR!$B$3:$B65,AG$1))</f>
        <v>#N/A</v>
      </c>
      <c r="AH59" s="17" t="str">
        <f t="array" ref="AH59">SUM(SUMIFS(INDIRECT($A$5),OtrosR!$C$3:$C65,$A59,OtrosR!$B$3:$B65,AH$1))</f>
        <v>#N/A</v>
      </c>
      <c r="AI59" s="16" t="str">
        <f t="array" ref="AI59">SUM(SUMIFS(INDIRECT($A$5),OtrosR!$C$3:$C65,$A59,OtrosR!$B$3:$B65,AI$1))</f>
        <v>#N/A</v>
      </c>
      <c r="AJ59" s="17" t="str">
        <f t="array" ref="AJ59">SUM(SUMIFS(INDIRECT($A$5),OtrosR!$C$3:$C65,$A59,OtrosR!$B$3:$B65,AJ$1))</f>
        <v>#N/A</v>
      </c>
      <c r="AK59" s="16" t="str">
        <f t="array" ref="AK59">SUM(SUMIFS(INDIRECT($A$5),OtrosR!$C$3:$C65,$A59,OtrosR!$B$3:$B65,AK$1))</f>
        <v>#N/A</v>
      </c>
      <c r="AL59" s="17" t="str">
        <f t="array" ref="AL59">SUM(SUMIFS(INDIRECT($A$5),OtrosR!$C$3:$C65,$A59,OtrosR!$B$3:$B65,AL$1))</f>
        <v>#N/A</v>
      </c>
      <c r="AM59" s="16" t="str">
        <f t="array" ref="AM59">SUM(SUMIFS(INDIRECT($A$5),OtrosR!$C$3:$C65,$A59,OtrosR!$B$3:$B65,AM$1))</f>
        <v>#N/A</v>
      </c>
      <c r="AN59" s="17" t="str">
        <f t="array" ref="AN59">SUM(SUMIFS(INDIRECT($A$5),OtrosR!$C$3:$C65,$A59,OtrosR!$B$3:$B65,AN$1))</f>
        <v>#N/A</v>
      </c>
      <c r="AO59" s="16" t="str">
        <f t="array" ref="AO59">SUM(SUMIFS(INDIRECT($A$5),OtrosR!$C$3:$C65,$A59,OtrosR!$B$3:$B65,AO$1))</f>
        <v>#N/A</v>
      </c>
      <c r="AP59" s="17" t="str">
        <f t="array" ref="AP59">SUM(SUMIFS(INDIRECT($A$5),OtrosR!$C$3:$C65,$A59,OtrosR!$B$3:$B65,AP$1))</f>
        <v>#N/A</v>
      </c>
      <c r="AQ59" s="16" t="str">
        <f t="array" ref="AQ59">SUM(SUMIFS(INDIRECT($A$5),OtrosR!$C$3:$C65,$A59,OtrosR!$B$3:$B65,AQ$1))</f>
        <v>#N/A</v>
      </c>
      <c r="AR59" s="17" t="str">
        <f t="array" ref="AR59">SUM(SUMIFS(INDIRECT($A$5),OtrosR!$C$3:$C65,$A59,OtrosR!$B$3:$B65,AR$1))</f>
        <v>#N/A</v>
      </c>
      <c r="AS59" s="16" t="str">
        <f t="array" ref="AS59">SUM(SUMIFS(INDIRECT($A$5),OtrosR!$C$3:$C65,$A59,OtrosR!$B$3:$B65,AS$1))</f>
        <v>#N/A</v>
      </c>
      <c r="AT59" s="17" t="str">
        <f t="array" ref="AT59">SUM(SUMIFS(INDIRECT($A$5),OtrosR!$C$3:$C65,$A59,OtrosR!$B$3:$B65,AT$1))</f>
        <v>#N/A</v>
      </c>
      <c r="AU59" s="16" t="str">
        <f t="array" ref="AU59">SUM(SUMIFS(INDIRECT($A$5),OtrosR!$C$3:$C65,$A59,OtrosR!$B$3:$B65,AU$1))</f>
        <v>#N/A</v>
      </c>
      <c r="AV59" s="17" t="str">
        <f t="array" ref="AV59">SUM(SUMIFS(INDIRECT($A$5),OtrosR!$C$3:$C65,$A59,OtrosR!$B$3:$B65,AV$1))</f>
        <v>#N/A</v>
      </c>
      <c r="AW59" s="16" t="str">
        <f t="array" ref="AW59">SUM(SUMIFS(INDIRECT($A$5),OtrosR!$C$3:$C65,$A59,OtrosR!$B$3:$B65,AW$1))</f>
        <v>#N/A</v>
      </c>
      <c r="AX59" s="17" t="str">
        <f t="array" ref="AX59">SUM(SUMIFS(INDIRECT($A$5),OtrosR!$C$3:$C65,$A59,OtrosR!$B$3:$B65,AX$1))</f>
        <v>#N/A</v>
      </c>
      <c r="AY59" s="16" t="str">
        <f t="array" ref="AY59">SUM(SUMIFS(INDIRECT($A$5),OtrosR!$C$3:$C65,$A59,OtrosR!$B$3:$B65,AY$1))</f>
        <v>#N/A</v>
      </c>
      <c r="AZ59" s="17" t="str">
        <f t="array" ref="AZ59">SUM(SUMIFS(INDIRECT($A$5),OtrosR!$C$3:$C65,$A59,OtrosR!$B$3:$B65,AZ$1))</f>
        <v>#N/A</v>
      </c>
      <c r="BA59" s="16" t="str">
        <f t="array" ref="BA59">SUM(SUMIFS(INDIRECT($A$5),OtrosR!$C$3:$C65,$A59,OtrosR!$B$3:$B65,BA$1))</f>
        <v>#N/A</v>
      </c>
      <c r="BB59" s="17" t="str">
        <f t="array" ref="BB59">SUM(SUMIFS(INDIRECT($A$5),OtrosR!$C$3:$C65,$A59,OtrosR!$B$3:$B65,BB$1))</f>
        <v>#N/A</v>
      </c>
      <c r="BC59" s="16" t="str">
        <f t="array" ref="BC59">SUM(SUMIFS(INDIRECT($A$5),OtrosR!$C$3:$C65,$A59,OtrosR!$B$3:$B65,BC$1))</f>
        <v>#N/A</v>
      </c>
      <c r="BD59" s="17" t="str">
        <f t="array" ref="BD59">SUM(SUMIFS(INDIRECT($A$5),OtrosR!$C$3:$C65,$A59,OtrosR!$B$3:$B65,BD$1))</f>
        <v>#N/A</v>
      </c>
      <c r="BE59" s="16" t="str">
        <f t="array" ref="BE59">SUM(SUMIFS(INDIRECT($A$5),OtrosR!$C$3:$C65,$A59,OtrosR!$B$3:$B65,BE$1))</f>
        <v>#N/A</v>
      </c>
      <c r="BF59" s="17" t="str">
        <f t="array" ref="BF59">SUM(SUMIFS(INDIRECT($A$5),OtrosR!$C$3:$C65,$A59,OtrosR!$B$3:$B65,BF$1))</f>
        <v>#N/A</v>
      </c>
      <c r="BG59" s="16" t="str">
        <f t="array" ref="BG59">SUM(SUMIFS(INDIRECT($A$5),OtrosR!$C$3:$C65,$A59,OtrosR!$B$3:$B65,BG$1))</f>
        <v>#N/A</v>
      </c>
      <c r="BH59" s="17" t="str">
        <f t="array" ref="BH59">SUM(SUMIFS(INDIRECT($A$5),OtrosR!$C$3:$C65,$A59,OtrosR!$B$3:$B65,BH$1))</f>
        <v>#N/A</v>
      </c>
      <c r="BI59" s="16" t="str">
        <f t="array" ref="BI59">SUM(SUMIFS(INDIRECT($A$5),OtrosR!$C$3:$C65,$A59,OtrosR!$B$3:$B65,BI$1))</f>
        <v>#N/A</v>
      </c>
      <c r="BJ59" s="17" t="str">
        <f t="array" ref="BJ59">SUM(SUMIFS(INDIRECT($A$5),OtrosR!$C$3:$C65,$A59,OtrosR!$B$3:$B65,BJ$1))</f>
        <v>#N/A</v>
      </c>
      <c r="BK59" s="16" t="str">
        <f t="array" ref="BK59">SUM(SUMIFS(INDIRECT($A$5),OtrosR!$C$3:$C65,$A59,OtrosR!$B$3:$B65,BK$1))</f>
        <v>#N/A</v>
      </c>
      <c r="BL59" s="17" t="str">
        <f t="array" ref="BL59">SUM(SUMIFS(INDIRECT($A$5),OtrosR!$C$3:$C65,$A59,OtrosR!$B$3:$B65,BL$1))</f>
        <v>#N/A</v>
      </c>
      <c r="BM59" s="16" t="str">
        <f t="array" ref="BM59">SUM(SUMIFS(INDIRECT($A$5),OtrosR!$C$3:$C65,$A59,OtrosR!$B$3:$B65,BM$1))</f>
        <v>#N/A</v>
      </c>
      <c r="BN59" s="17" t="str">
        <f t="array" ref="BN59">SUM(SUMIFS(INDIRECT($A$5),OtrosR!$C$3:$C65,$A59,OtrosR!$B$3:$B65,BN$1))</f>
        <v>#N/A</v>
      </c>
      <c r="BO59" s="16" t="str">
        <f t="array" ref="BO59">SUM(SUMIFS(INDIRECT($A$5),OtrosR!$C$3:$C65,$A59,OtrosR!$B$3:$B65,BO$1))</f>
        <v>#N/A</v>
      </c>
      <c r="BP59" s="17" t="str">
        <f t="array" ref="BP59">SUM(SUMIFS(INDIRECT($A$5),OtrosR!$C$3:$C65,$A59,OtrosR!$B$3:$B65,BP$1))</f>
        <v>#N/A</v>
      </c>
      <c r="BQ59" s="16" t="str">
        <f t="array" ref="BQ59">SUM(SUMIFS(INDIRECT($A$5),OtrosR!$C$3:$C65,$A59,OtrosR!$B$3:$B65,BQ$1))</f>
        <v>#N/A</v>
      </c>
      <c r="BR59" s="17" t="str">
        <f t="array" ref="BR59">SUM(SUMIFS(INDIRECT($A$5),OtrosR!$C$3:$C65,$A59,OtrosR!$B$3:$B65,BR$1))</f>
        <v>#N/A</v>
      </c>
      <c r="BS59" s="16" t="str">
        <f t="array" ref="BS59">SUM(SUMIFS(INDIRECT($A$5),OtrosR!$C$3:$C65,$A59,OtrosR!$B$3:$B65,BS$1))</f>
        <v>#N/A</v>
      </c>
      <c r="BT59" s="17" t="str">
        <f t="array" ref="BT59">SUM(SUMIFS(INDIRECT($A$5),OtrosR!$C$3:$C65,$A59,OtrosR!$B$3:$B65,BT$1))</f>
        <v>#N/A</v>
      </c>
      <c r="BU59" s="16" t="str">
        <f t="array" ref="BU59">SUM(SUMIFS(INDIRECT($A$5),OtrosR!$C$3:$C65,$A59,OtrosR!$B$3:$B65,BU$1))</f>
        <v>#N/A</v>
      </c>
      <c r="BV59" s="17" t="str">
        <f t="array" ref="BV59">SUM(SUMIFS(INDIRECT($A$5),OtrosR!$C$3:$C65,$A59,OtrosR!$B$3:$B65,BV$1))</f>
        <v>#N/A</v>
      </c>
      <c r="BW59" s="16" t="str">
        <f t="array" ref="BW59">SUM(SUMIFS(INDIRECT($A$5),OtrosR!$C$3:$C65,$A59,OtrosR!$B$3:$B65,BW$1))</f>
        <v>#N/A</v>
      </c>
      <c r="BX59" s="17" t="str">
        <f t="array" ref="BX59">SUM(SUMIFS(INDIRECT($A$5),OtrosR!$C$3:$C65,$A59,OtrosR!$B$3:$B65,BX$1))</f>
        <v>#N/A</v>
      </c>
      <c r="BY59" s="16" t="str">
        <f t="array" ref="BY59">SUM(SUMIFS(INDIRECT($A$5),OtrosR!$C$3:$C65,$A59,OtrosR!$B$3:$B65,BY$1))</f>
        <v>#N/A</v>
      </c>
      <c r="BZ59" s="17" t="str">
        <f t="array" ref="BZ59">SUM(SUMIFS(INDIRECT($A$5),OtrosR!$C$3:$C65,$A59,OtrosR!$B$3:$B65,BZ$1))</f>
        <v>#N/A</v>
      </c>
      <c r="CA59" s="16" t="str">
        <f t="array" ref="CA59">SUM(SUMIFS(INDIRECT($A$5),OtrosR!$C$3:$C65,$A59,OtrosR!$B$3:$B65,CA$1))</f>
        <v>#N/A</v>
      </c>
      <c r="CB59" s="17" t="str">
        <f t="array" ref="CB59">SUM(SUMIFS(INDIRECT($A$5),OtrosR!$C$3:$C65,$A59,OtrosR!$B$3:$B65,CB$1))</f>
        <v>#N/A</v>
      </c>
      <c r="CC59" s="16" t="str">
        <f t="array" ref="CC59">SUM(SUMIFS(INDIRECT($A$5),OtrosR!$C$3:$C65,$A59,OtrosR!$B$3:$B65,CC$1))</f>
        <v>#N/A</v>
      </c>
      <c r="CD59" s="17" t="str">
        <f t="array" ref="CD59">SUM(SUMIFS(INDIRECT($A$5),OtrosR!$C$3:$C65,$A59,OtrosR!$B$3:$B65,CD$1))</f>
        <v>#N/A</v>
      </c>
      <c r="CE59" s="16" t="str">
        <f t="array" ref="CE59">SUM(SUMIFS(INDIRECT($A$5),OtrosR!$C$3:$C65,$A59,OtrosR!$B$3:$B65,CE$1))</f>
        <v>#N/A</v>
      </c>
      <c r="CF59" s="17" t="str">
        <f t="array" ref="CF59">SUM(SUMIFS(INDIRECT($A$5),OtrosR!$C$3:$C65,$A59,OtrosR!$B$3:$B65,CF$1))</f>
        <v>#N/A</v>
      </c>
      <c r="CG59" s="16" t="str">
        <f t="array" ref="CG59">SUM(SUMIFS(INDIRECT($A$5),OtrosR!$C$3:$C65,$A59,OtrosR!$B$3:$B65,CG$1))</f>
        <v>#N/A</v>
      </c>
      <c r="CH59" s="17" t="str">
        <f t="array" ref="CH59">SUM(SUMIFS(INDIRECT($A$5),OtrosR!$C$3:$C65,$A59,OtrosR!$B$3:$B65,CH$1))</f>
        <v>#N/A</v>
      </c>
      <c r="CI59" s="16" t="str">
        <f t="array" ref="CI59">SUM(SUMIFS(INDIRECT($A$5),OtrosR!$C$3:$C65,$A59,OtrosR!$B$3:$B65,CI$1))</f>
        <v>#N/A</v>
      </c>
      <c r="CJ59" s="17" t="str">
        <f t="array" ref="CJ59">SUM(SUMIFS(INDIRECT($A$5),OtrosR!$C$3:$C65,$A59,OtrosR!$B$3:$B65,CJ$1))</f>
        <v>#N/A</v>
      </c>
      <c r="CK59" s="16" t="str">
        <f t="array" ref="CK59">SUM(SUMIFS(INDIRECT($A$5),OtrosR!$C$3:$C65,$A59,OtrosR!$B$3:$B65,CK$1))</f>
        <v>#N/A</v>
      </c>
      <c r="CL59" s="17" t="str">
        <f t="array" ref="CL59">SUM(SUMIFS(INDIRECT($A$5),OtrosR!$C$3:$C65,$A59,OtrosR!$B$3:$B65,CL$1))</f>
        <v>#N/A</v>
      </c>
      <c r="CM59" s="16" t="str">
        <f t="array" ref="CM59">SUM(SUMIFS(INDIRECT($A$5),OtrosR!$C$3:$C65,$A59,OtrosR!$B$3:$B65,CM$1))</f>
        <v>#N/A</v>
      </c>
      <c r="CN59" s="17" t="str">
        <f t="array" ref="CN59">SUM(SUMIFS(INDIRECT($A$5),OtrosR!$C$3:$C65,$A59,OtrosR!$B$3:$B65,CN$1))</f>
        <v>#N/A</v>
      </c>
      <c r="CO59" s="16" t="str">
        <f t="array" ref="CO59">SUM(SUMIFS(INDIRECT($A$5),OtrosR!$C$3:$C65,$A59,OtrosR!$B$3:$B65,CO$1))</f>
        <v>#N/A</v>
      </c>
      <c r="CP59" s="17" t="str">
        <f t="array" ref="CP59">SUM(SUMIFS(INDIRECT($A$5),OtrosR!$C$3:$C65,$A59,OtrosR!$B$3:$B65,CP$1))</f>
        <v>#N/A</v>
      </c>
      <c r="CQ59" s="16" t="str">
        <f t="array" ref="CQ59">SUM(SUMIFS(INDIRECT($A$5),OtrosR!$C$3:$C65,$A59,OtrosR!$B$3:$B65,CQ$1))</f>
        <v>#N/A</v>
      </c>
      <c r="CR59" s="17" t="str">
        <f t="array" ref="CR59">SUM(SUMIFS(INDIRECT($A$5),OtrosR!$C$3:$C65,$A59,OtrosR!$B$3:$B65,CR$1))</f>
        <v>#N/A</v>
      </c>
      <c r="CS59" s="16" t="str">
        <f t="array" ref="CS59">SUM(SUMIFS(INDIRECT($A$5),OtrosR!$C$3:$C65,$A59,OtrosR!$B$3:$B65,CS$1))</f>
        <v>#N/A</v>
      </c>
      <c r="CT59" s="17" t="str">
        <f t="array" ref="CT59">SUM(SUMIFS(INDIRECT($A$5),OtrosR!$C$3:$C65,$A59,OtrosR!$B$3:$B65,CT$1))</f>
        <v>#N/A</v>
      </c>
      <c r="CU59" s="16" t="str">
        <f t="array" ref="CU59">SUM(SUMIFS(INDIRECT($A$5),OtrosR!$C$3:$C65,$A59,OtrosR!$B$3:$B65,CU$1))</f>
        <v>#N/A</v>
      </c>
      <c r="CV59" s="17" t="str">
        <f t="array" ref="CV59">SUM(SUMIFS(INDIRECT($A$5),OtrosR!$C$3:$C65,$A59,OtrosR!$B$3:$B65,CV$1))</f>
        <v>#N/A</v>
      </c>
      <c r="CW59" s="16" t="str">
        <f t="array" ref="CW59">SUM(SUMIFS(INDIRECT($A$5),OtrosR!$C$3:$C65,$A59,OtrosR!$B$3:$B65,CW$1))</f>
        <v>#N/A</v>
      </c>
      <c r="CX59" s="17" t="str">
        <f t="array" ref="CX59">SUM(SUMIFS(INDIRECT($A$5),OtrosR!$C$3:$C65,$A59,OtrosR!$B$3:$B65,CX$1))</f>
        <v>#N/A</v>
      </c>
      <c r="CY59" s="16" t="str">
        <f t="array" ref="CY59">SUM(SUMIFS(INDIRECT($A$5),OtrosR!$C$3:$C65,$A59,OtrosR!$B$3:$B65,CY$1))</f>
        <v>#N/A</v>
      </c>
      <c r="CZ59" s="17" t="str">
        <f t="array" ref="CZ59">SUM(SUMIFS(INDIRECT($A$5),OtrosR!$C$3:$C65,$A59,OtrosR!$B$3:$B65,CZ$1))</f>
        <v>#N/A</v>
      </c>
      <c r="DA59" s="16" t="str">
        <f t="array" ref="DA59">SUM(SUMIFS(INDIRECT($A$5),OtrosR!$C$3:$C65,$A59,OtrosR!$B$3:$B65,DA$1))</f>
        <v>#N/A</v>
      </c>
      <c r="DB59" s="17" t="str">
        <f t="array" ref="DB59">SUM(SUMIFS(INDIRECT($A$5),OtrosR!$C$3:$C65,$A59,OtrosR!$B$3:$B65,DB$1))</f>
        <v>#N/A</v>
      </c>
      <c r="DC59" s="16" t="str">
        <f t="array" ref="DC59">SUM(SUMIFS(INDIRECT($A$5),OtrosR!$C$3:$C65,$A59,OtrosR!$B$3:$B65,DC$1))</f>
        <v>#N/A</v>
      </c>
      <c r="DD59" s="17" t="str">
        <f t="array" ref="DD59">SUM(SUMIFS(INDIRECT($A$5),OtrosR!$C$3:$C65,$A59,OtrosR!$B$3:$B65,DD$1))</f>
        <v>#N/A</v>
      </c>
      <c r="DE59" s="16" t="str">
        <f t="array" ref="DE59">SUM(SUMIFS(INDIRECT($A$5),OtrosR!$C$3:$C65,$A59,OtrosR!$B$3:$B65,DE$1))</f>
        <v>#N/A</v>
      </c>
      <c r="DF59" s="17" t="str">
        <f t="array" ref="DF59">SUM(SUMIFS(INDIRECT($A$5),OtrosR!$C$3:$C65,$A59,OtrosR!$B$3:$B65,DF$1))</f>
        <v>#N/A</v>
      </c>
      <c r="DG59" s="16" t="str">
        <f t="array" ref="DG59">SUM(SUMIFS(INDIRECT($A$5),OtrosR!$C$3:$C65,$A59,OtrosR!$B$3:$B65,DG$1))</f>
        <v>#N/A</v>
      </c>
      <c r="DH59" s="17" t="str">
        <f t="array" ref="DH59">SUM(SUMIFS(INDIRECT($A$5),OtrosR!$C$3:$C65,$A59,OtrosR!$B$3:$B65,DH$1))</f>
        <v>#N/A</v>
      </c>
      <c r="DI59" s="16" t="str">
        <f t="array" ref="DI59">SUM(SUMIFS(INDIRECT($A$5),OtrosR!$C$3:$C65,$A59,OtrosR!$B$3:$B65,DI$1))</f>
        <v>#N/A</v>
      </c>
      <c r="DJ59" s="17" t="str">
        <f t="array" ref="DJ59">SUM(SUMIFS(INDIRECT($A$5),OtrosR!$C$3:$C65,$A59,OtrosR!$B$3:$B65,DJ$1))</f>
        <v>#N/A</v>
      </c>
      <c r="DK59" s="16" t="str">
        <f t="array" ref="DK59">SUM(SUMIFS(INDIRECT($A$5),OtrosR!$C$3:$C65,$A59,OtrosR!$B$3:$B65,DK$1))</f>
        <v>#N/A</v>
      </c>
      <c r="DL59" s="17" t="str">
        <f t="array" ref="DL59">SUM(SUMIFS(INDIRECT($A$5),OtrosR!$C$3:$C65,$A59,OtrosR!$B$3:$B65,DL$1))</f>
        <v>#N/A</v>
      </c>
      <c r="DM59" s="16" t="str">
        <f t="array" ref="DM59">SUM(SUMIFS(INDIRECT($A$5),OtrosR!$C$3:$C65,$A59,OtrosR!$B$3:$B65,DM$1))</f>
        <v>#N/A</v>
      </c>
      <c r="DN59" s="17" t="str">
        <f t="array" ref="DN59">SUM(SUMIFS(INDIRECT($A$5),OtrosR!$C$3:$C65,$A59,OtrosR!$B$3:$B65,DN$1))</f>
        <v>#N/A</v>
      </c>
      <c r="DO59" s="16" t="str">
        <f t="array" ref="DO59">SUM(SUMIFS(INDIRECT($A$5),OtrosR!$C$3:$C65,$A59,OtrosR!$B$3:$B65,DO$1))</f>
        <v>#N/A</v>
      </c>
      <c r="DP59" s="17" t="str">
        <f t="array" ref="DP59">SUM(SUMIFS(INDIRECT($A$5),OtrosR!$C$3:$C65,$A59,OtrosR!$B$3:$B65,DP$1))</f>
        <v>#N/A</v>
      </c>
      <c r="DQ59" s="16" t="str">
        <f t="array" ref="DQ59">SUM(SUMIFS(INDIRECT($A$5),OtrosR!$C$3:$C65,$A59,OtrosR!$B$3:$B65,DQ$1))</f>
        <v>#N/A</v>
      </c>
      <c r="DR59" s="17" t="str">
        <f t="array" ref="DR59">SUM(SUMIFS(INDIRECT($A$5),OtrosR!$C$3:$C65,$A59,OtrosR!$B$3:$B65,DR$1))</f>
        <v>#N/A</v>
      </c>
      <c r="DS59" s="16" t="str">
        <f t="array" ref="DS59">SUM(SUMIFS(INDIRECT($A$5),OtrosR!$C$3:$C65,$A59,OtrosR!$B$3:$B65,DS$1))</f>
        <v>#N/A</v>
      </c>
      <c r="DT59" s="17" t="str">
        <f t="array" ref="DT59">SUM(SUMIFS(INDIRECT($A$5),OtrosR!$C$3:$C65,$A59,OtrosR!$B$3:$B65,DT$1))</f>
        <v>#N/A</v>
      </c>
      <c r="DU59" s="16" t="str">
        <f t="array" ref="DU59">SUM(SUMIFS(INDIRECT($A$5),OtrosR!$C$3:$C65,$A59,OtrosR!$B$3:$B65,DU$1))</f>
        <v>#N/A</v>
      </c>
      <c r="DV59" s="17" t="str">
        <f t="array" ref="DV59">SUM(SUMIFS(INDIRECT($A$5),OtrosR!$C$3:$C65,$A59,OtrosR!$B$3:$B65,DV$1))</f>
        <v>#N/A</v>
      </c>
      <c r="DW59" s="16" t="str">
        <f t="array" ref="DW59">SUM(SUMIFS(INDIRECT($A$5),OtrosR!$C$3:$C65,$A59,OtrosR!$B$3:$B65,DW$1))</f>
        <v>#N/A</v>
      </c>
      <c r="DX59" s="17" t="str">
        <f t="array" ref="DX59">SUM(SUMIFS(INDIRECT($A$5),OtrosR!$C$3:$C65,$A59,OtrosR!$B$3:$B65,DX$1))</f>
        <v>#N/A</v>
      </c>
      <c r="DY59" s="16" t="str">
        <f t="array" ref="DY59">SUM(SUMIFS(INDIRECT($A$5),OtrosR!$C$3:$C65,$A59,OtrosR!$B$3:$B65,DY$1))</f>
        <v>#N/A</v>
      </c>
      <c r="DZ59" s="17" t="str">
        <f t="array" ref="DZ59">SUM(SUMIFS(INDIRECT($A$5),OtrosR!$C$3:$C65,$A59,OtrosR!$B$3:$B65,DZ$1))</f>
        <v>#N/A</v>
      </c>
      <c r="EA59" s="16" t="str">
        <f t="array" ref="EA59">SUM(SUMIFS(INDIRECT($A$5),OtrosR!$C$3:$C65,$A59,OtrosR!$B$3:$B65,EA$1))</f>
        <v>#N/A</v>
      </c>
      <c r="EB59" s="17" t="str">
        <f t="array" ref="EB59">SUM(SUMIFS(INDIRECT($A$5),OtrosR!$C$3:$C65,$A59,OtrosR!$B$3:$B65,EB$1))</f>
        <v>#N/A</v>
      </c>
      <c r="EC59" s="16" t="str">
        <f t="array" ref="EC59">SUM(SUMIFS(INDIRECT($A$5),OtrosR!$C$3:$C65,$A59,OtrosR!$B$3:$B65,EC$1))</f>
        <v>#N/A</v>
      </c>
      <c r="ED59" s="17" t="str">
        <f t="array" ref="ED59">SUM(SUMIFS(INDIRECT($A$5),OtrosR!$C$3:$C65,$A59,OtrosR!$B$3:$B65,ED$1))</f>
        <v>#N/A</v>
      </c>
      <c r="EE59" s="16" t="str">
        <f t="array" ref="EE59">SUM(SUMIFS(INDIRECT($A$5),OtrosR!$C$3:$C65,$A59,OtrosR!$B$3:$B65,EE$1))</f>
        <v>#N/A</v>
      </c>
      <c r="EF59" s="17" t="str">
        <f t="array" ref="EF59">SUM(SUMIFS(INDIRECT($A$5),OtrosR!$C$3:$C65,$A59,OtrosR!$B$3:$B65,EF$1))</f>
        <v>#N/A</v>
      </c>
      <c r="EG59" s="16" t="str">
        <f t="array" ref="EG59">SUM(SUMIFS(INDIRECT($A$5),OtrosR!$C$3:$C65,$A59,OtrosR!$B$3:$B65,EG$1))</f>
        <v>#N/A</v>
      </c>
      <c r="EH59" s="17" t="str">
        <f t="array" ref="EH59">SUM(SUMIFS(INDIRECT($A$5),OtrosR!$C$3:$C65,$A59,OtrosR!$B$3:$B65,EH$1))</f>
        <v>#N/A</v>
      </c>
      <c r="EI59" s="16" t="str">
        <f t="array" ref="EI59">SUM(SUMIFS(INDIRECT($A$5),OtrosR!$C$3:$C65,$A59,OtrosR!$B$3:$B65,EI$1))</f>
        <v>#N/A</v>
      </c>
      <c r="EJ59" s="17" t="str">
        <f t="array" ref="EJ59">SUM(SUMIFS(INDIRECT($A$5),OtrosR!$C$3:$C65,$A59,OtrosR!$B$3:$B65,EJ$1))</f>
        <v>#N/A</v>
      </c>
      <c r="EK59" s="16" t="str">
        <f t="array" ref="EK59">SUM(SUMIFS(INDIRECT($A$5),OtrosR!$C$3:$C65,$A59,OtrosR!$B$3:$B65,EK$1))</f>
        <v>#N/A</v>
      </c>
      <c r="EL59" s="17" t="str">
        <f t="array" ref="EL59">SUM(SUMIFS(INDIRECT($A$5),OtrosR!$C$3:$C65,$A59,OtrosR!$B$3:$B65,EL$1))</f>
        <v>#N/A</v>
      </c>
      <c r="EM59" s="16" t="str">
        <f t="array" ref="EM59">SUM(SUMIFS(INDIRECT($A$5),OtrosR!$C$3:$C65,$A59,OtrosR!$B$3:$B65,EM$1))</f>
        <v>#N/A</v>
      </c>
      <c r="EN59" s="17" t="str">
        <f t="array" ref="EN59">SUM(SUMIFS(INDIRECT($A$5),OtrosR!$C$3:$C65,$A59,OtrosR!$B$3:$B65,EN$1))</f>
        <v>#N/A</v>
      </c>
      <c r="EO59" s="16" t="str">
        <f t="array" ref="EO59">SUM(SUMIFS(INDIRECT($A$5),OtrosR!$C$3:$C65,$A59,OtrosR!$B$3:$B65,EO$1))</f>
        <v>#N/A</v>
      </c>
      <c r="EP59" s="17" t="str">
        <f t="array" ref="EP59">SUM(SUMIFS(INDIRECT($A$5),OtrosR!$C$3:$C65,$A59,OtrosR!$B$3:$B65,EP$1))</f>
        <v>#N/A</v>
      </c>
    </row>
    <row r="60" ht="15.75" customHeight="1">
      <c r="A60" s="6" t="str">
        <f>Menus!Q6</f>
        <v/>
      </c>
      <c r="B60" s="43" t="str">
        <f t="shared" si="53"/>
        <v>#N/A</v>
      </c>
      <c r="C60" s="56" t="str">
        <f t="array" ref="C60">SUM(SUMIFS(INDIRECT($A$5),OtrosR!$C$3:$C65,$A60,OtrosR!$B$3:$B65,C$1))</f>
        <v>#N/A</v>
      </c>
      <c r="D60" s="55" t="str">
        <f t="array" ref="D60">SUM(SUMIFS(INDIRECT($A$5),OtrosR!$C$3:$C65,$A60,OtrosR!$B$3:$B65,D$1))</f>
        <v>#N/A</v>
      </c>
      <c r="E60" s="16" t="str">
        <f t="array" ref="E60">SUM(SUMIFS(INDIRECT($A$5),OtrosR!$C$3:$C65,$A60,OtrosR!$B$3:$B65,E$1))</f>
        <v>#N/A</v>
      </c>
      <c r="F60" s="17" t="str">
        <f t="array" ref="F60">SUM(SUMIFS(INDIRECT($A$5),OtrosR!$C$3:$C65,$A60,OtrosR!$B$3:$B65,F$1))</f>
        <v>#N/A</v>
      </c>
      <c r="G60" s="16" t="str">
        <f t="array" ref="G60">SUM(SUMIFS(INDIRECT($A$5),OtrosR!$C$3:$C65,$A60,OtrosR!$B$3:$B65,G$1))</f>
        <v>#N/A</v>
      </c>
      <c r="H60" s="17" t="str">
        <f t="array" ref="H60">SUM(SUMIFS(INDIRECT($A$5),OtrosR!$C$3:$C65,$A60,OtrosR!$B$3:$B65,H$1))</f>
        <v>#N/A</v>
      </c>
      <c r="I60" s="16" t="str">
        <f t="array" ref="I60">SUM(SUMIFS(INDIRECT($A$5),OtrosR!$C$3:$C65,$A60,OtrosR!$B$3:$B65,I$1))</f>
        <v>#N/A</v>
      </c>
      <c r="J60" s="17" t="str">
        <f t="array" ref="J60">SUM(SUMIFS(INDIRECT($A$5),OtrosR!$C$3:$C65,$A60,OtrosR!$B$3:$B65,J$1))</f>
        <v>#N/A</v>
      </c>
      <c r="K60" s="16" t="str">
        <f t="array" ref="K60">SUM(SUMIFS(INDIRECT($A$5),OtrosR!$C$3:$C65,$A60,OtrosR!$B$3:$B65,K$1))</f>
        <v>#N/A</v>
      </c>
      <c r="L60" s="17" t="str">
        <f t="array" ref="L60">SUM(SUMIFS(INDIRECT($A$5),OtrosR!$C$3:$C65,$A60,OtrosR!$B$3:$B65,L$1))</f>
        <v>#N/A</v>
      </c>
      <c r="M60" s="16" t="str">
        <f t="array" ref="M60">SUM(SUMIFS(INDIRECT($A$5),OtrosR!$C$3:$C65,$A60,OtrosR!$B$3:$B65,M$1))</f>
        <v>#N/A</v>
      </c>
      <c r="N60" s="17" t="str">
        <f t="array" ref="N60">SUM(SUMIFS(INDIRECT($A$5),OtrosR!$C$3:$C65,$A60,OtrosR!$B$3:$B65,N$1))</f>
        <v>#N/A</v>
      </c>
      <c r="O60" s="16" t="str">
        <f t="array" ref="O60">SUM(SUMIFS(INDIRECT($A$5),OtrosR!$C$3:$C65,$A60,OtrosR!$B$3:$B65,O$1))</f>
        <v>#N/A</v>
      </c>
      <c r="P60" s="17" t="str">
        <f t="array" ref="P60">SUM(SUMIFS(INDIRECT($A$5),OtrosR!$C$3:$C65,$A60,OtrosR!$B$3:$B65,P$1))</f>
        <v>#N/A</v>
      </c>
      <c r="Q60" s="16" t="str">
        <f t="array" ref="Q60">SUM(SUMIFS(INDIRECT($A$5),OtrosR!$C$3:$C65,$A60,OtrosR!$B$3:$B65,Q$1))</f>
        <v>#N/A</v>
      </c>
      <c r="R60" s="17" t="str">
        <f t="array" ref="R60">SUM(SUMIFS(INDIRECT($A$5),OtrosR!$C$3:$C65,$A60,OtrosR!$B$3:$B65,R$1))</f>
        <v>#N/A</v>
      </c>
      <c r="S60" s="16" t="str">
        <f t="array" ref="S60">SUM(SUMIFS(INDIRECT($A$5),OtrosR!$C$3:$C65,$A60,OtrosR!$B$3:$B65,S$1))</f>
        <v>#N/A</v>
      </c>
      <c r="T60" s="17" t="str">
        <f t="array" ref="T60">SUM(SUMIFS(INDIRECT($A$5),OtrosR!$C$3:$C65,$A60,OtrosR!$B$3:$B65,T$1))</f>
        <v>#N/A</v>
      </c>
      <c r="U60" s="16" t="str">
        <f t="array" ref="U60">SUM(SUMIFS(INDIRECT($A$5),OtrosR!$C$3:$C65,$A60,OtrosR!$B$3:$B65,U$1))</f>
        <v>#N/A</v>
      </c>
      <c r="V60" s="17" t="str">
        <f t="array" ref="V60">SUM(SUMIFS(INDIRECT($A$5),OtrosR!$C$3:$C65,$A60,OtrosR!$B$3:$B65,V$1))</f>
        <v>#N/A</v>
      </c>
      <c r="W60" s="16" t="str">
        <f t="array" ref="W60">SUM(SUMIFS(INDIRECT($A$5),OtrosR!$C$3:$C65,$A60,OtrosR!$B$3:$B65,W$1))</f>
        <v>#N/A</v>
      </c>
      <c r="X60" s="17" t="str">
        <f t="array" ref="X60">SUM(SUMIFS(INDIRECT($A$5),OtrosR!$C$3:$C65,$A60,OtrosR!$B$3:$B65,X$1))</f>
        <v>#N/A</v>
      </c>
      <c r="Y60" s="16" t="str">
        <f t="array" ref="Y60">SUM(SUMIFS(INDIRECT($A$5),OtrosR!$C$3:$C65,$A60,OtrosR!$B$3:$B65,Y$1))</f>
        <v>#N/A</v>
      </c>
      <c r="Z60" s="17" t="str">
        <f t="array" ref="Z60">SUM(SUMIFS(INDIRECT($A$5),OtrosR!$C$3:$C65,$A60,OtrosR!$B$3:$B65,Z$1))</f>
        <v>#N/A</v>
      </c>
      <c r="AA60" s="16" t="str">
        <f t="array" ref="AA60">SUM(SUMIFS(INDIRECT($A$5),OtrosR!$C$3:$C65,$A60,OtrosR!$B$3:$B65,AA$1))</f>
        <v>#N/A</v>
      </c>
      <c r="AB60" s="17" t="str">
        <f t="array" ref="AB60">SUM(SUMIFS(INDIRECT($A$5),OtrosR!$C$3:$C65,$A60,OtrosR!$B$3:$B65,AB$1))</f>
        <v>#N/A</v>
      </c>
      <c r="AC60" s="16" t="str">
        <f t="array" ref="AC60">SUM(SUMIFS(INDIRECT($A$5),OtrosR!$C$3:$C65,$A60,OtrosR!$B$3:$B65,AC$1))</f>
        <v>#N/A</v>
      </c>
      <c r="AD60" s="17" t="str">
        <f t="array" ref="AD60">SUM(SUMIFS(INDIRECT($A$5),OtrosR!$C$3:$C65,$A60,OtrosR!$B$3:$B65,AD$1))</f>
        <v>#N/A</v>
      </c>
      <c r="AE60" s="16" t="str">
        <f t="array" ref="AE60">SUM(SUMIFS(INDIRECT($A$5),OtrosR!$C$3:$C65,$A60,OtrosR!$B$3:$B65,AE$1))</f>
        <v>#N/A</v>
      </c>
      <c r="AF60" s="17" t="str">
        <f t="array" ref="AF60">SUM(SUMIFS(INDIRECT($A$5),OtrosR!$C$3:$C65,$A60,OtrosR!$B$3:$B65,AF$1))</f>
        <v>#N/A</v>
      </c>
      <c r="AG60" s="16" t="str">
        <f t="array" ref="AG60">SUM(SUMIFS(INDIRECT($A$5),OtrosR!$C$3:$C65,$A60,OtrosR!$B$3:$B65,AG$1))</f>
        <v>#N/A</v>
      </c>
      <c r="AH60" s="17" t="str">
        <f t="array" ref="AH60">SUM(SUMIFS(INDIRECT($A$5),OtrosR!$C$3:$C65,$A60,OtrosR!$B$3:$B65,AH$1))</f>
        <v>#N/A</v>
      </c>
      <c r="AI60" s="16" t="str">
        <f t="array" ref="AI60">SUM(SUMIFS(INDIRECT($A$5),OtrosR!$C$3:$C65,$A60,OtrosR!$B$3:$B65,AI$1))</f>
        <v>#N/A</v>
      </c>
      <c r="AJ60" s="17" t="str">
        <f t="array" ref="AJ60">SUM(SUMIFS(INDIRECT($A$5),OtrosR!$C$3:$C65,$A60,OtrosR!$B$3:$B65,AJ$1))</f>
        <v>#N/A</v>
      </c>
      <c r="AK60" s="16" t="str">
        <f t="array" ref="AK60">SUM(SUMIFS(INDIRECT($A$5),OtrosR!$C$3:$C65,$A60,OtrosR!$B$3:$B65,AK$1))</f>
        <v>#N/A</v>
      </c>
      <c r="AL60" s="17" t="str">
        <f t="array" ref="AL60">SUM(SUMIFS(INDIRECT($A$5),OtrosR!$C$3:$C65,$A60,OtrosR!$B$3:$B65,AL$1))</f>
        <v>#N/A</v>
      </c>
      <c r="AM60" s="16" t="str">
        <f t="array" ref="AM60">SUM(SUMIFS(INDIRECT($A$5),OtrosR!$C$3:$C65,$A60,OtrosR!$B$3:$B65,AM$1))</f>
        <v>#N/A</v>
      </c>
      <c r="AN60" s="17" t="str">
        <f t="array" ref="AN60">SUM(SUMIFS(INDIRECT($A$5),OtrosR!$C$3:$C65,$A60,OtrosR!$B$3:$B65,AN$1))</f>
        <v>#N/A</v>
      </c>
      <c r="AO60" s="16" t="str">
        <f t="array" ref="AO60">SUM(SUMIFS(INDIRECT($A$5),OtrosR!$C$3:$C65,$A60,OtrosR!$B$3:$B65,AO$1))</f>
        <v>#N/A</v>
      </c>
      <c r="AP60" s="17" t="str">
        <f t="array" ref="AP60">SUM(SUMIFS(INDIRECT($A$5),OtrosR!$C$3:$C65,$A60,OtrosR!$B$3:$B65,AP$1))</f>
        <v>#N/A</v>
      </c>
      <c r="AQ60" s="16" t="str">
        <f t="array" ref="AQ60">SUM(SUMIFS(INDIRECT($A$5),OtrosR!$C$3:$C65,$A60,OtrosR!$B$3:$B65,AQ$1))</f>
        <v>#N/A</v>
      </c>
      <c r="AR60" s="17" t="str">
        <f t="array" ref="AR60">SUM(SUMIFS(INDIRECT($A$5),OtrosR!$C$3:$C65,$A60,OtrosR!$B$3:$B65,AR$1))</f>
        <v>#N/A</v>
      </c>
      <c r="AS60" s="16" t="str">
        <f t="array" ref="AS60">SUM(SUMIFS(INDIRECT($A$5),OtrosR!$C$3:$C65,$A60,OtrosR!$B$3:$B65,AS$1))</f>
        <v>#N/A</v>
      </c>
      <c r="AT60" s="17" t="str">
        <f t="array" ref="AT60">SUM(SUMIFS(INDIRECT($A$5),OtrosR!$C$3:$C65,$A60,OtrosR!$B$3:$B65,AT$1))</f>
        <v>#N/A</v>
      </c>
      <c r="AU60" s="16" t="str">
        <f t="array" ref="AU60">SUM(SUMIFS(INDIRECT($A$5),OtrosR!$C$3:$C65,$A60,OtrosR!$B$3:$B65,AU$1))</f>
        <v>#N/A</v>
      </c>
      <c r="AV60" s="17" t="str">
        <f t="array" ref="AV60">SUM(SUMIFS(INDIRECT($A$5),OtrosR!$C$3:$C65,$A60,OtrosR!$B$3:$B65,AV$1))</f>
        <v>#N/A</v>
      </c>
      <c r="AW60" s="16" t="str">
        <f t="array" ref="AW60">SUM(SUMIFS(INDIRECT($A$5),OtrosR!$C$3:$C65,$A60,OtrosR!$B$3:$B65,AW$1))</f>
        <v>#N/A</v>
      </c>
      <c r="AX60" s="17" t="str">
        <f t="array" ref="AX60">SUM(SUMIFS(INDIRECT($A$5),OtrosR!$C$3:$C65,$A60,OtrosR!$B$3:$B65,AX$1))</f>
        <v>#N/A</v>
      </c>
      <c r="AY60" s="16" t="str">
        <f t="array" ref="AY60">SUM(SUMIFS(INDIRECT($A$5),OtrosR!$C$3:$C65,$A60,OtrosR!$B$3:$B65,AY$1))</f>
        <v>#N/A</v>
      </c>
      <c r="AZ60" s="17" t="str">
        <f t="array" ref="AZ60">SUM(SUMIFS(INDIRECT($A$5),OtrosR!$C$3:$C65,$A60,OtrosR!$B$3:$B65,AZ$1))</f>
        <v>#N/A</v>
      </c>
      <c r="BA60" s="16" t="str">
        <f t="array" ref="BA60">SUM(SUMIFS(INDIRECT($A$5),OtrosR!$C$3:$C65,$A60,OtrosR!$B$3:$B65,BA$1))</f>
        <v>#N/A</v>
      </c>
      <c r="BB60" s="17" t="str">
        <f t="array" ref="BB60">SUM(SUMIFS(INDIRECT($A$5),OtrosR!$C$3:$C65,$A60,OtrosR!$B$3:$B65,BB$1))</f>
        <v>#N/A</v>
      </c>
      <c r="BC60" s="16" t="str">
        <f t="array" ref="BC60">SUM(SUMIFS(INDIRECT($A$5),OtrosR!$C$3:$C65,$A60,OtrosR!$B$3:$B65,BC$1))</f>
        <v>#N/A</v>
      </c>
      <c r="BD60" s="17" t="str">
        <f t="array" ref="BD60">SUM(SUMIFS(INDIRECT($A$5),OtrosR!$C$3:$C65,$A60,OtrosR!$B$3:$B65,BD$1))</f>
        <v>#N/A</v>
      </c>
      <c r="BE60" s="16" t="str">
        <f t="array" ref="BE60">SUM(SUMIFS(INDIRECT($A$5),OtrosR!$C$3:$C65,$A60,OtrosR!$B$3:$B65,BE$1))</f>
        <v>#N/A</v>
      </c>
      <c r="BF60" s="17" t="str">
        <f t="array" ref="BF60">SUM(SUMIFS(INDIRECT($A$5),OtrosR!$C$3:$C65,$A60,OtrosR!$B$3:$B65,BF$1))</f>
        <v>#N/A</v>
      </c>
      <c r="BG60" s="16" t="str">
        <f t="array" ref="BG60">SUM(SUMIFS(INDIRECT($A$5),OtrosR!$C$3:$C65,$A60,OtrosR!$B$3:$B65,BG$1))</f>
        <v>#N/A</v>
      </c>
      <c r="BH60" s="17" t="str">
        <f t="array" ref="BH60">SUM(SUMIFS(INDIRECT($A$5),OtrosR!$C$3:$C65,$A60,OtrosR!$B$3:$B65,BH$1))</f>
        <v>#N/A</v>
      </c>
      <c r="BI60" s="16" t="str">
        <f t="array" ref="BI60">SUM(SUMIFS(INDIRECT($A$5),OtrosR!$C$3:$C65,$A60,OtrosR!$B$3:$B65,BI$1))</f>
        <v>#N/A</v>
      </c>
      <c r="BJ60" s="17" t="str">
        <f t="array" ref="BJ60">SUM(SUMIFS(INDIRECT($A$5),OtrosR!$C$3:$C65,$A60,OtrosR!$B$3:$B65,BJ$1))</f>
        <v>#N/A</v>
      </c>
      <c r="BK60" s="16" t="str">
        <f t="array" ref="BK60">SUM(SUMIFS(INDIRECT($A$5),OtrosR!$C$3:$C65,$A60,OtrosR!$B$3:$B65,BK$1))</f>
        <v>#N/A</v>
      </c>
      <c r="BL60" s="17" t="str">
        <f t="array" ref="BL60">SUM(SUMIFS(INDIRECT($A$5),OtrosR!$C$3:$C65,$A60,OtrosR!$B$3:$B65,BL$1))</f>
        <v>#N/A</v>
      </c>
      <c r="BM60" s="16" t="str">
        <f t="array" ref="BM60">SUM(SUMIFS(INDIRECT($A$5),OtrosR!$C$3:$C65,$A60,OtrosR!$B$3:$B65,BM$1))</f>
        <v>#N/A</v>
      </c>
      <c r="BN60" s="17" t="str">
        <f t="array" ref="BN60">SUM(SUMIFS(INDIRECT($A$5),OtrosR!$C$3:$C65,$A60,OtrosR!$B$3:$B65,BN$1))</f>
        <v>#N/A</v>
      </c>
      <c r="BO60" s="16" t="str">
        <f t="array" ref="BO60">SUM(SUMIFS(INDIRECT($A$5),OtrosR!$C$3:$C65,$A60,OtrosR!$B$3:$B65,BO$1))</f>
        <v>#N/A</v>
      </c>
      <c r="BP60" s="17" t="str">
        <f t="array" ref="BP60">SUM(SUMIFS(INDIRECT($A$5),OtrosR!$C$3:$C65,$A60,OtrosR!$B$3:$B65,BP$1))</f>
        <v>#N/A</v>
      </c>
      <c r="BQ60" s="16" t="str">
        <f t="array" ref="BQ60">SUM(SUMIFS(INDIRECT($A$5),OtrosR!$C$3:$C65,$A60,OtrosR!$B$3:$B65,BQ$1))</f>
        <v>#N/A</v>
      </c>
      <c r="BR60" s="17" t="str">
        <f t="array" ref="BR60">SUM(SUMIFS(INDIRECT($A$5),OtrosR!$C$3:$C65,$A60,OtrosR!$B$3:$B65,BR$1))</f>
        <v>#N/A</v>
      </c>
      <c r="BS60" s="16" t="str">
        <f t="array" ref="BS60">SUM(SUMIFS(INDIRECT($A$5),OtrosR!$C$3:$C65,$A60,OtrosR!$B$3:$B65,BS$1))</f>
        <v>#N/A</v>
      </c>
      <c r="BT60" s="17" t="str">
        <f t="array" ref="BT60">SUM(SUMIFS(INDIRECT($A$5),OtrosR!$C$3:$C65,$A60,OtrosR!$B$3:$B65,BT$1))</f>
        <v>#N/A</v>
      </c>
      <c r="BU60" s="16" t="str">
        <f t="array" ref="BU60">SUM(SUMIFS(INDIRECT($A$5),OtrosR!$C$3:$C65,$A60,OtrosR!$B$3:$B65,BU$1))</f>
        <v>#N/A</v>
      </c>
      <c r="BV60" s="17" t="str">
        <f t="array" ref="BV60">SUM(SUMIFS(INDIRECT($A$5),OtrosR!$C$3:$C65,$A60,OtrosR!$B$3:$B65,BV$1))</f>
        <v>#N/A</v>
      </c>
      <c r="BW60" s="16" t="str">
        <f t="array" ref="BW60">SUM(SUMIFS(INDIRECT($A$5),OtrosR!$C$3:$C65,$A60,OtrosR!$B$3:$B65,BW$1))</f>
        <v>#N/A</v>
      </c>
      <c r="BX60" s="17" t="str">
        <f t="array" ref="BX60">SUM(SUMIFS(INDIRECT($A$5),OtrosR!$C$3:$C65,$A60,OtrosR!$B$3:$B65,BX$1))</f>
        <v>#N/A</v>
      </c>
      <c r="BY60" s="16" t="str">
        <f t="array" ref="BY60">SUM(SUMIFS(INDIRECT($A$5),OtrosR!$C$3:$C65,$A60,OtrosR!$B$3:$B65,BY$1))</f>
        <v>#N/A</v>
      </c>
      <c r="BZ60" s="17" t="str">
        <f t="array" ref="BZ60">SUM(SUMIFS(INDIRECT($A$5),OtrosR!$C$3:$C65,$A60,OtrosR!$B$3:$B65,BZ$1))</f>
        <v>#N/A</v>
      </c>
      <c r="CA60" s="16" t="str">
        <f t="array" ref="CA60">SUM(SUMIFS(INDIRECT($A$5),OtrosR!$C$3:$C65,$A60,OtrosR!$B$3:$B65,CA$1))</f>
        <v>#N/A</v>
      </c>
      <c r="CB60" s="17" t="str">
        <f t="array" ref="CB60">SUM(SUMIFS(INDIRECT($A$5),OtrosR!$C$3:$C65,$A60,OtrosR!$B$3:$B65,CB$1))</f>
        <v>#N/A</v>
      </c>
      <c r="CC60" s="16" t="str">
        <f t="array" ref="CC60">SUM(SUMIFS(INDIRECT($A$5),OtrosR!$C$3:$C65,$A60,OtrosR!$B$3:$B65,CC$1))</f>
        <v>#N/A</v>
      </c>
      <c r="CD60" s="17" t="str">
        <f t="array" ref="CD60">SUM(SUMIFS(INDIRECT($A$5),OtrosR!$C$3:$C65,$A60,OtrosR!$B$3:$B65,CD$1))</f>
        <v>#N/A</v>
      </c>
      <c r="CE60" s="16" t="str">
        <f t="array" ref="CE60">SUM(SUMIFS(INDIRECT($A$5),OtrosR!$C$3:$C65,$A60,OtrosR!$B$3:$B65,CE$1))</f>
        <v>#N/A</v>
      </c>
      <c r="CF60" s="17" t="str">
        <f t="array" ref="CF60">SUM(SUMIFS(INDIRECT($A$5),OtrosR!$C$3:$C65,$A60,OtrosR!$B$3:$B65,CF$1))</f>
        <v>#N/A</v>
      </c>
      <c r="CG60" s="16" t="str">
        <f t="array" ref="CG60">SUM(SUMIFS(INDIRECT($A$5),OtrosR!$C$3:$C65,$A60,OtrosR!$B$3:$B65,CG$1))</f>
        <v>#N/A</v>
      </c>
      <c r="CH60" s="17" t="str">
        <f t="array" ref="CH60">SUM(SUMIFS(INDIRECT($A$5),OtrosR!$C$3:$C65,$A60,OtrosR!$B$3:$B65,CH$1))</f>
        <v>#N/A</v>
      </c>
      <c r="CI60" s="16" t="str">
        <f t="array" ref="CI60">SUM(SUMIFS(INDIRECT($A$5),OtrosR!$C$3:$C65,$A60,OtrosR!$B$3:$B65,CI$1))</f>
        <v>#N/A</v>
      </c>
      <c r="CJ60" s="17" t="str">
        <f t="array" ref="CJ60">SUM(SUMIFS(INDIRECT($A$5),OtrosR!$C$3:$C65,$A60,OtrosR!$B$3:$B65,CJ$1))</f>
        <v>#N/A</v>
      </c>
      <c r="CK60" s="16" t="str">
        <f t="array" ref="CK60">SUM(SUMIFS(INDIRECT($A$5),OtrosR!$C$3:$C65,$A60,OtrosR!$B$3:$B65,CK$1))</f>
        <v>#N/A</v>
      </c>
      <c r="CL60" s="17" t="str">
        <f t="array" ref="CL60">SUM(SUMIFS(INDIRECT($A$5),OtrosR!$C$3:$C65,$A60,OtrosR!$B$3:$B65,CL$1))</f>
        <v>#N/A</v>
      </c>
      <c r="CM60" s="16" t="str">
        <f t="array" ref="CM60">SUM(SUMIFS(INDIRECT($A$5),OtrosR!$C$3:$C65,$A60,OtrosR!$B$3:$B65,CM$1))</f>
        <v>#N/A</v>
      </c>
      <c r="CN60" s="17" t="str">
        <f t="array" ref="CN60">SUM(SUMIFS(INDIRECT($A$5),OtrosR!$C$3:$C65,$A60,OtrosR!$B$3:$B65,CN$1))</f>
        <v>#N/A</v>
      </c>
      <c r="CO60" s="16" t="str">
        <f t="array" ref="CO60">SUM(SUMIFS(INDIRECT($A$5),OtrosR!$C$3:$C65,$A60,OtrosR!$B$3:$B65,CO$1))</f>
        <v>#N/A</v>
      </c>
      <c r="CP60" s="17" t="str">
        <f t="array" ref="CP60">SUM(SUMIFS(INDIRECT($A$5),OtrosR!$C$3:$C65,$A60,OtrosR!$B$3:$B65,CP$1))</f>
        <v>#N/A</v>
      </c>
      <c r="CQ60" s="16" t="str">
        <f t="array" ref="CQ60">SUM(SUMIFS(INDIRECT($A$5),OtrosR!$C$3:$C65,$A60,OtrosR!$B$3:$B65,CQ$1))</f>
        <v>#N/A</v>
      </c>
      <c r="CR60" s="17" t="str">
        <f t="array" ref="CR60">SUM(SUMIFS(INDIRECT($A$5),OtrosR!$C$3:$C65,$A60,OtrosR!$B$3:$B65,CR$1))</f>
        <v>#N/A</v>
      </c>
      <c r="CS60" s="16" t="str">
        <f t="array" ref="CS60">SUM(SUMIFS(INDIRECT($A$5),OtrosR!$C$3:$C65,$A60,OtrosR!$B$3:$B65,CS$1))</f>
        <v>#N/A</v>
      </c>
      <c r="CT60" s="17" t="str">
        <f t="array" ref="CT60">SUM(SUMIFS(INDIRECT($A$5),OtrosR!$C$3:$C65,$A60,OtrosR!$B$3:$B65,CT$1))</f>
        <v>#N/A</v>
      </c>
      <c r="CU60" s="16" t="str">
        <f t="array" ref="CU60">SUM(SUMIFS(INDIRECT($A$5),OtrosR!$C$3:$C65,$A60,OtrosR!$B$3:$B65,CU$1))</f>
        <v>#N/A</v>
      </c>
      <c r="CV60" s="17" t="str">
        <f t="array" ref="CV60">SUM(SUMIFS(INDIRECT($A$5),OtrosR!$C$3:$C65,$A60,OtrosR!$B$3:$B65,CV$1))</f>
        <v>#N/A</v>
      </c>
      <c r="CW60" s="16" t="str">
        <f t="array" ref="CW60">SUM(SUMIFS(INDIRECT($A$5),OtrosR!$C$3:$C65,$A60,OtrosR!$B$3:$B65,CW$1))</f>
        <v>#N/A</v>
      </c>
      <c r="CX60" s="17" t="str">
        <f t="array" ref="CX60">SUM(SUMIFS(INDIRECT($A$5),OtrosR!$C$3:$C65,$A60,OtrosR!$B$3:$B65,CX$1))</f>
        <v>#N/A</v>
      </c>
      <c r="CY60" s="16" t="str">
        <f t="array" ref="CY60">SUM(SUMIFS(INDIRECT($A$5),OtrosR!$C$3:$C65,$A60,OtrosR!$B$3:$B65,CY$1))</f>
        <v>#N/A</v>
      </c>
      <c r="CZ60" s="17" t="str">
        <f t="array" ref="CZ60">SUM(SUMIFS(INDIRECT($A$5),OtrosR!$C$3:$C65,$A60,OtrosR!$B$3:$B65,CZ$1))</f>
        <v>#N/A</v>
      </c>
      <c r="DA60" s="16" t="str">
        <f t="array" ref="DA60">SUM(SUMIFS(INDIRECT($A$5),OtrosR!$C$3:$C65,$A60,OtrosR!$B$3:$B65,DA$1))</f>
        <v>#N/A</v>
      </c>
      <c r="DB60" s="17" t="str">
        <f t="array" ref="DB60">SUM(SUMIFS(INDIRECT($A$5),OtrosR!$C$3:$C65,$A60,OtrosR!$B$3:$B65,DB$1))</f>
        <v>#N/A</v>
      </c>
      <c r="DC60" s="16" t="str">
        <f t="array" ref="DC60">SUM(SUMIFS(INDIRECT($A$5),OtrosR!$C$3:$C65,$A60,OtrosR!$B$3:$B65,DC$1))</f>
        <v>#N/A</v>
      </c>
      <c r="DD60" s="17" t="str">
        <f t="array" ref="DD60">SUM(SUMIFS(INDIRECT($A$5),OtrosR!$C$3:$C65,$A60,OtrosR!$B$3:$B65,DD$1))</f>
        <v>#N/A</v>
      </c>
      <c r="DE60" s="16" t="str">
        <f t="array" ref="DE60">SUM(SUMIFS(INDIRECT($A$5),OtrosR!$C$3:$C65,$A60,OtrosR!$B$3:$B65,DE$1))</f>
        <v>#N/A</v>
      </c>
      <c r="DF60" s="17" t="str">
        <f t="array" ref="DF60">SUM(SUMIFS(INDIRECT($A$5),OtrosR!$C$3:$C65,$A60,OtrosR!$B$3:$B65,DF$1))</f>
        <v>#N/A</v>
      </c>
      <c r="DG60" s="16" t="str">
        <f t="array" ref="DG60">SUM(SUMIFS(INDIRECT($A$5),OtrosR!$C$3:$C65,$A60,OtrosR!$B$3:$B65,DG$1))</f>
        <v>#N/A</v>
      </c>
      <c r="DH60" s="17" t="str">
        <f t="array" ref="DH60">SUM(SUMIFS(INDIRECT($A$5),OtrosR!$C$3:$C65,$A60,OtrosR!$B$3:$B65,DH$1))</f>
        <v>#N/A</v>
      </c>
      <c r="DI60" s="16" t="str">
        <f t="array" ref="DI60">SUM(SUMIFS(INDIRECT($A$5),OtrosR!$C$3:$C65,$A60,OtrosR!$B$3:$B65,DI$1))</f>
        <v>#N/A</v>
      </c>
      <c r="DJ60" s="17" t="str">
        <f t="array" ref="DJ60">SUM(SUMIFS(INDIRECT($A$5),OtrosR!$C$3:$C65,$A60,OtrosR!$B$3:$B65,DJ$1))</f>
        <v>#N/A</v>
      </c>
      <c r="DK60" s="16" t="str">
        <f t="array" ref="DK60">SUM(SUMIFS(INDIRECT($A$5),OtrosR!$C$3:$C65,$A60,OtrosR!$B$3:$B65,DK$1))</f>
        <v>#N/A</v>
      </c>
      <c r="DL60" s="17" t="str">
        <f t="array" ref="DL60">SUM(SUMIFS(INDIRECT($A$5),OtrosR!$C$3:$C65,$A60,OtrosR!$B$3:$B65,DL$1))</f>
        <v>#N/A</v>
      </c>
      <c r="DM60" s="16" t="str">
        <f t="array" ref="DM60">SUM(SUMIFS(INDIRECT($A$5),OtrosR!$C$3:$C65,$A60,OtrosR!$B$3:$B65,DM$1))</f>
        <v>#N/A</v>
      </c>
      <c r="DN60" s="17" t="str">
        <f t="array" ref="DN60">SUM(SUMIFS(INDIRECT($A$5),OtrosR!$C$3:$C65,$A60,OtrosR!$B$3:$B65,DN$1))</f>
        <v>#N/A</v>
      </c>
      <c r="DO60" s="16" t="str">
        <f t="array" ref="DO60">SUM(SUMIFS(INDIRECT($A$5),OtrosR!$C$3:$C65,$A60,OtrosR!$B$3:$B65,DO$1))</f>
        <v>#N/A</v>
      </c>
      <c r="DP60" s="17" t="str">
        <f t="array" ref="DP60">SUM(SUMIFS(INDIRECT($A$5),OtrosR!$C$3:$C65,$A60,OtrosR!$B$3:$B65,DP$1))</f>
        <v>#N/A</v>
      </c>
      <c r="DQ60" s="16" t="str">
        <f t="array" ref="DQ60">SUM(SUMIFS(INDIRECT($A$5),OtrosR!$C$3:$C65,$A60,OtrosR!$B$3:$B65,DQ$1))</f>
        <v>#N/A</v>
      </c>
      <c r="DR60" s="17" t="str">
        <f t="array" ref="DR60">SUM(SUMIFS(INDIRECT($A$5),OtrosR!$C$3:$C65,$A60,OtrosR!$B$3:$B65,DR$1))</f>
        <v>#N/A</v>
      </c>
      <c r="DS60" s="16" t="str">
        <f t="array" ref="DS60">SUM(SUMIFS(INDIRECT($A$5),OtrosR!$C$3:$C65,$A60,OtrosR!$B$3:$B65,DS$1))</f>
        <v>#N/A</v>
      </c>
      <c r="DT60" s="17" t="str">
        <f t="array" ref="DT60">SUM(SUMIFS(INDIRECT($A$5),OtrosR!$C$3:$C65,$A60,OtrosR!$B$3:$B65,DT$1))</f>
        <v>#N/A</v>
      </c>
      <c r="DU60" s="16" t="str">
        <f t="array" ref="DU60">SUM(SUMIFS(INDIRECT($A$5),OtrosR!$C$3:$C65,$A60,OtrosR!$B$3:$B65,DU$1))</f>
        <v>#N/A</v>
      </c>
      <c r="DV60" s="17" t="str">
        <f t="array" ref="DV60">SUM(SUMIFS(INDIRECT($A$5),OtrosR!$C$3:$C65,$A60,OtrosR!$B$3:$B65,DV$1))</f>
        <v>#N/A</v>
      </c>
      <c r="DW60" s="16" t="str">
        <f t="array" ref="DW60">SUM(SUMIFS(INDIRECT($A$5),OtrosR!$C$3:$C65,$A60,OtrosR!$B$3:$B65,DW$1))</f>
        <v>#N/A</v>
      </c>
      <c r="DX60" s="17" t="str">
        <f t="array" ref="DX60">SUM(SUMIFS(INDIRECT($A$5),OtrosR!$C$3:$C65,$A60,OtrosR!$B$3:$B65,DX$1))</f>
        <v>#N/A</v>
      </c>
      <c r="DY60" s="16" t="str">
        <f t="array" ref="DY60">SUM(SUMIFS(INDIRECT($A$5),OtrosR!$C$3:$C65,$A60,OtrosR!$B$3:$B65,DY$1))</f>
        <v>#N/A</v>
      </c>
      <c r="DZ60" s="17" t="str">
        <f t="array" ref="DZ60">SUM(SUMIFS(INDIRECT($A$5),OtrosR!$C$3:$C65,$A60,OtrosR!$B$3:$B65,DZ$1))</f>
        <v>#N/A</v>
      </c>
      <c r="EA60" s="16" t="str">
        <f t="array" ref="EA60">SUM(SUMIFS(INDIRECT($A$5),OtrosR!$C$3:$C65,$A60,OtrosR!$B$3:$B65,EA$1))</f>
        <v>#N/A</v>
      </c>
      <c r="EB60" s="17" t="str">
        <f t="array" ref="EB60">SUM(SUMIFS(INDIRECT($A$5),OtrosR!$C$3:$C65,$A60,OtrosR!$B$3:$B65,EB$1))</f>
        <v>#N/A</v>
      </c>
      <c r="EC60" s="16" t="str">
        <f t="array" ref="EC60">SUM(SUMIFS(INDIRECT($A$5),OtrosR!$C$3:$C65,$A60,OtrosR!$B$3:$B65,EC$1))</f>
        <v>#N/A</v>
      </c>
      <c r="ED60" s="17" t="str">
        <f t="array" ref="ED60">SUM(SUMIFS(INDIRECT($A$5),OtrosR!$C$3:$C65,$A60,OtrosR!$B$3:$B65,ED$1))</f>
        <v>#N/A</v>
      </c>
      <c r="EE60" s="16" t="str">
        <f t="array" ref="EE60">SUM(SUMIFS(INDIRECT($A$5),OtrosR!$C$3:$C65,$A60,OtrosR!$B$3:$B65,EE$1))</f>
        <v>#N/A</v>
      </c>
      <c r="EF60" s="17" t="str">
        <f t="array" ref="EF60">SUM(SUMIFS(INDIRECT($A$5),OtrosR!$C$3:$C65,$A60,OtrosR!$B$3:$B65,EF$1))</f>
        <v>#N/A</v>
      </c>
      <c r="EG60" s="16" t="str">
        <f t="array" ref="EG60">SUM(SUMIFS(INDIRECT($A$5),OtrosR!$C$3:$C65,$A60,OtrosR!$B$3:$B65,EG$1))</f>
        <v>#N/A</v>
      </c>
      <c r="EH60" s="17" t="str">
        <f t="array" ref="EH60">SUM(SUMIFS(INDIRECT($A$5),OtrosR!$C$3:$C65,$A60,OtrosR!$B$3:$B65,EH$1))</f>
        <v>#N/A</v>
      </c>
      <c r="EI60" s="16" t="str">
        <f t="array" ref="EI60">SUM(SUMIFS(INDIRECT($A$5),OtrosR!$C$3:$C65,$A60,OtrosR!$B$3:$B65,EI$1))</f>
        <v>#N/A</v>
      </c>
      <c r="EJ60" s="17" t="str">
        <f t="array" ref="EJ60">SUM(SUMIFS(INDIRECT($A$5),OtrosR!$C$3:$C65,$A60,OtrosR!$B$3:$B65,EJ$1))</f>
        <v>#N/A</v>
      </c>
      <c r="EK60" s="16" t="str">
        <f t="array" ref="EK60">SUM(SUMIFS(INDIRECT($A$5),OtrosR!$C$3:$C65,$A60,OtrosR!$B$3:$B65,EK$1))</f>
        <v>#N/A</v>
      </c>
      <c r="EL60" s="17" t="str">
        <f t="array" ref="EL60">SUM(SUMIFS(INDIRECT($A$5),OtrosR!$C$3:$C65,$A60,OtrosR!$B$3:$B65,EL$1))</f>
        <v>#N/A</v>
      </c>
      <c r="EM60" s="16" t="str">
        <f t="array" ref="EM60">SUM(SUMIFS(INDIRECT($A$5),OtrosR!$C$3:$C65,$A60,OtrosR!$B$3:$B65,EM$1))</f>
        <v>#N/A</v>
      </c>
      <c r="EN60" s="17" t="str">
        <f t="array" ref="EN60">SUM(SUMIFS(INDIRECT($A$5),OtrosR!$C$3:$C65,$A60,OtrosR!$B$3:$B65,EN$1))</f>
        <v>#N/A</v>
      </c>
      <c r="EO60" s="16" t="str">
        <f t="array" ref="EO60">SUM(SUMIFS(INDIRECT($A$5),OtrosR!$C$3:$C65,$A60,OtrosR!$B$3:$B65,EO$1))</f>
        <v>#N/A</v>
      </c>
      <c r="EP60" s="17" t="str">
        <f t="array" ref="EP60">SUM(SUMIFS(INDIRECT($A$5),OtrosR!$C$3:$C65,$A60,OtrosR!$B$3:$B65,EP$1))</f>
        <v>#N/A</v>
      </c>
    </row>
    <row r="61" ht="15.75" hidden="1" customHeight="1">
      <c r="A61" s="6" t="str">
        <f>Menus!Q7</f>
        <v/>
      </c>
      <c r="B61" s="43" t="str">
        <f t="shared" si="53"/>
        <v>#N/A</v>
      </c>
      <c r="C61" s="56" t="str">
        <f t="array" ref="C61">SUM(SUMIFS(INDIRECT($A$5),OtrosR!$C$3:$C65,$A61,OtrosR!$B$3:$B65,C$1))</f>
        <v>#N/A</v>
      </c>
      <c r="D61" s="55" t="str">
        <f t="array" ref="D61">SUM(SUMIFS(INDIRECT($A$5),OtrosR!$C$3:$C65,$A61,OtrosR!$B$3:$B65,D$1))</f>
        <v>#N/A</v>
      </c>
      <c r="E61" s="16" t="str">
        <f t="array" ref="E61">SUM(SUMIFS(INDIRECT($A$5),OtrosR!$C$3:$C65,$A61,OtrosR!$B$3:$B65,E$1))</f>
        <v>#N/A</v>
      </c>
      <c r="F61" s="17" t="str">
        <f t="array" ref="F61">SUM(SUMIFS(INDIRECT($A$5),OtrosR!$C$3:$C65,$A61,OtrosR!$B$3:$B65,F$1))</f>
        <v>#N/A</v>
      </c>
      <c r="G61" s="16" t="str">
        <f t="array" ref="G61">SUM(SUMIFS(INDIRECT($A$5),OtrosR!$C$3:$C65,$A61,OtrosR!$B$3:$B65,G$1))</f>
        <v>#N/A</v>
      </c>
      <c r="H61" s="17" t="str">
        <f t="array" ref="H61">SUM(SUMIFS(INDIRECT($A$5),OtrosR!$C$3:$C65,$A61,OtrosR!$B$3:$B65,H$1))</f>
        <v>#N/A</v>
      </c>
      <c r="I61" s="16" t="str">
        <f t="array" ref="I61">SUM(SUMIFS(INDIRECT($A$5),OtrosR!$C$3:$C65,$A61,OtrosR!$B$3:$B65,I$1))</f>
        <v>#N/A</v>
      </c>
      <c r="J61" s="17" t="str">
        <f t="array" ref="J61">SUM(SUMIFS(INDIRECT($A$5),OtrosR!$C$3:$C65,$A61,OtrosR!$B$3:$B65,J$1))</f>
        <v>#N/A</v>
      </c>
      <c r="K61" s="16" t="str">
        <f t="array" ref="K61">SUM(SUMIFS(INDIRECT($A$5),OtrosR!$C$3:$C65,$A61,OtrosR!$B$3:$B65,K$1))</f>
        <v>#N/A</v>
      </c>
      <c r="L61" s="17" t="str">
        <f t="array" ref="L61">SUM(SUMIFS(INDIRECT($A$5),OtrosR!$C$3:$C65,$A61,OtrosR!$B$3:$B65,L$1))</f>
        <v>#N/A</v>
      </c>
      <c r="M61" s="16" t="str">
        <f t="array" ref="M61">SUM(SUMIFS(INDIRECT($A$5),OtrosR!$C$3:$C65,$A61,OtrosR!$B$3:$B65,M$1))</f>
        <v>#N/A</v>
      </c>
      <c r="N61" s="17" t="str">
        <f t="array" ref="N61">SUM(SUMIFS(INDIRECT($A$5),OtrosR!$C$3:$C65,$A61,OtrosR!$B$3:$B65,N$1))</f>
        <v>#N/A</v>
      </c>
      <c r="O61" s="16" t="str">
        <f t="array" ref="O61">SUM(SUMIFS(INDIRECT($A$5),OtrosR!$C$3:$C65,$A61,OtrosR!$B$3:$B65,O$1))</f>
        <v>#N/A</v>
      </c>
      <c r="P61" s="17" t="str">
        <f t="array" ref="P61">SUM(SUMIFS(INDIRECT($A$5),OtrosR!$C$3:$C65,$A61,OtrosR!$B$3:$B65,P$1))</f>
        <v>#N/A</v>
      </c>
      <c r="Q61" s="16" t="str">
        <f t="array" ref="Q61">SUM(SUMIFS(INDIRECT($A$5),OtrosR!$C$3:$C65,$A61,OtrosR!$B$3:$B65,Q$1))</f>
        <v>#N/A</v>
      </c>
      <c r="R61" s="17" t="str">
        <f t="array" ref="R61">SUM(SUMIFS(INDIRECT($A$5),OtrosR!$C$3:$C65,$A61,OtrosR!$B$3:$B65,R$1))</f>
        <v>#N/A</v>
      </c>
      <c r="S61" s="16" t="str">
        <f t="array" ref="S61">SUM(SUMIFS(INDIRECT($A$5),OtrosR!$C$3:$C65,$A61,OtrosR!$B$3:$B65,S$1))</f>
        <v>#N/A</v>
      </c>
      <c r="T61" s="17" t="str">
        <f t="array" ref="T61">SUM(SUMIFS(INDIRECT($A$5),OtrosR!$C$3:$C65,$A61,OtrosR!$B$3:$B65,T$1))</f>
        <v>#N/A</v>
      </c>
      <c r="U61" s="16" t="str">
        <f t="array" ref="U61">SUM(SUMIFS(INDIRECT($A$5),OtrosR!$C$3:$C65,$A61,OtrosR!$B$3:$B65,U$1))</f>
        <v>#N/A</v>
      </c>
      <c r="V61" s="17" t="str">
        <f t="array" ref="V61">SUM(SUMIFS(INDIRECT($A$5),OtrosR!$C$3:$C65,$A61,OtrosR!$B$3:$B65,V$1))</f>
        <v>#N/A</v>
      </c>
      <c r="W61" s="16" t="str">
        <f t="array" ref="W61">SUM(SUMIFS(INDIRECT($A$5),OtrosR!$C$3:$C65,$A61,OtrosR!$B$3:$B65,W$1))</f>
        <v>#N/A</v>
      </c>
      <c r="X61" s="17" t="str">
        <f t="array" ref="X61">SUM(SUMIFS(INDIRECT($A$5),OtrosR!$C$3:$C65,$A61,OtrosR!$B$3:$B65,X$1))</f>
        <v>#N/A</v>
      </c>
      <c r="Y61" s="16" t="str">
        <f t="array" ref="Y61">SUM(SUMIFS(INDIRECT($A$5),OtrosR!$C$3:$C65,$A61,OtrosR!$B$3:$B65,Y$1))</f>
        <v>#N/A</v>
      </c>
      <c r="Z61" s="17" t="str">
        <f t="array" ref="Z61">SUM(SUMIFS(INDIRECT($A$5),OtrosR!$C$3:$C65,$A61,OtrosR!$B$3:$B65,Z$1))</f>
        <v>#N/A</v>
      </c>
      <c r="AA61" s="16" t="str">
        <f t="array" ref="AA61">SUM(SUMIFS(INDIRECT($A$5),OtrosR!$C$3:$C65,$A61,OtrosR!$B$3:$B65,AA$1))</f>
        <v>#N/A</v>
      </c>
      <c r="AB61" s="17" t="str">
        <f t="array" ref="AB61">SUM(SUMIFS(INDIRECT($A$5),OtrosR!$C$3:$C65,$A61,OtrosR!$B$3:$B65,AB$1))</f>
        <v>#N/A</v>
      </c>
      <c r="AC61" s="16" t="str">
        <f t="array" ref="AC61">SUM(SUMIFS(INDIRECT($A$5),OtrosR!$C$3:$C65,$A61,OtrosR!$B$3:$B65,AC$1))</f>
        <v>#N/A</v>
      </c>
      <c r="AD61" s="17" t="str">
        <f t="array" ref="AD61">SUM(SUMIFS(INDIRECT($A$5),OtrosR!$C$3:$C65,$A61,OtrosR!$B$3:$B65,AD$1))</f>
        <v>#N/A</v>
      </c>
      <c r="AE61" s="16" t="str">
        <f t="array" ref="AE61">SUM(SUMIFS(INDIRECT($A$5),OtrosR!$C$3:$C65,$A61,OtrosR!$B$3:$B65,AE$1))</f>
        <v>#N/A</v>
      </c>
      <c r="AF61" s="17" t="str">
        <f t="array" ref="AF61">SUM(SUMIFS(INDIRECT($A$5),OtrosR!$C$3:$C65,$A61,OtrosR!$B$3:$B65,AF$1))</f>
        <v>#N/A</v>
      </c>
      <c r="AG61" s="16" t="str">
        <f t="array" ref="AG61">SUM(SUMIFS(INDIRECT($A$5),OtrosR!$C$3:$C65,$A61,OtrosR!$B$3:$B65,AG$1))</f>
        <v>#N/A</v>
      </c>
      <c r="AH61" s="17" t="str">
        <f t="array" ref="AH61">SUM(SUMIFS(INDIRECT($A$5),OtrosR!$C$3:$C65,$A61,OtrosR!$B$3:$B65,AH$1))</f>
        <v>#N/A</v>
      </c>
      <c r="AI61" s="16" t="str">
        <f t="array" ref="AI61">SUM(SUMIFS(INDIRECT($A$5),OtrosR!$C$3:$C65,$A61,OtrosR!$B$3:$B65,AI$1))</f>
        <v>#N/A</v>
      </c>
      <c r="AJ61" s="17" t="str">
        <f t="array" ref="AJ61">SUM(SUMIFS(INDIRECT($A$5),OtrosR!$C$3:$C65,$A61,OtrosR!$B$3:$B65,AJ$1))</f>
        <v>#N/A</v>
      </c>
      <c r="AK61" s="16" t="str">
        <f t="array" ref="AK61">SUM(SUMIFS(INDIRECT($A$5),OtrosR!$C$3:$C65,$A61,OtrosR!$B$3:$B65,AK$1))</f>
        <v>#N/A</v>
      </c>
      <c r="AL61" s="17" t="str">
        <f t="array" ref="AL61">SUM(SUMIFS(INDIRECT($A$5),OtrosR!$C$3:$C65,$A61,OtrosR!$B$3:$B65,AL$1))</f>
        <v>#N/A</v>
      </c>
      <c r="AM61" s="16" t="str">
        <f t="array" ref="AM61">SUM(SUMIFS(INDIRECT($A$5),OtrosR!$C$3:$C65,$A61,OtrosR!$B$3:$B65,AM$1))</f>
        <v>#N/A</v>
      </c>
      <c r="AN61" s="17" t="str">
        <f t="array" ref="AN61">SUM(SUMIFS(INDIRECT($A$5),OtrosR!$C$3:$C65,$A61,OtrosR!$B$3:$B65,AN$1))</f>
        <v>#N/A</v>
      </c>
      <c r="AO61" s="16" t="str">
        <f t="array" ref="AO61">SUM(SUMIFS(INDIRECT($A$5),OtrosR!$C$3:$C65,$A61,OtrosR!$B$3:$B65,AO$1))</f>
        <v>#N/A</v>
      </c>
      <c r="AP61" s="17" t="str">
        <f t="array" ref="AP61">SUM(SUMIFS(INDIRECT($A$5),OtrosR!$C$3:$C65,$A61,OtrosR!$B$3:$B65,AP$1))</f>
        <v>#N/A</v>
      </c>
      <c r="AQ61" s="16" t="str">
        <f t="array" ref="AQ61">SUM(SUMIFS(INDIRECT($A$5),OtrosR!$C$3:$C65,$A61,OtrosR!$B$3:$B65,AQ$1))</f>
        <v>#N/A</v>
      </c>
      <c r="AR61" s="17" t="str">
        <f t="array" ref="AR61">SUM(SUMIFS(INDIRECT($A$5),OtrosR!$C$3:$C65,$A61,OtrosR!$B$3:$B65,AR$1))</f>
        <v>#N/A</v>
      </c>
      <c r="AS61" s="16" t="str">
        <f t="array" ref="AS61">SUM(SUMIFS(INDIRECT($A$5),OtrosR!$C$3:$C65,$A61,OtrosR!$B$3:$B65,AS$1))</f>
        <v>#N/A</v>
      </c>
      <c r="AT61" s="17" t="str">
        <f t="array" ref="AT61">SUM(SUMIFS(INDIRECT($A$5),OtrosR!$C$3:$C65,$A61,OtrosR!$B$3:$B65,AT$1))</f>
        <v>#N/A</v>
      </c>
      <c r="AU61" s="16" t="str">
        <f t="array" ref="AU61">SUM(SUMIFS(INDIRECT($A$5),OtrosR!$C$3:$C65,$A61,OtrosR!$B$3:$B65,AU$1))</f>
        <v>#N/A</v>
      </c>
      <c r="AV61" s="17" t="str">
        <f t="array" ref="AV61">SUM(SUMIFS(INDIRECT($A$5),OtrosR!$C$3:$C65,$A61,OtrosR!$B$3:$B65,AV$1))</f>
        <v>#N/A</v>
      </c>
      <c r="AW61" s="16" t="str">
        <f t="array" ref="AW61">SUM(SUMIFS(INDIRECT($A$5),OtrosR!$C$3:$C65,$A61,OtrosR!$B$3:$B65,AW$1))</f>
        <v>#N/A</v>
      </c>
      <c r="AX61" s="17" t="str">
        <f t="array" ref="AX61">SUM(SUMIFS(INDIRECT($A$5),OtrosR!$C$3:$C65,$A61,OtrosR!$B$3:$B65,AX$1))</f>
        <v>#N/A</v>
      </c>
      <c r="AY61" s="16" t="str">
        <f t="array" ref="AY61">SUM(SUMIFS(INDIRECT($A$5),OtrosR!$C$3:$C65,$A61,OtrosR!$B$3:$B65,AY$1))</f>
        <v>#N/A</v>
      </c>
      <c r="AZ61" s="17" t="str">
        <f t="array" ref="AZ61">SUM(SUMIFS(INDIRECT($A$5),OtrosR!$C$3:$C65,$A61,OtrosR!$B$3:$B65,AZ$1))</f>
        <v>#N/A</v>
      </c>
      <c r="BA61" s="16" t="str">
        <f t="array" ref="BA61">SUM(SUMIFS(INDIRECT($A$5),OtrosR!$C$3:$C65,$A61,OtrosR!$B$3:$B65,BA$1))</f>
        <v>#N/A</v>
      </c>
      <c r="BB61" s="17" t="str">
        <f t="array" ref="BB61">SUM(SUMIFS(INDIRECT($A$5),OtrosR!$C$3:$C65,$A61,OtrosR!$B$3:$B65,BB$1))</f>
        <v>#N/A</v>
      </c>
      <c r="BC61" s="16" t="str">
        <f t="array" ref="BC61">SUM(SUMIFS(INDIRECT($A$5),OtrosR!$C$3:$C65,$A61,OtrosR!$B$3:$B65,BC$1))</f>
        <v>#N/A</v>
      </c>
      <c r="BD61" s="17" t="str">
        <f t="array" ref="BD61">SUM(SUMIFS(INDIRECT($A$5),OtrosR!$C$3:$C65,$A61,OtrosR!$B$3:$B65,BD$1))</f>
        <v>#N/A</v>
      </c>
      <c r="BE61" s="16" t="str">
        <f t="array" ref="BE61">SUM(SUMIFS(INDIRECT($A$5),OtrosR!$C$3:$C65,$A61,OtrosR!$B$3:$B65,BE$1))</f>
        <v>#N/A</v>
      </c>
      <c r="BF61" s="17" t="str">
        <f t="array" ref="BF61">SUM(SUMIFS(INDIRECT($A$5),OtrosR!$C$3:$C65,$A61,OtrosR!$B$3:$B65,BF$1))</f>
        <v>#N/A</v>
      </c>
      <c r="BG61" s="16" t="str">
        <f t="array" ref="BG61">SUM(SUMIFS(INDIRECT($A$5),OtrosR!$C$3:$C65,$A61,OtrosR!$B$3:$B65,BG$1))</f>
        <v>#N/A</v>
      </c>
      <c r="BH61" s="17" t="str">
        <f t="array" ref="BH61">SUM(SUMIFS(INDIRECT($A$5),OtrosR!$C$3:$C65,$A61,OtrosR!$B$3:$B65,BH$1))</f>
        <v>#N/A</v>
      </c>
      <c r="BI61" s="16" t="str">
        <f t="array" ref="BI61">SUM(SUMIFS(INDIRECT($A$5),OtrosR!$C$3:$C65,$A61,OtrosR!$B$3:$B65,BI$1))</f>
        <v>#N/A</v>
      </c>
      <c r="BJ61" s="17" t="str">
        <f t="array" ref="BJ61">SUM(SUMIFS(INDIRECT($A$5),OtrosR!$C$3:$C65,$A61,OtrosR!$B$3:$B65,BJ$1))</f>
        <v>#N/A</v>
      </c>
      <c r="BK61" s="16" t="str">
        <f t="array" ref="BK61">SUM(SUMIFS(INDIRECT($A$5),OtrosR!$C$3:$C65,$A61,OtrosR!$B$3:$B65,BK$1))</f>
        <v>#N/A</v>
      </c>
      <c r="BL61" s="17" t="str">
        <f t="array" ref="BL61">SUM(SUMIFS(INDIRECT($A$5),OtrosR!$C$3:$C65,$A61,OtrosR!$B$3:$B65,BL$1))</f>
        <v>#N/A</v>
      </c>
      <c r="BM61" s="16" t="str">
        <f t="array" ref="BM61">SUM(SUMIFS(INDIRECT($A$5),OtrosR!$C$3:$C65,$A61,OtrosR!$B$3:$B65,BM$1))</f>
        <v>#N/A</v>
      </c>
      <c r="BN61" s="17" t="str">
        <f t="array" ref="BN61">SUM(SUMIFS(INDIRECT($A$5),OtrosR!$C$3:$C65,$A61,OtrosR!$B$3:$B65,BN$1))</f>
        <v>#N/A</v>
      </c>
      <c r="BO61" s="16" t="str">
        <f t="array" ref="BO61">SUM(SUMIFS(INDIRECT($A$5),OtrosR!$C$3:$C65,$A61,OtrosR!$B$3:$B65,BO$1))</f>
        <v>#N/A</v>
      </c>
      <c r="BP61" s="17" t="str">
        <f t="array" ref="BP61">SUM(SUMIFS(INDIRECT($A$5),OtrosR!$C$3:$C65,$A61,OtrosR!$B$3:$B65,BP$1))</f>
        <v>#N/A</v>
      </c>
      <c r="BQ61" s="16" t="str">
        <f t="array" ref="BQ61">SUM(SUMIFS(INDIRECT($A$5),OtrosR!$C$3:$C65,$A61,OtrosR!$B$3:$B65,BQ$1))</f>
        <v>#N/A</v>
      </c>
      <c r="BR61" s="17" t="str">
        <f t="array" ref="BR61">SUM(SUMIFS(INDIRECT($A$5),OtrosR!$C$3:$C65,$A61,OtrosR!$B$3:$B65,BR$1))</f>
        <v>#N/A</v>
      </c>
      <c r="BS61" s="16" t="str">
        <f t="array" ref="BS61">SUM(SUMIFS(INDIRECT($A$5),OtrosR!$C$3:$C65,$A61,OtrosR!$B$3:$B65,BS$1))</f>
        <v>#N/A</v>
      </c>
      <c r="BT61" s="17" t="str">
        <f t="array" ref="BT61">SUM(SUMIFS(INDIRECT($A$5),OtrosR!$C$3:$C65,$A61,OtrosR!$B$3:$B65,BT$1))</f>
        <v>#N/A</v>
      </c>
      <c r="BU61" s="16" t="str">
        <f t="array" ref="BU61">SUM(SUMIFS(INDIRECT($A$5),OtrosR!$C$3:$C65,$A61,OtrosR!$B$3:$B65,BU$1))</f>
        <v>#N/A</v>
      </c>
      <c r="BV61" s="17" t="str">
        <f t="array" ref="BV61">SUM(SUMIFS(INDIRECT($A$5),OtrosR!$C$3:$C65,$A61,OtrosR!$B$3:$B65,BV$1))</f>
        <v>#N/A</v>
      </c>
      <c r="BW61" s="16" t="str">
        <f t="array" ref="BW61">SUM(SUMIFS(INDIRECT($A$5),OtrosR!$C$3:$C65,$A61,OtrosR!$B$3:$B65,BW$1))</f>
        <v>#N/A</v>
      </c>
      <c r="BX61" s="17" t="str">
        <f t="array" ref="BX61">SUM(SUMIFS(INDIRECT($A$5),OtrosR!$C$3:$C65,$A61,OtrosR!$B$3:$B65,BX$1))</f>
        <v>#N/A</v>
      </c>
      <c r="BY61" s="16" t="str">
        <f t="array" ref="BY61">SUM(SUMIFS(INDIRECT($A$5),OtrosR!$C$3:$C65,$A61,OtrosR!$B$3:$B65,BY$1))</f>
        <v>#N/A</v>
      </c>
      <c r="BZ61" s="17" t="str">
        <f t="array" ref="BZ61">SUM(SUMIFS(INDIRECT($A$5),OtrosR!$C$3:$C65,$A61,OtrosR!$B$3:$B65,BZ$1))</f>
        <v>#N/A</v>
      </c>
      <c r="CA61" s="16" t="str">
        <f t="array" ref="CA61">SUM(SUMIFS(INDIRECT($A$5),OtrosR!$C$3:$C65,$A61,OtrosR!$B$3:$B65,CA$1))</f>
        <v>#N/A</v>
      </c>
      <c r="CB61" s="17" t="str">
        <f t="array" ref="CB61">SUM(SUMIFS(INDIRECT($A$5),OtrosR!$C$3:$C65,$A61,OtrosR!$B$3:$B65,CB$1))</f>
        <v>#N/A</v>
      </c>
      <c r="CC61" s="16" t="str">
        <f t="array" ref="CC61">SUM(SUMIFS(INDIRECT($A$5),OtrosR!$C$3:$C65,$A61,OtrosR!$B$3:$B65,CC$1))</f>
        <v>#N/A</v>
      </c>
      <c r="CD61" s="17" t="str">
        <f t="array" ref="CD61">SUM(SUMIFS(INDIRECT($A$5),OtrosR!$C$3:$C65,$A61,OtrosR!$B$3:$B65,CD$1))</f>
        <v>#N/A</v>
      </c>
      <c r="CE61" s="16" t="str">
        <f t="array" ref="CE61">SUM(SUMIFS(INDIRECT($A$5),OtrosR!$C$3:$C65,$A61,OtrosR!$B$3:$B65,CE$1))</f>
        <v>#N/A</v>
      </c>
      <c r="CF61" s="17" t="str">
        <f t="array" ref="CF61">SUM(SUMIFS(INDIRECT($A$5),OtrosR!$C$3:$C65,$A61,OtrosR!$B$3:$B65,CF$1))</f>
        <v>#N/A</v>
      </c>
      <c r="CG61" s="16" t="str">
        <f t="array" ref="CG61">SUM(SUMIFS(INDIRECT($A$5),OtrosR!$C$3:$C65,$A61,OtrosR!$B$3:$B65,CG$1))</f>
        <v>#N/A</v>
      </c>
      <c r="CH61" s="17" t="str">
        <f t="array" ref="CH61">SUM(SUMIFS(INDIRECT($A$5),OtrosR!$C$3:$C65,$A61,OtrosR!$B$3:$B65,CH$1))</f>
        <v>#N/A</v>
      </c>
      <c r="CI61" s="16" t="str">
        <f t="array" ref="CI61">SUM(SUMIFS(INDIRECT($A$5),OtrosR!$C$3:$C65,$A61,OtrosR!$B$3:$B65,CI$1))</f>
        <v>#N/A</v>
      </c>
      <c r="CJ61" s="17" t="str">
        <f t="array" ref="CJ61">SUM(SUMIFS(INDIRECT($A$5),OtrosR!$C$3:$C65,$A61,OtrosR!$B$3:$B65,CJ$1))</f>
        <v>#N/A</v>
      </c>
      <c r="CK61" s="16" t="str">
        <f t="array" ref="CK61">SUM(SUMIFS(INDIRECT($A$5),OtrosR!$C$3:$C65,$A61,OtrosR!$B$3:$B65,CK$1))</f>
        <v>#N/A</v>
      </c>
      <c r="CL61" s="17" t="str">
        <f t="array" ref="CL61">SUM(SUMIFS(INDIRECT($A$5),OtrosR!$C$3:$C65,$A61,OtrosR!$B$3:$B65,CL$1))</f>
        <v>#N/A</v>
      </c>
      <c r="CM61" s="16" t="str">
        <f t="array" ref="CM61">SUM(SUMIFS(INDIRECT($A$5),OtrosR!$C$3:$C65,$A61,OtrosR!$B$3:$B65,CM$1))</f>
        <v>#N/A</v>
      </c>
      <c r="CN61" s="17" t="str">
        <f t="array" ref="CN61">SUM(SUMIFS(INDIRECT($A$5),OtrosR!$C$3:$C65,$A61,OtrosR!$B$3:$B65,CN$1))</f>
        <v>#N/A</v>
      </c>
      <c r="CO61" s="16" t="str">
        <f t="array" ref="CO61">SUM(SUMIFS(INDIRECT($A$5),OtrosR!$C$3:$C65,$A61,OtrosR!$B$3:$B65,CO$1))</f>
        <v>#N/A</v>
      </c>
      <c r="CP61" s="17" t="str">
        <f t="array" ref="CP61">SUM(SUMIFS(INDIRECT($A$5),OtrosR!$C$3:$C65,$A61,OtrosR!$B$3:$B65,CP$1))</f>
        <v>#N/A</v>
      </c>
      <c r="CQ61" s="16" t="str">
        <f t="array" ref="CQ61">SUM(SUMIFS(INDIRECT($A$5),OtrosR!$C$3:$C65,$A61,OtrosR!$B$3:$B65,CQ$1))</f>
        <v>#N/A</v>
      </c>
      <c r="CR61" s="17" t="str">
        <f t="array" ref="CR61">SUM(SUMIFS(INDIRECT($A$5),OtrosR!$C$3:$C65,$A61,OtrosR!$B$3:$B65,CR$1))</f>
        <v>#N/A</v>
      </c>
      <c r="CS61" s="16" t="str">
        <f t="array" ref="CS61">SUM(SUMIFS(INDIRECT($A$5),OtrosR!$C$3:$C65,$A61,OtrosR!$B$3:$B65,CS$1))</f>
        <v>#N/A</v>
      </c>
      <c r="CT61" s="17" t="str">
        <f t="array" ref="CT61">SUM(SUMIFS(INDIRECT($A$5),OtrosR!$C$3:$C65,$A61,OtrosR!$B$3:$B65,CT$1))</f>
        <v>#N/A</v>
      </c>
      <c r="CU61" s="16" t="str">
        <f t="array" ref="CU61">SUM(SUMIFS(INDIRECT($A$5),OtrosR!$C$3:$C65,$A61,OtrosR!$B$3:$B65,CU$1))</f>
        <v>#N/A</v>
      </c>
      <c r="CV61" s="17" t="str">
        <f t="array" ref="CV61">SUM(SUMIFS(INDIRECT($A$5),OtrosR!$C$3:$C65,$A61,OtrosR!$B$3:$B65,CV$1))</f>
        <v>#N/A</v>
      </c>
      <c r="CW61" s="16" t="str">
        <f t="array" ref="CW61">SUM(SUMIFS(INDIRECT($A$5),OtrosR!$C$3:$C65,$A61,OtrosR!$B$3:$B65,CW$1))</f>
        <v>#N/A</v>
      </c>
      <c r="CX61" s="17" t="str">
        <f t="array" ref="CX61">SUM(SUMIFS(INDIRECT($A$5),OtrosR!$C$3:$C65,$A61,OtrosR!$B$3:$B65,CX$1))</f>
        <v>#N/A</v>
      </c>
      <c r="CY61" s="16" t="str">
        <f t="array" ref="CY61">SUM(SUMIFS(INDIRECT($A$5),OtrosR!$C$3:$C65,$A61,OtrosR!$B$3:$B65,CY$1))</f>
        <v>#N/A</v>
      </c>
      <c r="CZ61" s="17" t="str">
        <f t="array" ref="CZ61">SUM(SUMIFS(INDIRECT($A$5),OtrosR!$C$3:$C65,$A61,OtrosR!$B$3:$B65,CZ$1))</f>
        <v>#N/A</v>
      </c>
      <c r="DA61" s="16" t="str">
        <f t="array" ref="DA61">SUM(SUMIFS(INDIRECT($A$5),OtrosR!$C$3:$C65,$A61,OtrosR!$B$3:$B65,DA$1))</f>
        <v>#N/A</v>
      </c>
      <c r="DB61" s="17" t="str">
        <f t="array" ref="DB61">SUM(SUMIFS(INDIRECT($A$5),OtrosR!$C$3:$C65,$A61,OtrosR!$B$3:$B65,DB$1))</f>
        <v>#N/A</v>
      </c>
      <c r="DC61" s="16" t="str">
        <f t="array" ref="DC61">SUM(SUMIFS(INDIRECT($A$5),OtrosR!$C$3:$C65,$A61,OtrosR!$B$3:$B65,DC$1))</f>
        <v>#N/A</v>
      </c>
      <c r="DD61" s="17" t="str">
        <f t="array" ref="DD61">SUM(SUMIFS(INDIRECT($A$5),OtrosR!$C$3:$C65,$A61,OtrosR!$B$3:$B65,DD$1))</f>
        <v>#N/A</v>
      </c>
      <c r="DE61" s="16" t="str">
        <f t="array" ref="DE61">SUM(SUMIFS(INDIRECT($A$5),OtrosR!$C$3:$C65,$A61,OtrosR!$B$3:$B65,DE$1))</f>
        <v>#N/A</v>
      </c>
      <c r="DF61" s="17" t="str">
        <f t="array" ref="DF61">SUM(SUMIFS(INDIRECT($A$5),OtrosR!$C$3:$C65,$A61,OtrosR!$B$3:$B65,DF$1))</f>
        <v>#N/A</v>
      </c>
      <c r="DG61" s="16" t="str">
        <f t="array" ref="DG61">SUM(SUMIFS(INDIRECT($A$5),OtrosR!$C$3:$C65,$A61,OtrosR!$B$3:$B65,DG$1))</f>
        <v>#N/A</v>
      </c>
      <c r="DH61" s="17" t="str">
        <f t="array" ref="DH61">SUM(SUMIFS(INDIRECT($A$5),OtrosR!$C$3:$C65,$A61,OtrosR!$B$3:$B65,DH$1))</f>
        <v>#N/A</v>
      </c>
      <c r="DI61" s="16" t="str">
        <f t="array" ref="DI61">SUM(SUMIFS(INDIRECT($A$5),OtrosR!$C$3:$C65,$A61,OtrosR!$B$3:$B65,DI$1))</f>
        <v>#N/A</v>
      </c>
      <c r="DJ61" s="17" t="str">
        <f t="array" ref="DJ61">SUM(SUMIFS(INDIRECT($A$5),OtrosR!$C$3:$C65,$A61,OtrosR!$B$3:$B65,DJ$1))</f>
        <v>#N/A</v>
      </c>
      <c r="DK61" s="16" t="str">
        <f t="array" ref="DK61">SUM(SUMIFS(INDIRECT($A$5),OtrosR!$C$3:$C65,$A61,OtrosR!$B$3:$B65,DK$1))</f>
        <v>#N/A</v>
      </c>
      <c r="DL61" s="17" t="str">
        <f t="array" ref="DL61">SUM(SUMIFS(INDIRECT($A$5),OtrosR!$C$3:$C65,$A61,OtrosR!$B$3:$B65,DL$1))</f>
        <v>#N/A</v>
      </c>
      <c r="DM61" s="16" t="str">
        <f t="array" ref="DM61">SUM(SUMIFS(INDIRECT($A$5),OtrosR!$C$3:$C65,$A61,OtrosR!$B$3:$B65,DM$1))</f>
        <v>#N/A</v>
      </c>
      <c r="DN61" s="17" t="str">
        <f t="array" ref="DN61">SUM(SUMIFS(INDIRECT($A$5),OtrosR!$C$3:$C65,$A61,OtrosR!$B$3:$B65,DN$1))</f>
        <v>#N/A</v>
      </c>
      <c r="DO61" s="16" t="str">
        <f t="array" ref="DO61">SUM(SUMIFS(INDIRECT($A$5),OtrosR!$C$3:$C65,$A61,OtrosR!$B$3:$B65,DO$1))</f>
        <v>#N/A</v>
      </c>
      <c r="DP61" s="17" t="str">
        <f t="array" ref="DP61">SUM(SUMIFS(INDIRECT($A$5),OtrosR!$C$3:$C65,$A61,OtrosR!$B$3:$B65,DP$1))</f>
        <v>#N/A</v>
      </c>
      <c r="DQ61" s="16" t="str">
        <f t="array" ref="DQ61">SUM(SUMIFS(INDIRECT($A$5),OtrosR!$C$3:$C65,$A61,OtrosR!$B$3:$B65,DQ$1))</f>
        <v>#N/A</v>
      </c>
      <c r="DR61" s="17" t="str">
        <f t="array" ref="DR61">SUM(SUMIFS(INDIRECT($A$5),OtrosR!$C$3:$C65,$A61,OtrosR!$B$3:$B65,DR$1))</f>
        <v>#N/A</v>
      </c>
      <c r="DS61" s="16" t="str">
        <f t="array" ref="DS61">SUM(SUMIFS(INDIRECT($A$5),OtrosR!$C$3:$C65,$A61,OtrosR!$B$3:$B65,DS$1))</f>
        <v>#N/A</v>
      </c>
      <c r="DT61" s="17" t="str">
        <f t="array" ref="DT61">SUM(SUMIFS(INDIRECT($A$5),OtrosR!$C$3:$C65,$A61,OtrosR!$B$3:$B65,DT$1))</f>
        <v>#N/A</v>
      </c>
      <c r="DU61" s="16" t="str">
        <f t="array" ref="DU61">SUM(SUMIFS(INDIRECT($A$5),OtrosR!$C$3:$C65,$A61,OtrosR!$B$3:$B65,DU$1))</f>
        <v>#N/A</v>
      </c>
      <c r="DV61" s="17" t="str">
        <f t="array" ref="DV61">SUM(SUMIFS(INDIRECT($A$5),OtrosR!$C$3:$C65,$A61,OtrosR!$B$3:$B65,DV$1))</f>
        <v>#N/A</v>
      </c>
      <c r="DW61" s="16" t="str">
        <f t="array" ref="DW61">SUM(SUMIFS(INDIRECT($A$5),OtrosR!$C$3:$C65,$A61,OtrosR!$B$3:$B65,DW$1))</f>
        <v>#N/A</v>
      </c>
      <c r="DX61" s="17" t="str">
        <f t="array" ref="DX61">SUM(SUMIFS(INDIRECT($A$5),OtrosR!$C$3:$C65,$A61,OtrosR!$B$3:$B65,DX$1))</f>
        <v>#N/A</v>
      </c>
      <c r="DY61" s="16" t="str">
        <f t="array" ref="DY61">SUM(SUMIFS(INDIRECT($A$5),OtrosR!$C$3:$C65,$A61,OtrosR!$B$3:$B65,DY$1))</f>
        <v>#N/A</v>
      </c>
      <c r="DZ61" s="17" t="str">
        <f t="array" ref="DZ61">SUM(SUMIFS(INDIRECT($A$5),OtrosR!$C$3:$C65,$A61,OtrosR!$B$3:$B65,DZ$1))</f>
        <v>#N/A</v>
      </c>
      <c r="EA61" s="16" t="str">
        <f t="array" ref="EA61">SUM(SUMIFS(INDIRECT($A$5),OtrosR!$C$3:$C65,$A61,OtrosR!$B$3:$B65,EA$1))</f>
        <v>#N/A</v>
      </c>
      <c r="EB61" s="17" t="str">
        <f t="array" ref="EB61">SUM(SUMIFS(INDIRECT($A$5),OtrosR!$C$3:$C65,$A61,OtrosR!$B$3:$B65,EB$1))</f>
        <v>#N/A</v>
      </c>
      <c r="EC61" s="16" t="str">
        <f t="array" ref="EC61">SUM(SUMIFS(INDIRECT($A$5),OtrosR!$C$3:$C65,$A61,OtrosR!$B$3:$B65,EC$1))</f>
        <v>#N/A</v>
      </c>
      <c r="ED61" s="17" t="str">
        <f t="array" ref="ED61">SUM(SUMIFS(INDIRECT($A$5),OtrosR!$C$3:$C65,$A61,OtrosR!$B$3:$B65,ED$1))</f>
        <v>#N/A</v>
      </c>
      <c r="EE61" s="16" t="str">
        <f t="array" ref="EE61">SUM(SUMIFS(INDIRECT($A$5),OtrosR!$C$3:$C65,$A61,OtrosR!$B$3:$B65,EE$1))</f>
        <v>#N/A</v>
      </c>
      <c r="EF61" s="17" t="str">
        <f t="array" ref="EF61">SUM(SUMIFS(INDIRECT($A$5),OtrosR!$C$3:$C65,$A61,OtrosR!$B$3:$B65,EF$1))</f>
        <v>#N/A</v>
      </c>
      <c r="EG61" s="16" t="str">
        <f t="array" ref="EG61">SUM(SUMIFS(INDIRECT($A$5),OtrosR!$C$3:$C65,$A61,OtrosR!$B$3:$B65,EG$1))</f>
        <v>#N/A</v>
      </c>
      <c r="EH61" s="17" t="str">
        <f t="array" ref="EH61">SUM(SUMIFS(INDIRECT($A$5),OtrosR!$C$3:$C65,$A61,OtrosR!$B$3:$B65,EH$1))</f>
        <v>#N/A</v>
      </c>
      <c r="EI61" s="16" t="str">
        <f t="array" ref="EI61">SUM(SUMIFS(INDIRECT($A$5),OtrosR!$C$3:$C65,$A61,OtrosR!$B$3:$B65,EI$1))</f>
        <v>#N/A</v>
      </c>
      <c r="EJ61" s="17" t="str">
        <f t="array" ref="EJ61">SUM(SUMIFS(INDIRECT($A$5),OtrosR!$C$3:$C65,$A61,OtrosR!$B$3:$B65,EJ$1))</f>
        <v>#N/A</v>
      </c>
      <c r="EK61" s="16" t="str">
        <f t="array" ref="EK61">SUM(SUMIFS(INDIRECT($A$5),OtrosR!$C$3:$C65,$A61,OtrosR!$B$3:$B65,EK$1))</f>
        <v>#N/A</v>
      </c>
      <c r="EL61" s="17" t="str">
        <f t="array" ref="EL61">SUM(SUMIFS(INDIRECT($A$5),OtrosR!$C$3:$C65,$A61,OtrosR!$B$3:$B65,EL$1))</f>
        <v>#N/A</v>
      </c>
      <c r="EM61" s="16" t="str">
        <f t="array" ref="EM61">SUM(SUMIFS(INDIRECT($A$5),OtrosR!$C$3:$C65,$A61,OtrosR!$B$3:$B65,EM$1))</f>
        <v>#N/A</v>
      </c>
      <c r="EN61" s="17" t="str">
        <f t="array" ref="EN61">SUM(SUMIFS(INDIRECT($A$5),OtrosR!$C$3:$C65,$A61,OtrosR!$B$3:$B65,EN$1))</f>
        <v>#N/A</v>
      </c>
      <c r="EO61" s="16" t="str">
        <f t="array" ref="EO61">SUM(SUMIFS(INDIRECT($A$5),OtrosR!$C$3:$C65,$A61,OtrosR!$B$3:$B65,EO$1))</f>
        <v>#N/A</v>
      </c>
      <c r="EP61" s="17" t="str">
        <f t="array" ref="EP61">SUM(SUMIFS(INDIRECT($A$5),OtrosR!$C$3:$C65,$A61,OtrosR!$B$3:$B65,EP$1))</f>
        <v>#N/A</v>
      </c>
    </row>
    <row r="62" ht="15.75" hidden="1" customHeight="1">
      <c r="A62" s="6" t="str">
        <f>Menus!Q8</f>
        <v/>
      </c>
      <c r="B62" s="43" t="str">
        <f t="shared" si="53"/>
        <v>#N/A</v>
      </c>
      <c r="C62" s="56" t="str">
        <f t="array" ref="C62">SUM(SUMIFS(INDIRECT($A$5),OtrosR!$C$3:$C65,$A62,OtrosR!$B$3:$B65,C$1))</f>
        <v>#N/A</v>
      </c>
      <c r="D62" s="55" t="str">
        <f t="array" ref="D62">SUM(SUMIFS(INDIRECT($A$5),OtrosR!$C$3:$C65,$A62,OtrosR!$B$3:$B65,D$1))</f>
        <v>#N/A</v>
      </c>
      <c r="E62" s="16" t="str">
        <f t="array" ref="E62">SUM(SUMIFS(INDIRECT($A$5),OtrosR!$C$3:$C65,$A62,OtrosR!$B$3:$B65,E$1))</f>
        <v>#N/A</v>
      </c>
      <c r="F62" s="17" t="str">
        <f t="array" ref="F62">SUM(SUMIFS(INDIRECT($A$5),OtrosR!$C$3:$C65,$A62,OtrosR!$B$3:$B65,F$1))</f>
        <v>#N/A</v>
      </c>
      <c r="G62" s="16" t="str">
        <f t="array" ref="G62">SUM(SUMIFS(INDIRECT($A$5),OtrosR!$C$3:$C65,$A62,OtrosR!$B$3:$B65,G$1))</f>
        <v>#N/A</v>
      </c>
      <c r="H62" s="17" t="str">
        <f t="array" ref="H62">SUM(SUMIFS(INDIRECT($A$5),OtrosR!$C$3:$C65,$A62,OtrosR!$B$3:$B65,H$1))</f>
        <v>#N/A</v>
      </c>
      <c r="I62" s="16" t="str">
        <f t="array" ref="I62">SUM(SUMIFS(INDIRECT($A$5),OtrosR!$C$3:$C65,$A62,OtrosR!$B$3:$B65,I$1))</f>
        <v>#N/A</v>
      </c>
      <c r="J62" s="17" t="str">
        <f t="array" ref="J62">SUM(SUMIFS(INDIRECT($A$5),OtrosR!$C$3:$C65,$A62,OtrosR!$B$3:$B65,J$1))</f>
        <v>#N/A</v>
      </c>
      <c r="K62" s="16" t="str">
        <f t="array" ref="K62">SUM(SUMIFS(INDIRECT($A$5),OtrosR!$C$3:$C65,$A62,OtrosR!$B$3:$B65,K$1))</f>
        <v>#N/A</v>
      </c>
      <c r="L62" s="17" t="str">
        <f t="array" ref="L62">SUM(SUMIFS(INDIRECT($A$5),OtrosR!$C$3:$C65,$A62,OtrosR!$B$3:$B65,L$1))</f>
        <v>#N/A</v>
      </c>
      <c r="M62" s="16" t="str">
        <f t="array" ref="M62">SUM(SUMIFS(INDIRECT($A$5),OtrosR!$C$3:$C65,$A62,OtrosR!$B$3:$B65,M$1))</f>
        <v>#N/A</v>
      </c>
      <c r="N62" s="17" t="str">
        <f t="array" ref="N62">SUM(SUMIFS(INDIRECT($A$5),OtrosR!$C$3:$C65,$A62,OtrosR!$B$3:$B65,N$1))</f>
        <v>#N/A</v>
      </c>
      <c r="O62" s="16" t="str">
        <f t="array" ref="O62">SUM(SUMIFS(INDIRECT($A$5),OtrosR!$C$3:$C65,$A62,OtrosR!$B$3:$B65,O$1))</f>
        <v>#N/A</v>
      </c>
      <c r="P62" s="17" t="str">
        <f t="array" ref="P62">SUM(SUMIFS(INDIRECT($A$5),OtrosR!$C$3:$C65,$A62,OtrosR!$B$3:$B65,P$1))</f>
        <v>#N/A</v>
      </c>
      <c r="Q62" s="16" t="str">
        <f t="array" ref="Q62">SUM(SUMIFS(INDIRECT($A$5),OtrosR!$C$3:$C65,$A62,OtrosR!$B$3:$B65,Q$1))</f>
        <v>#N/A</v>
      </c>
      <c r="R62" s="17" t="str">
        <f t="array" ref="R62">SUM(SUMIFS(INDIRECT($A$5),OtrosR!$C$3:$C65,$A62,OtrosR!$B$3:$B65,R$1))</f>
        <v>#N/A</v>
      </c>
      <c r="S62" s="16" t="str">
        <f t="array" ref="S62">SUM(SUMIFS(INDIRECT($A$5),OtrosR!$C$3:$C65,$A62,OtrosR!$B$3:$B65,S$1))</f>
        <v>#N/A</v>
      </c>
      <c r="T62" s="17" t="str">
        <f t="array" ref="T62">SUM(SUMIFS(INDIRECT($A$5),OtrosR!$C$3:$C65,$A62,OtrosR!$B$3:$B65,T$1))</f>
        <v>#N/A</v>
      </c>
      <c r="U62" s="16" t="str">
        <f t="array" ref="U62">SUM(SUMIFS(INDIRECT($A$5),OtrosR!$C$3:$C65,$A62,OtrosR!$B$3:$B65,U$1))</f>
        <v>#N/A</v>
      </c>
      <c r="V62" s="17" t="str">
        <f t="array" ref="V62">SUM(SUMIFS(INDIRECT($A$5),OtrosR!$C$3:$C65,$A62,OtrosR!$B$3:$B65,V$1))</f>
        <v>#N/A</v>
      </c>
      <c r="W62" s="16" t="str">
        <f t="array" ref="W62">SUM(SUMIFS(INDIRECT($A$5),OtrosR!$C$3:$C65,$A62,OtrosR!$B$3:$B65,W$1))</f>
        <v>#N/A</v>
      </c>
      <c r="X62" s="17" t="str">
        <f t="array" ref="X62">SUM(SUMIFS(INDIRECT($A$5),OtrosR!$C$3:$C65,$A62,OtrosR!$B$3:$B65,X$1))</f>
        <v>#N/A</v>
      </c>
      <c r="Y62" s="16" t="str">
        <f t="array" ref="Y62">SUM(SUMIFS(INDIRECT($A$5),OtrosR!$C$3:$C65,$A62,OtrosR!$B$3:$B65,Y$1))</f>
        <v>#N/A</v>
      </c>
      <c r="Z62" s="17" t="str">
        <f t="array" ref="Z62">SUM(SUMIFS(INDIRECT($A$5),OtrosR!$C$3:$C65,$A62,OtrosR!$B$3:$B65,Z$1))</f>
        <v>#N/A</v>
      </c>
      <c r="AA62" s="16" t="str">
        <f t="array" ref="AA62">SUM(SUMIFS(INDIRECT($A$5),OtrosR!$C$3:$C65,$A62,OtrosR!$B$3:$B65,AA$1))</f>
        <v>#N/A</v>
      </c>
      <c r="AB62" s="17" t="str">
        <f t="array" ref="AB62">SUM(SUMIFS(INDIRECT($A$5),OtrosR!$C$3:$C65,$A62,OtrosR!$B$3:$B65,AB$1))</f>
        <v>#N/A</v>
      </c>
      <c r="AC62" s="16" t="str">
        <f t="array" ref="AC62">SUM(SUMIFS(INDIRECT($A$5),OtrosR!$C$3:$C65,$A62,OtrosR!$B$3:$B65,AC$1))</f>
        <v>#N/A</v>
      </c>
      <c r="AD62" s="17" t="str">
        <f t="array" ref="AD62">SUM(SUMIFS(INDIRECT($A$5),OtrosR!$C$3:$C65,$A62,OtrosR!$B$3:$B65,AD$1))</f>
        <v>#N/A</v>
      </c>
      <c r="AE62" s="16" t="str">
        <f t="array" ref="AE62">SUM(SUMIFS(INDIRECT($A$5),OtrosR!$C$3:$C65,$A62,OtrosR!$B$3:$B65,AE$1))</f>
        <v>#N/A</v>
      </c>
      <c r="AF62" s="17" t="str">
        <f t="array" ref="AF62">SUM(SUMIFS(INDIRECT($A$5),OtrosR!$C$3:$C65,$A62,OtrosR!$B$3:$B65,AF$1))</f>
        <v>#N/A</v>
      </c>
      <c r="AG62" s="16" t="str">
        <f t="array" ref="AG62">SUM(SUMIFS(INDIRECT($A$5),OtrosR!$C$3:$C65,$A62,OtrosR!$B$3:$B65,AG$1))</f>
        <v>#N/A</v>
      </c>
      <c r="AH62" s="17" t="str">
        <f t="array" ref="AH62">SUM(SUMIFS(INDIRECT($A$5),OtrosR!$C$3:$C65,$A62,OtrosR!$B$3:$B65,AH$1))</f>
        <v>#N/A</v>
      </c>
      <c r="AI62" s="16" t="str">
        <f t="array" ref="AI62">SUM(SUMIFS(INDIRECT($A$5),OtrosR!$C$3:$C65,$A62,OtrosR!$B$3:$B65,AI$1))</f>
        <v>#N/A</v>
      </c>
      <c r="AJ62" s="17" t="str">
        <f t="array" ref="AJ62">SUM(SUMIFS(INDIRECT($A$5),OtrosR!$C$3:$C65,$A62,OtrosR!$B$3:$B65,AJ$1))</f>
        <v>#N/A</v>
      </c>
      <c r="AK62" s="16" t="str">
        <f t="array" ref="AK62">SUM(SUMIFS(INDIRECT($A$5),OtrosR!$C$3:$C65,$A62,OtrosR!$B$3:$B65,AK$1))</f>
        <v>#N/A</v>
      </c>
      <c r="AL62" s="17" t="str">
        <f t="array" ref="AL62">SUM(SUMIFS(INDIRECT($A$5),OtrosR!$C$3:$C65,$A62,OtrosR!$B$3:$B65,AL$1))</f>
        <v>#N/A</v>
      </c>
      <c r="AM62" s="16" t="str">
        <f t="array" ref="AM62">SUM(SUMIFS(INDIRECT($A$5),OtrosR!$C$3:$C65,$A62,OtrosR!$B$3:$B65,AM$1))</f>
        <v>#N/A</v>
      </c>
      <c r="AN62" s="17" t="str">
        <f t="array" ref="AN62">SUM(SUMIFS(INDIRECT($A$5),OtrosR!$C$3:$C65,$A62,OtrosR!$B$3:$B65,AN$1))</f>
        <v>#N/A</v>
      </c>
      <c r="AO62" s="16" t="str">
        <f t="array" ref="AO62">SUM(SUMIFS(INDIRECT($A$5),OtrosR!$C$3:$C65,$A62,OtrosR!$B$3:$B65,AO$1))</f>
        <v>#N/A</v>
      </c>
      <c r="AP62" s="17" t="str">
        <f t="array" ref="AP62">SUM(SUMIFS(INDIRECT($A$5),OtrosR!$C$3:$C65,$A62,OtrosR!$B$3:$B65,AP$1))</f>
        <v>#N/A</v>
      </c>
      <c r="AQ62" s="16" t="str">
        <f t="array" ref="AQ62">SUM(SUMIFS(INDIRECT($A$5),OtrosR!$C$3:$C65,$A62,OtrosR!$B$3:$B65,AQ$1))</f>
        <v>#N/A</v>
      </c>
      <c r="AR62" s="17" t="str">
        <f t="array" ref="AR62">SUM(SUMIFS(INDIRECT($A$5),OtrosR!$C$3:$C65,$A62,OtrosR!$B$3:$B65,AR$1))</f>
        <v>#N/A</v>
      </c>
      <c r="AS62" s="16" t="str">
        <f t="array" ref="AS62">SUM(SUMIFS(INDIRECT($A$5),OtrosR!$C$3:$C65,$A62,OtrosR!$B$3:$B65,AS$1))</f>
        <v>#N/A</v>
      </c>
      <c r="AT62" s="17" t="str">
        <f t="array" ref="AT62">SUM(SUMIFS(INDIRECT($A$5),OtrosR!$C$3:$C65,$A62,OtrosR!$B$3:$B65,AT$1))</f>
        <v>#N/A</v>
      </c>
      <c r="AU62" s="16" t="str">
        <f t="array" ref="AU62">SUM(SUMIFS(INDIRECT($A$5),OtrosR!$C$3:$C65,$A62,OtrosR!$B$3:$B65,AU$1))</f>
        <v>#N/A</v>
      </c>
      <c r="AV62" s="17" t="str">
        <f t="array" ref="AV62">SUM(SUMIFS(INDIRECT($A$5),OtrosR!$C$3:$C65,$A62,OtrosR!$B$3:$B65,AV$1))</f>
        <v>#N/A</v>
      </c>
      <c r="AW62" s="16" t="str">
        <f t="array" ref="AW62">SUM(SUMIFS(INDIRECT($A$5),OtrosR!$C$3:$C65,$A62,OtrosR!$B$3:$B65,AW$1))</f>
        <v>#N/A</v>
      </c>
      <c r="AX62" s="17" t="str">
        <f t="array" ref="AX62">SUM(SUMIFS(INDIRECT($A$5),OtrosR!$C$3:$C65,$A62,OtrosR!$B$3:$B65,AX$1))</f>
        <v>#N/A</v>
      </c>
      <c r="AY62" s="16" t="str">
        <f t="array" ref="AY62">SUM(SUMIFS(INDIRECT($A$5),OtrosR!$C$3:$C65,$A62,OtrosR!$B$3:$B65,AY$1))</f>
        <v>#N/A</v>
      </c>
      <c r="AZ62" s="17" t="str">
        <f t="array" ref="AZ62">SUM(SUMIFS(INDIRECT($A$5),OtrosR!$C$3:$C65,$A62,OtrosR!$B$3:$B65,AZ$1))</f>
        <v>#N/A</v>
      </c>
      <c r="BA62" s="16" t="str">
        <f t="array" ref="BA62">SUM(SUMIFS(INDIRECT($A$5),OtrosR!$C$3:$C65,$A62,OtrosR!$B$3:$B65,BA$1))</f>
        <v>#N/A</v>
      </c>
      <c r="BB62" s="17" t="str">
        <f t="array" ref="BB62">SUM(SUMIFS(INDIRECT($A$5),OtrosR!$C$3:$C65,$A62,OtrosR!$B$3:$B65,BB$1))</f>
        <v>#N/A</v>
      </c>
      <c r="BC62" s="16" t="str">
        <f t="array" ref="BC62">SUM(SUMIFS(INDIRECT($A$5),OtrosR!$C$3:$C65,$A62,OtrosR!$B$3:$B65,BC$1))</f>
        <v>#N/A</v>
      </c>
      <c r="BD62" s="17" t="str">
        <f t="array" ref="BD62">SUM(SUMIFS(INDIRECT($A$5),OtrosR!$C$3:$C65,$A62,OtrosR!$B$3:$B65,BD$1))</f>
        <v>#N/A</v>
      </c>
      <c r="BE62" s="16" t="str">
        <f t="array" ref="BE62">SUM(SUMIFS(INDIRECT($A$5),OtrosR!$C$3:$C65,$A62,OtrosR!$B$3:$B65,BE$1))</f>
        <v>#N/A</v>
      </c>
      <c r="BF62" s="17" t="str">
        <f t="array" ref="BF62">SUM(SUMIFS(INDIRECT($A$5),OtrosR!$C$3:$C65,$A62,OtrosR!$B$3:$B65,BF$1))</f>
        <v>#N/A</v>
      </c>
      <c r="BG62" s="16" t="str">
        <f t="array" ref="BG62">SUM(SUMIFS(INDIRECT($A$5),OtrosR!$C$3:$C65,$A62,OtrosR!$B$3:$B65,BG$1))</f>
        <v>#N/A</v>
      </c>
      <c r="BH62" s="17" t="str">
        <f t="array" ref="BH62">SUM(SUMIFS(INDIRECT($A$5),OtrosR!$C$3:$C65,$A62,OtrosR!$B$3:$B65,BH$1))</f>
        <v>#N/A</v>
      </c>
      <c r="BI62" s="16" t="str">
        <f t="array" ref="BI62">SUM(SUMIFS(INDIRECT($A$5),OtrosR!$C$3:$C65,$A62,OtrosR!$B$3:$B65,BI$1))</f>
        <v>#N/A</v>
      </c>
      <c r="BJ62" s="17" t="str">
        <f t="array" ref="BJ62">SUM(SUMIFS(INDIRECT($A$5),OtrosR!$C$3:$C65,$A62,OtrosR!$B$3:$B65,BJ$1))</f>
        <v>#N/A</v>
      </c>
      <c r="BK62" s="16" t="str">
        <f t="array" ref="BK62">SUM(SUMIFS(INDIRECT($A$5),OtrosR!$C$3:$C65,$A62,OtrosR!$B$3:$B65,BK$1))</f>
        <v>#N/A</v>
      </c>
      <c r="BL62" s="17" t="str">
        <f t="array" ref="BL62">SUM(SUMIFS(INDIRECT($A$5),OtrosR!$C$3:$C65,$A62,OtrosR!$B$3:$B65,BL$1))</f>
        <v>#N/A</v>
      </c>
      <c r="BM62" s="16" t="str">
        <f t="array" ref="BM62">SUM(SUMIFS(INDIRECT($A$5),OtrosR!$C$3:$C65,$A62,OtrosR!$B$3:$B65,BM$1))</f>
        <v>#N/A</v>
      </c>
      <c r="BN62" s="17" t="str">
        <f t="array" ref="BN62">SUM(SUMIFS(INDIRECT($A$5),OtrosR!$C$3:$C65,$A62,OtrosR!$B$3:$B65,BN$1))</f>
        <v>#N/A</v>
      </c>
      <c r="BO62" s="16" t="str">
        <f t="array" ref="BO62">SUM(SUMIFS(INDIRECT($A$5),OtrosR!$C$3:$C65,$A62,OtrosR!$B$3:$B65,BO$1))</f>
        <v>#N/A</v>
      </c>
      <c r="BP62" s="17" t="str">
        <f t="array" ref="BP62">SUM(SUMIFS(INDIRECT($A$5),OtrosR!$C$3:$C65,$A62,OtrosR!$B$3:$B65,BP$1))</f>
        <v>#N/A</v>
      </c>
      <c r="BQ62" s="16" t="str">
        <f t="array" ref="BQ62">SUM(SUMIFS(INDIRECT($A$5),OtrosR!$C$3:$C65,$A62,OtrosR!$B$3:$B65,BQ$1))</f>
        <v>#N/A</v>
      </c>
      <c r="BR62" s="17" t="str">
        <f t="array" ref="BR62">SUM(SUMIFS(INDIRECT($A$5),OtrosR!$C$3:$C65,$A62,OtrosR!$B$3:$B65,BR$1))</f>
        <v>#N/A</v>
      </c>
      <c r="BS62" s="16" t="str">
        <f t="array" ref="BS62">SUM(SUMIFS(INDIRECT($A$5),OtrosR!$C$3:$C65,$A62,OtrosR!$B$3:$B65,BS$1))</f>
        <v>#N/A</v>
      </c>
      <c r="BT62" s="17" t="str">
        <f t="array" ref="BT62">SUM(SUMIFS(INDIRECT($A$5),OtrosR!$C$3:$C65,$A62,OtrosR!$B$3:$B65,BT$1))</f>
        <v>#N/A</v>
      </c>
      <c r="BU62" s="16" t="str">
        <f t="array" ref="BU62">SUM(SUMIFS(INDIRECT($A$5),OtrosR!$C$3:$C65,$A62,OtrosR!$B$3:$B65,BU$1))</f>
        <v>#N/A</v>
      </c>
      <c r="BV62" s="17" t="str">
        <f t="array" ref="BV62">SUM(SUMIFS(INDIRECT($A$5),OtrosR!$C$3:$C65,$A62,OtrosR!$B$3:$B65,BV$1))</f>
        <v>#N/A</v>
      </c>
      <c r="BW62" s="16" t="str">
        <f t="array" ref="BW62">SUM(SUMIFS(INDIRECT($A$5),OtrosR!$C$3:$C65,$A62,OtrosR!$B$3:$B65,BW$1))</f>
        <v>#N/A</v>
      </c>
      <c r="BX62" s="17" t="str">
        <f t="array" ref="BX62">SUM(SUMIFS(INDIRECT($A$5),OtrosR!$C$3:$C65,$A62,OtrosR!$B$3:$B65,BX$1))</f>
        <v>#N/A</v>
      </c>
      <c r="BY62" s="16" t="str">
        <f t="array" ref="BY62">SUM(SUMIFS(INDIRECT($A$5),OtrosR!$C$3:$C65,$A62,OtrosR!$B$3:$B65,BY$1))</f>
        <v>#N/A</v>
      </c>
      <c r="BZ62" s="17" t="str">
        <f t="array" ref="BZ62">SUM(SUMIFS(INDIRECT($A$5),OtrosR!$C$3:$C65,$A62,OtrosR!$B$3:$B65,BZ$1))</f>
        <v>#N/A</v>
      </c>
      <c r="CA62" s="16" t="str">
        <f t="array" ref="CA62">SUM(SUMIFS(INDIRECT($A$5),OtrosR!$C$3:$C65,$A62,OtrosR!$B$3:$B65,CA$1))</f>
        <v>#N/A</v>
      </c>
      <c r="CB62" s="17" t="str">
        <f t="array" ref="CB62">SUM(SUMIFS(INDIRECT($A$5),OtrosR!$C$3:$C65,$A62,OtrosR!$B$3:$B65,CB$1))</f>
        <v>#N/A</v>
      </c>
      <c r="CC62" s="16" t="str">
        <f t="array" ref="CC62">SUM(SUMIFS(INDIRECT($A$5),OtrosR!$C$3:$C65,$A62,OtrosR!$B$3:$B65,CC$1))</f>
        <v>#N/A</v>
      </c>
      <c r="CD62" s="17" t="str">
        <f t="array" ref="CD62">SUM(SUMIFS(INDIRECT($A$5),OtrosR!$C$3:$C65,$A62,OtrosR!$B$3:$B65,CD$1))</f>
        <v>#N/A</v>
      </c>
      <c r="CE62" s="16" t="str">
        <f t="array" ref="CE62">SUM(SUMIFS(INDIRECT($A$5),OtrosR!$C$3:$C65,$A62,OtrosR!$B$3:$B65,CE$1))</f>
        <v>#N/A</v>
      </c>
      <c r="CF62" s="17" t="str">
        <f t="array" ref="CF62">SUM(SUMIFS(INDIRECT($A$5),OtrosR!$C$3:$C65,$A62,OtrosR!$B$3:$B65,CF$1))</f>
        <v>#N/A</v>
      </c>
      <c r="CG62" s="16" t="str">
        <f t="array" ref="CG62">SUM(SUMIFS(INDIRECT($A$5),OtrosR!$C$3:$C65,$A62,OtrosR!$B$3:$B65,CG$1))</f>
        <v>#N/A</v>
      </c>
      <c r="CH62" s="17" t="str">
        <f t="array" ref="CH62">SUM(SUMIFS(INDIRECT($A$5),OtrosR!$C$3:$C65,$A62,OtrosR!$B$3:$B65,CH$1))</f>
        <v>#N/A</v>
      </c>
      <c r="CI62" s="16" t="str">
        <f t="array" ref="CI62">SUM(SUMIFS(INDIRECT($A$5),OtrosR!$C$3:$C65,$A62,OtrosR!$B$3:$B65,CI$1))</f>
        <v>#N/A</v>
      </c>
      <c r="CJ62" s="17" t="str">
        <f t="array" ref="CJ62">SUM(SUMIFS(INDIRECT($A$5),OtrosR!$C$3:$C65,$A62,OtrosR!$B$3:$B65,CJ$1))</f>
        <v>#N/A</v>
      </c>
      <c r="CK62" s="16" t="str">
        <f t="array" ref="CK62">SUM(SUMIFS(INDIRECT($A$5),OtrosR!$C$3:$C65,$A62,OtrosR!$B$3:$B65,CK$1))</f>
        <v>#N/A</v>
      </c>
      <c r="CL62" s="17" t="str">
        <f t="array" ref="CL62">SUM(SUMIFS(INDIRECT($A$5),OtrosR!$C$3:$C65,$A62,OtrosR!$B$3:$B65,CL$1))</f>
        <v>#N/A</v>
      </c>
      <c r="CM62" s="16" t="str">
        <f t="array" ref="CM62">SUM(SUMIFS(INDIRECT($A$5),OtrosR!$C$3:$C65,$A62,OtrosR!$B$3:$B65,CM$1))</f>
        <v>#N/A</v>
      </c>
      <c r="CN62" s="17" t="str">
        <f t="array" ref="CN62">SUM(SUMIFS(INDIRECT($A$5),OtrosR!$C$3:$C65,$A62,OtrosR!$B$3:$B65,CN$1))</f>
        <v>#N/A</v>
      </c>
      <c r="CO62" s="16" t="str">
        <f t="array" ref="CO62">SUM(SUMIFS(INDIRECT($A$5),OtrosR!$C$3:$C65,$A62,OtrosR!$B$3:$B65,CO$1))</f>
        <v>#N/A</v>
      </c>
      <c r="CP62" s="17" t="str">
        <f t="array" ref="CP62">SUM(SUMIFS(INDIRECT($A$5),OtrosR!$C$3:$C65,$A62,OtrosR!$B$3:$B65,CP$1))</f>
        <v>#N/A</v>
      </c>
      <c r="CQ62" s="16" t="str">
        <f t="array" ref="CQ62">SUM(SUMIFS(INDIRECT($A$5),OtrosR!$C$3:$C65,$A62,OtrosR!$B$3:$B65,CQ$1))</f>
        <v>#N/A</v>
      </c>
      <c r="CR62" s="17" t="str">
        <f t="array" ref="CR62">SUM(SUMIFS(INDIRECT($A$5),OtrosR!$C$3:$C65,$A62,OtrosR!$B$3:$B65,CR$1))</f>
        <v>#N/A</v>
      </c>
      <c r="CS62" s="16" t="str">
        <f t="array" ref="CS62">SUM(SUMIFS(INDIRECT($A$5),OtrosR!$C$3:$C65,$A62,OtrosR!$B$3:$B65,CS$1))</f>
        <v>#N/A</v>
      </c>
      <c r="CT62" s="17" t="str">
        <f t="array" ref="CT62">SUM(SUMIFS(INDIRECT($A$5),OtrosR!$C$3:$C65,$A62,OtrosR!$B$3:$B65,CT$1))</f>
        <v>#N/A</v>
      </c>
      <c r="CU62" s="16" t="str">
        <f t="array" ref="CU62">SUM(SUMIFS(INDIRECT($A$5),OtrosR!$C$3:$C65,$A62,OtrosR!$B$3:$B65,CU$1))</f>
        <v>#N/A</v>
      </c>
      <c r="CV62" s="17" t="str">
        <f t="array" ref="CV62">SUM(SUMIFS(INDIRECT($A$5),OtrosR!$C$3:$C65,$A62,OtrosR!$B$3:$B65,CV$1))</f>
        <v>#N/A</v>
      </c>
      <c r="CW62" s="16" t="str">
        <f t="array" ref="CW62">SUM(SUMIFS(INDIRECT($A$5),OtrosR!$C$3:$C65,$A62,OtrosR!$B$3:$B65,CW$1))</f>
        <v>#N/A</v>
      </c>
      <c r="CX62" s="17" t="str">
        <f t="array" ref="CX62">SUM(SUMIFS(INDIRECT($A$5),OtrosR!$C$3:$C65,$A62,OtrosR!$B$3:$B65,CX$1))</f>
        <v>#N/A</v>
      </c>
      <c r="CY62" s="16" t="str">
        <f t="array" ref="CY62">SUM(SUMIFS(INDIRECT($A$5),OtrosR!$C$3:$C65,$A62,OtrosR!$B$3:$B65,CY$1))</f>
        <v>#N/A</v>
      </c>
      <c r="CZ62" s="17" t="str">
        <f t="array" ref="CZ62">SUM(SUMIFS(INDIRECT($A$5),OtrosR!$C$3:$C65,$A62,OtrosR!$B$3:$B65,CZ$1))</f>
        <v>#N/A</v>
      </c>
      <c r="DA62" s="16" t="str">
        <f t="array" ref="DA62">SUM(SUMIFS(INDIRECT($A$5),OtrosR!$C$3:$C65,$A62,OtrosR!$B$3:$B65,DA$1))</f>
        <v>#N/A</v>
      </c>
      <c r="DB62" s="17" t="str">
        <f t="array" ref="DB62">SUM(SUMIFS(INDIRECT($A$5),OtrosR!$C$3:$C65,$A62,OtrosR!$B$3:$B65,DB$1))</f>
        <v>#N/A</v>
      </c>
      <c r="DC62" s="16" t="str">
        <f t="array" ref="DC62">SUM(SUMIFS(INDIRECT($A$5),OtrosR!$C$3:$C65,$A62,OtrosR!$B$3:$B65,DC$1))</f>
        <v>#N/A</v>
      </c>
      <c r="DD62" s="17" t="str">
        <f t="array" ref="DD62">SUM(SUMIFS(INDIRECT($A$5),OtrosR!$C$3:$C65,$A62,OtrosR!$B$3:$B65,DD$1))</f>
        <v>#N/A</v>
      </c>
      <c r="DE62" s="16" t="str">
        <f t="array" ref="DE62">SUM(SUMIFS(INDIRECT($A$5),OtrosR!$C$3:$C65,$A62,OtrosR!$B$3:$B65,DE$1))</f>
        <v>#N/A</v>
      </c>
      <c r="DF62" s="17" t="str">
        <f t="array" ref="DF62">SUM(SUMIFS(INDIRECT($A$5),OtrosR!$C$3:$C65,$A62,OtrosR!$B$3:$B65,DF$1))</f>
        <v>#N/A</v>
      </c>
      <c r="DG62" s="16" t="str">
        <f t="array" ref="DG62">SUM(SUMIFS(INDIRECT($A$5),OtrosR!$C$3:$C65,$A62,OtrosR!$B$3:$B65,DG$1))</f>
        <v>#N/A</v>
      </c>
      <c r="DH62" s="17" t="str">
        <f t="array" ref="DH62">SUM(SUMIFS(INDIRECT($A$5),OtrosR!$C$3:$C65,$A62,OtrosR!$B$3:$B65,DH$1))</f>
        <v>#N/A</v>
      </c>
      <c r="DI62" s="16" t="str">
        <f t="array" ref="DI62">SUM(SUMIFS(INDIRECT($A$5),OtrosR!$C$3:$C65,$A62,OtrosR!$B$3:$B65,DI$1))</f>
        <v>#N/A</v>
      </c>
      <c r="DJ62" s="17" t="str">
        <f t="array" ref="DJ62">SUM(SUMIFS(INDIRECT($A$5),OtrosR!$C$3:$C65,$A62,OtrosR!$B$3:$B65,DJ$1))</f>
        <v>#N/A</v>
      </c>
      <c r="DK62" s="16" t="str">
        <f t="array" ref="DK62">SUM(SUMIFS(INDIRECT($A$5),OtrosR!$C$3:$C65,$A62,OtrosR!$B$3:$B65,DK$1))</f>
        <v>#N/A</v>
      </c>
      <c r="DL62" s="17" t="str">
        <f t="array" ref="DL62">SUM(SUMIFS(INDIRECT($A$5),OtrosR!$C$3:$C65,$A62,OtrosR!$B$3:$B65,DL$1))</f>
        <v>#N/A</v>
      </c>
      <c r="DM62" s="16" t="str">
        <f t="array" ref="DM62">SUM(SUMIFS(INDIRECT($A$5),OtrosR!$C$3:$C65,$A62,OtrosR!$B$3:$B65,DM$1))</f>
        <v>#N/A</v>
      </c>
      <c r="DN62" s="17" t="str">
        <f t="array" ref="DN62">SUM(SUMIFS(INDIRECT($A$5),OtrosR!$C$3:$C65,$A62,OtrosR!$B$3:$B65,DN$1))</f>
        <v>#N/A</v>
      </c>
      <c r="DO62" s="16" t="str">
        <f t="array" ref="DO62">SUM(SUMIFS(INDIRECT($A$5),OtrosR!$C$3:$C65,$A62,OtrosR!$B$3:$B65,DO$1))</f>
        <v>#N/A</v>
      </c>
      <c r="DP62" s="17" t="str">
        <f t="array" ref="DP62">SUM(SUMIFS(INDIRECT($A$5),OtrosR!$C$3:$C65,$A62,OtrosR!$B$3:$B65,DP$1))</f>
        <v>#N/A</v>
      </c>
      <c r="DQ62" s="16" t="str">
        <f t="array" ref="DQ62">SUM(SUMIFS(INDIRECT($A$5),OtrosR!$C$3:$C65,$A62,OtrosR!$B$3:$B65,DQ$1))</f>
        <v>#N/A</v>
      </c>
      <c r="DR62" s="17" t="str">
        <f t="array" ref="DR62">SUM(SUMIFS(INDIRECT($A$5),OtrosR!$C$3:$C65,$A62,OtrosR!$B$3:$B65,DR$1))</f>
        <v>#N/A</v>
      </c>
      <c r="DS62" s="16" t="str">
        <f t="array" ref="DS62">SUM(SUMIFS(INDIRECT($A$5),OtrosR!$C$3:$C65,$A62,OtrosR!$B$3:$B65,DS$1))</f>
        <v>#N/A</v>
      </c>
      <c r="DT62" s="17" t="str">
        <f t="array" ref="DT62">SUM(SUMIFS(INDIRECT($A$5),OtrosR!$C$3:$C65,$A62,OtrosR!$B$3:$B65,DT$1))</f>
        <v>#N/A</v>
      </c>
      <c r="DU62" s="16" t="str">
        <f t="array" ref="DU62">SUM(SUMIFS(INDIRECT($A$5),OtrosR!$C$3:$C65,$A62,OtrosR!$B$3:$B65,DU$1))</f>
        <v>#N/A</v>
      </c>
      <c r="DV62" s="17" t="str">
        <f t="array" ref="DV62">SUM(SUMIFS(INDIRECT($A$5),OtrosR!$C$3:$C65,$A62,OtrosR!$B$3:$B65,DV$1))</f>
        <v>#N/A</v>
      </c>
      <c r="DW62" s="16" t="str">
        <f t="array" ref="DW62">SUM(SUMIFS(INDIRECT($A$5),OtrosR!$C$3:$C65,$A62,OtrosR!$B$3:$B65,DW$1))</f>
        <v>#N/A</v>
      </c>
      <c r="DX62" s="17" t="str">
        <f t="array" ref="DX62">SUM(SUMIFS(INDIRECT($A$5),OtrosR!$C$3:$C65,$A62,OtrosR!$B$3:$B65,DX$1))</f>
        <v>#N/A</v>
      </c>
      <c r="DY62" s="16" t="str">
        <f t="array" ref="DY62">SUM(SUMIFS(INDIRECT($A$5),OtrosR!$C$3:$C65,$A62,OtrosR!$B$3:$B65,DY$1))</f>
        <v>#N/A</v>
      </c>
      <c r="DZ62" s="17" t="str">
        <f t="array" ref="DZ62">SUM(SUMIFS(INDIRECT($A$5),OtrosR!$C$3:$C65,$A62,OtrosR!$B$3:$B65,DZ$1))</f>
        <v>#N/A</v>
      </c>
      <c r="EA62" s="16" t="str">
        <f t="array" ref="EA62">SUM(SUMIFS(INDIRECT($A$5),OtrosR!$C$3:$C65,$A62,OtrosR!$B$3:$B65,EA$1))</f>
        <v>#N/A</v>
      </c>
      <c r="EB62" s="17" t="str">
        <f t="array" ref="EB62">SUM(SUMIFS(INDIRECT($A$5),OtrosR!$C$3:$C65,$A62,OtrosR!$B$3:$B65,EB$1))</f>
        <v>#N/A</v>
      </c>
      <c r="EC62" s="16" t="str">
        <f t="array" ref="EC62">SUM(SUMIFS(INDIRECT($A$5),OtrosR!$C$3:$C65,$A62,OtrosR!$B$3:$B65,EC$1))</f>
        <v>#N/A</v>
      </c>
      <c r="ED62" s="17" t="str">
        <f t="array" ref="ED62">SUM(SUMIFS(INDIRECT($A$5),OtrosR!$C$3:$C65,$A62,OtrosR!$B$3:$B65,ED$1))</f>
        <v>#N/A</v>
      </c>
      <c r="EE62" s="16" t="str">
        <f t="array" ref="EE62">SUM(SUMIFS(INDIRECT($A$5),OtrosR!$C$3:$C65,$A62,OtrosR!$B$3:$B65,EE$1))</f>
        <v>#N/A</v>
      </c>
      <c r="EF62" s="17" t="str">
        <f t="array" ref="EF62">SUM(SUMIFS(INDIRECT($A$5),OtrosR!$C$3:$C65,$A62,OtrosR!$B$3:$B65,EF$1))</f>
        <v>#N/A</v>
      </c>
      <c r="EG62" s="16" t="str">
        <f t="array" ref="EG62">SUM(SUMIFS(INDIRECT($A$5),OtrosR!$C$3:$C65,$A62,OtrosR!$B$3:$B65,EG$1))</f>
        <v>#N/A</v>
      </c>
      <c r="EH62" s="17" t="str">
        <f t="array" ref="EH62">SUM(SUMIFS(INDIRECT($A$5),OtrosR!$C$3:$C65,$A62,OtrosR!$B$3:$B65,EH$1))</f>
        <v>#N/A</v>
      </c>
      <c r="EI62" s="16" t="str">
        <f t="array" ref="EI62">SUM(SUMIFS(INDIRECT($A$5),OtrosR!$C$3:$C65,$A62,OtrosR!$B$3:$B65,EI$1))</f>
        <v>#N/A</v>
      </c>
      <c r="EJ62" s="17" t="str">
        <f t="array" ref="EJ62">SUM(SUMIFS(INDIRECT($A$5),OtrosR!$C$3:$C65,$A62,OtrosR!$B$3:$B65,EJ$1))</f>
        <v>#N/A</v>
      </c>
      <c r="EK62" s="16" t="str">
        <f t="array" ref="EK62">SUM(SUMIFS(INDIRECT($A$5),OtrosR!$C$3:$C65,$A62,OtrosR!$B$3:$B65,EK$1))</f>
        <v>#N/A</v>
      </c>
      <c r="EL62" s="17" t="str">
        <f t="array" ref="EL62">SUM(SUMIFS(INDIRECT($A$5),OtrosR!$C$3:$C65,$A62,OtrosR!$B$3:$B65,EL$1))</f>
        <v>#N/A</v>
      </c>
      <c r="EM62" s="16" t="str">
        <f t="array" ref="EM62">SUM(SUMIFS(INDIRECT($A$5),OtrosR!$C$3:$C65,$A62,OtrosR!$B$3:$B65,EM$1))</f>
        <v>#N/A</v>
      </c>
      <c r="EN62" s="17" t="str">
        <f t="array" ref="EN62">SUM(SUMIFS(INDIRECT($A$5),OtrosR!$C$3:$C65,$A62,OtrosR!$B$3:$B65,EN$1))</f>
        <v>#N/A</v>
      </c>
      <c r="EO62" s="16" t="str">
        <f t="array" ref="EO62">SUM(SUMIFS(INDIRECT($A$5),OtrosR!$C$3:$C65,$A62,OtrosR!$B$3:$B65,EO$1))</f>
        <v>#N/A</v>
      </c>
      <c r="EP62" s="17" t="str">
        <f t="array" ref="EP62">SUM(SUMIFS(INDIRECT($A$5),OtrosR!$C$3:$C65,$A62,OtrosR!$B$3:$B65,EP$1))</f>
        <v>#N/A</v>
      </c>
    </row>
    <row r="63" ht="15.75" hidden="1" customHeight="1">
      <c r="A63" s="6" t="str">
        <f>Menus!Q9</f>
        <v/>
      </c>
      <c r="B63" s="43" t="str">
        <f t="shared" si="53"/>
        <v>#N/A</v>
      </c>
      <c r="C63" s="56" t="str">
        <f t="array" ref="C63">SUM(SUMIFS(INDIRECT($A$5),OtrosR!$C$3:$C65,$A63,OtrosR!$B$3:$B65,C$1))</f>
        <v>#N/A</v>
      </c>
      <c r="D63" s="55" t="str">
        <f t="array" ref="D63">SUM(SUMIFS(INDIRECT($A$5),OtrosR!$C$3:$C65,$A63,OtrosR!$B$3:$B65,D$1))</f>
        <v>#N/A</v>
      </c>
      <c r="E63" s="16" t="str">
        <f t="array" ref="E63">SUM(SUMIFS(INDIRECT($A$5),OtrosR!$C$3:$C65,$A63,OtrosR!$B$3:$B65,E$1))</f>
        <v>#N/A</v>
      </c>
      <c r="F63" s="17" t="str">
        <f t="array" ref="F63">SUM(SUMIFS(INDIRECT($A$5),OtrosR!$C$3:$C65,$A63,OtrosR!$B$3:$B65,F$1))</f>
        <v>#N/A</v>
      </c>
      <c r="G63" s="16" t="str">
        <f t="array" ref="G63">SUM(SUMIFS(INDIRECT($A$5),OtrosR!$C$3:$C65,$A63,OtrosR!$B$3:$B65,G$1))</f>
        <v>#N/A</v>
      </c>
      <c r="H63" s="17" t="str">
        <f t="array" ref="H63">SUM(SUMIFS(INDIRECT($A$5),OtrosR!$C$3:$C65,$A63,OtrosR!$B$3:$B65,H$1))</f>
        <v>#N/A</v>
      </c>
      <c r="I63" s="16" t="str">
        <f t="array" ref="I63">SUM(SUMIFS(INDIRECT($A$5),OtrosR!$C$3:$C65,$A63,OtrosR!$B$3:$B65,I$1))</f>
        <v>#N/A</v>
      </c>
      <c r="J63" s="17" t="str">
        <f t="array" ref="J63">SUM(SUMIFS(INDIRECT($A$5),OtrosR!$C$3:$C65,$A63,OtrosR!$B$3:$B65,J$1))</f>
        <v>#N/A</v>
      </c>
      <c r="K63" s="16" t="str">
        <f t="array" ref="K63">SUM(SUMIFS(INDIRECT($A$5),OtrosR!$C$3:$C65,$A63,OtrosR!$B$3:$B65,K$1))</f>
        <v>#N/A</v>
      </c>
      <c r="L63" s="17" t="str">
        <f t="array" ref="L63">SUM(SUMIFS(INDIRECT($A$5),OtrosR!$C$3:$C65,$A63,OtrosR!$B$3:$B65,L$1))</f>
        <v>#N/A</v>
      </c>
      <c r="M63" s="16" t="str">
        <f t="array" ref="M63">SUM(SUMIFS(INDIRECT($A$5),OtrosR!$C$3:$C65,$A63,OtrosR!$B$3:$B65,M$1))</f>
        <v>#N/A</v>
      </c>
      <c r="N63" s="17" t="str">
        <f t="array" ref="N63">SUM(SUMIFS(INDIRECT($A$5),OtrosR!$C$3:$C65,$A63,OtrosR!$B$3:$B65,N$1))</f>
        <v>#N/A</v>
      </c>
      <c r="O63" s="16" t="str">
        <f t="array" ref="O63">SUM(SUMIFS(INDIRECT($A$5),OtrosR!$C$3:$C65,$A63,OtrosR!$B$3:$B65,O$1))</f>
        <v>#N/A</v>
      </c>
      <c r="P63" s="17" t="str">
        <f t="array" ref="P63">SUM(SUMIFS(INDIRECT($A$5),OtrosR!$C$3:$C65,$A63,OtrosR!$B$3:$B65,P$1))</f>
        <v>#N/A</v>
      </c>
      <c r="Q63" s="16" t="str">
        <f t="array" ref="Q63">SUM(SUMIFS(INDIRECT($A$5),OtrosR!$C$3:$C65,$A63,OtrosR!$B$3:$B65,Q$1))</f>
        <v>#N/A</v>
      </c>
      <c r="R63" s="17" t="str">
        <f t="array" ref="R63">SUM(SUMIFS(INDIRECT($A$5),OtrosR!$C$3:$C65,$A63,OtrosR!$B$3:$B65,R$1))</f>
        <v>#N/A</v>
      </c>
      <c r="S63" s="16" t="str">
        <f t="array" ref="S63">SUM(SUMIFS(INDIRECT($A$5),OtrosR!$C$3:$C65,$A63,OtrosR!$B$3:$B65,S$1))</f>
        <v>#N/A</v>
      </c>
      <c r="T63" s="17" t="str">
        <f t="array" ref="T63">SUM(SUMIFS(INDIRECT($A$5),OtrosR!$C$3:$C65,$A63,OtrosR!$B$3:$B65,T$1))</f>
        <v>#N/A</v>
      </c>
      <c r="U63" s="16" t="str">
        <f t="array" ref="U63">SUM(SUMIFS(INDIRECT($A$5),OtrosR!$C$3:$C65,$A63,OtrosR!$B$3:$B65,U$1))</f>
        <v>#N/A</v>
      </c>
      <c r="V63" s="17" t="str">
        <f t="array" ref="V63">SUM(SUMIFS(INDIRECT($A$5),OtrosR!$C$3:$C65,$A63,OtrosR!$B$3:$B65,V$1))</f>
        <v>#N/A</v>
      </c>
      <c r="W63" s="16" t="str">
        <f t="array" ref="W63">SUM(SUMIFS(INDIRECT($A$5),OtrosR!$C$3:$C65,$A63,OtrosR!$B$3:$B65,W$1))</f>
        <v>#N/A</v>
      </c>
      <c r="X63" s="17" t="str">
        <f t="array" ref="X63">SUM(SUMIFS(INDIRECT($A$5),OtrosR!$C$3:$C65,$A63,OtrosR!$B$3:$B65,X$1))</f>
        <v>#N/A</v>
      </c>
      <c r="Y63" s="16" t="str">
        <f t="array" ref="Y63">SUM(SUMIFS(INDIRECT($A$5),OtrosR!$C$3:$C65,$A63,OtrosR!$B$3:$B65,Y$1))</f>
        <v>#N/A</v>
      </c>
      <c r="Z63" s="17" t="str">
        <f t="array" ref="Z63">SUM(SUMIFS(INDIRECT($A$5),OtrosR!$C$3:$C65,$A63,OtrosR!$B$3:$B65,Z$1))</f>
        <v>#N/A</v>
      </c>
      <c r="AA63" s="16" t="str">
        <f t="array" ref="AA63">SUM(SUMIFS(INDIRECT($A$5),OtrosR!$C$3:$C65,$A63,OtrosR!$B$3:$B65,AA$1))</f>
        <v>#N/A</v>
      </c>
      <c r="AB63" s="17" t="str">
        <f t="array" ref="AB63">SUM(SUMIFS(INDIRECT($A$5),OtrosR!$C$3:$C65,$A63,OtrosR!$B$3:$B65,AB$1))</f>
        <v>#N/A</v>
      </c>
      <c r="AC63" s="16" t="str">
        <f t="array" ref="AC63">SUM(SUMIFS(INDIRECT($A$5),OtrosR!$C$3:$C65,$A63,OtrosR!$B$3:$B65,AC$1))</f>
        <v>#N/A</v>
      </c>
      <c r="AD63" s="17" t="str">
        <f t="array" ref="AD63">SUM(SUMIFS(INDIRECT($A$5),OtrosR!$C$3:$C65,$A63,OtrosR!$B$3:$B65,AD$1))</f>
        <v>#N/A</v>
      </c>
      <c r="AE63" s="16" t="str">
        <f t="array" ref="AE63">SUM(SUMIFS(INDIRECT($A$5),OtrosR!$C$3:$C65,$A63,OtrosR!$B$3:$B65,AE$1))</f>
        <v>#N/A</v>
      </c>
      <c r="AF63" s="17" t="str">
        <f t="array" ref="AF63">SUM(SUMIFS(INDIRECT($A$5),OtrosR!$C$3:$C65,$A63,OtrosR!$B$3:$B65,AF$1))</f>
        <v>#N/A</v>
      </c>
      <c r="AG63" s="16" t="str">
        <f t="array" ref="AG63">SUM(SUMIFS(INDIRECT($A$5),OtrosR!$C$3:$C65,$A63,OtrosR!$B$3:$B65,AG$1))</f>
        <v>#N/A</v>
      </c>
      <c r="AH63" s="17" t="str">
        <f t="array" ref="AH63">SUM(SUMIFS(INDIRECT($A$5),OtrosR!$C$3:$C65,$A63,OtrosR!$B$3:$B65,AH$1))</f>
        <v>#N/A</v>
      </c>
      <c r="AI63" s="16" t="str">
        <f t="array" ref="AI63">SUM(SUMIFS(INDIRECT($A$5),OtrosR!$C$3:$C65,$A63,OtrosR!$B$3:$B65,AI$1))</f>
        <v>#N/A</v>
      </c>
      <c r="AJ63" s="17" t="str">
        <f t="array" ref="AJ63">SUM(SUMIFS(INDIRECT($A$5),OtrosR!$C$3:$C65,$A63,OtrosR!$B$3:$B65,AJ$1))</f>
        <v>#N/A</v>
      </c>
      <c r="AK63" s="16" t="str">
        <f t="array" ref="AK63">SUM(SUMIFS(INDIRECT($A$5),OtrosR!$C$3:$C65,$A63,OtrosR!$B$3:$B65,AK$1))</f>
        <v>#N/A</v>
      </c>
      <c r="AL63" s="17" t="str">
        <f t="array" ref="AL63">SUM(SUMIFS(INDIRECT($A$5),OtrosR!$C$3:$C65,$A63,OtrosR!$B$3:$B65,AL$1))</f>
        <v>#N/A</v>
      </c>
      <c r="AM63" s="16" t="str">
        <f t="array" ref="AM63">SUM(SUMIFS(INDIRECT($A$5),OtrosR!$C$3:$C65,$A63,OtrosR!$B$3:$B65,AM$1))</f>
        <v>#N/A</v>
      </c>
      <c r="AN63" s="17" t="str">
        <f t="array" ref="AN63">SUM(SUMIFS(INDIRECT($A$5),OtrosR!$C$3:$C65,$A63,OtrosR!$B$3:$B65,AN$1))</f>
        <v>#N/A</v>
      </c>
      <c r="AO63" s="16" t="str">
        <f t="array" ref="AO63">SUM(SUMIFS(INDIRECT($A$5),OtrosR!$C$3:$C65,$A63,OtrosR!$B$3:$B65,AO$1))</f>
        <v>#N/A</v>
      </c>
      <c r="AP63" s="17" t="str">
        <f t="array" ref="AP63">SUM(SUMIFS(INDIRECT($A$5),OtrosR!$C$3:$C65,$A63,OtrosR!$B$3:$B65,AP$1))</f>
        <v>#N/A</v>
      </c>
      <c r="AQ63" s="16" t="str">
        <f t="array" ref="AQ63">SUM(SUMIFS(INDIRECT($A$5),OtrosR!$C$3:$C65,$A63,OtrosR!$B$3:$B65,AQ$1))</f>
        <v>#N/A</v>
      </c>
      <c r="AR63" s="17" t="str">
        <f t="array" ref="AR63">SUM(SUMIFS(INDIRECT($A$5),OtrosR!$C$3:$C65,$A63,OtrosR!$B$3:$B65,AR$1))</f>
        <v>#N/A</v>
      </c>
      <c r="AS63" s="16" t="str">
        <f t="array" ref="AS63">SUM(SUMIFS(INDIRECT($A$5),OtrosR!$C$3:$C65,$A63,OtrosR!$B$3:$B65,AS$1))</f>
        <v>#N/A</v>
      </c>
      <c r="AT63" s="17" t="str">
        <f t="array" ref="AT63">SUM(SUMIFS(INDIRECT($A$5),OtrosR!$C$3:$C65,$A63,OtrosR!$B$3:$B65,AT$1))</f>
        <v>#N/A</v>
      </c>
      <c r="AU63" s="16" t="str">
        <f t="array" ref="AU63">SUM(SUMIFS(INDIRECT($A$5),OtrosR!$C$3:$C65,$A63,OtrosR!$B$3:$B65,AU$1))</f>
        <v>#N/A</v>
      </c>
      <c r="AV63" s="17" t="str">
        <f t="array" ref="AV63">SUM(SUMIFS(INDIRECT($A$5),OtrosR!$C$3:$C65,$A63,OtrosR!$B$3:$B65,AV$1))</f>
        <v>#N/A</v>
      </c>
      <c r="AW63" s="16" t="str">
        <f t="array" ref="AW63">SUM(SUMIFS(INDIRECT($A$5),OtrosR!$C$3:$C65,$A63,OtrosR!$B$3:$B65,AW$1))</f>
        <v>#N/A</v>
      </c>
      <c r="AX63" s="17" t="str">
        <f t="array" ref="AX63">SUM(SUMIFS(INDIRECT($A$5),OtrosR!$C$3:$C65,$A63,OtrosR!$B$3:$B65,AX$1))</f>
        <v>#N/A</v>
      </c>
      <c r="AY63" s="16" t="str">
        <f t="array" ref="AY63">SUM(SUMIFS(INDIRECT($A$5),OtrosR!$C$3:$C65,$A63,OtrosR!$B$3:$B65,AY$1))</f>
        <v>#N/A</v>
      </c>
      <c r="AZ63" s="17" t="str">
        <f t="array" ref="AZ63">SUM(SUMIFS(INDIRECT($A$5),OtrosR!$C$3:$C65,$A63,OtrosR!$B$3:$B65,AZ$1))</f>
        <v>#N/A</v>
      </c>
      <c r="BA63" s="16" t="str">
        <f t="array" ref="BA63">SUM(SUMIFS(INDIRECT($A$5),OtrosR!$C$3:$C65,$A63,OtrosR!$B$3:$B65,BA$1))</f>
        <v>#N/A</v>
      </c>
      <c r="BB63" s="17" t="str">
        <f t="array" ref="BB63">SUM(SUMIFS(INDIRECT($A$5),OtrosR!$C$3:$C65,$A63,OtrosR!$B$3:$B65,BB$1))</f>
        <v>#N/A</v>
      </c>
      <c r="BC63" s="16" t="str">
        <f t="array" ref="BC63">SUM(SUMIFS(INDIRECT($A$5),OtrosR!$C$3:$C65,$A63,OtrosR!$B$3:$B65,BC$1))</f>
        <v>#N/A</v>
      </c>
      <c r="BD63" s="17" t="str">
        <f t="array" ref="BD63">SUM(SUMIFS(INDIRECT($A$5),OtrosR!$C$3:$C65,$A63,OtrosR!$B$3:$B65,BD$1))</f>
        <v>#N/A</v>
      </c>
      <c r="BE63" s="16" t="str">
        <f t="array" ref="BE63">SUM(SUMIFS(INDIRECT($A$5),OtrosR!$C$3:$C65,$A63,OtrosR!$B$3:$B65,BE$1))</f>
        <v>#N/A</v>
      </c>
      <c r="BF63" s="17" t="str">
        <f t="array" ref="BF63">SUM(SUMIFS(INDIRECT($A$5),OtrosR!$C$3:$C65,$A63,OtrosR!$B$3:$B65,BF$1))</f>
        <v>#N/A</v>
      </c>
      <c r="BG63" s="16" t="str">
        <f t="array" ref="BG63">SUM(SUMIFS(INDIRECT($A$5),OtrosR!$C$3:$C65,$A63,OtrosR!$B$3:$B65,BG$1))</f>
        <v>#N/A</v>
      </c>
      <c r="BH63" s="17" t="str">
        <f t="array" ref="BH63">SUM(SUMIFS(INDIRECT($A$5),OtrosR!$C$3:$C65,$A63,OtrosR!$B$3:$B65,BH$1))</f>
        <v>#N/A</v>
      </c>
      <c r="BI63" s="16" t="str">
        <f t="array" ref="BI63">SUM(SUMIFS(INDIRECT($A$5),OtrosR!$C$3:$C65,$A63,OtrosR!$B$3:$B65,BI$1))</f>
        <v>#N/A</v>
      </c>
      <c r="BJ63" s="17" t="str">
        <f t="array" ref="BJ63">SUM(SUMIFS(INDIRECT($A$5),OtrosR!$C$3:$C65,$A63,OtrosR!$B$3:$B65,BJ$1))</f>
        <v>#N/A</v>
      </c>
      <c r="BK63" s="16" t="str">
        <f t="array" ref="BK63">SUM(SUMIFS(INDIRECT($A$5),OtrosR!$C$3:$C65,$A63,OtrosR!$B$3:$B65,BK$1))</f>
        <v>#N/A</v>
      </c>
      <c r="BL63" s="17" t="str">
        <f t="array" ref="BL63">SUM(SUMIFS(INDIRECT($A$5),OtrosR!$C$3:$C65,$A63,OtrosR!$B$3:$B65,BL$1))</f>
        <v>#N/A</v>
      </c>
      <c r="BM63" s="16" t="str">
        <f t="array" ref="BM63">SUM(SUMIFS(INDIRECT($A$5),OtrosR!$C$3:$C65,$A63,OtrosR!$B$3:$B65,BM$1))</f>
        <v>#N/A</v>
      </c>
      <c r="BN63" s="17" t="str">
        <f t="array" ref="BN63">SUM(SUMIFS(INDIRECT($A$5),OtrosR!$C$3:$C65,$A63,OtrosR!$B$3:$B65,BN$1))</f>
        <v>#N/A</v>
      </c>
      <c r="BO63" s="16" t="str">
        <f t="array" ref="BO63">SUM(SUMIFS(INDIRECT($A$5),OtrosR!$C$3:$C65,$A63,OtrosR!$B$3:$B65,BO$1))</f>
        <v>#N/A</v>
      </c>
      <c r="BP63" s="17" t="str">
        <f t="array" ref="BP63">SUM(SUMIFS(INDIRECT($A$5),OtrosR!$C$3:$C65,$A63,OtrosR!$B$3:$B65,BP$1))</f>
        <v>#N/A</v>
      </c>
      <c r="BQ63" s="16" t="str">
        <f t="array" ref="BQ63">SUM(SUMIFS(INDIRECT($A$5),OtrosR!$C$3:$C65,$A63,OtrosR!$B$3:$B65,BQ$1))</f>
        <v>#N/A</v>
      </c>
      <c r="BR63" s="17" t="str">
        <f t="array" ref="BR63">SUM(SUMIFS(INDIRECT($A$5),OtrosR!$C$3:$C65,$A63,OtrosR!$B$3:$B65,BR$1))</f>
        <v>#N/A</v>
      </c>
      <c r="BS63" s="16" t="str">
        <f t="array" ref="BS63">SUM(SUMIFS(INDIRECT($A$5),OtrosR!$C$3:$C65,$A63,OtrosR!$B$3:$B65,BS$1))</f>
        <v>#N/A</v>
      </c>
      <c r="BT63" s="17" t="str">
        <f t="array" ref="BT63">SUM(SUMIFS(INDIRECT($A$5),OtrosR!$C$3:$C65,$A63,OtrosR!$B$3:$B65,BT$1))</f>
        <v>#N/A</v>
      </c>
      <c r="BU63" s="16" t="str">
        <f t="array" ref="BU63">SUM(SUMIFS(INDIRECT($A$5),OtrosR!$C$3:$C65,$A63,OtrosR!$B$3:$B65,BU$1))</f>
        <v>#N/A</v>
      </c>
      <c r="BV63" s="17" t="str">
        <f t="array" ref="BV63">SUM(SUMIFS(INDIRECT($A$5),OtrosR!$C$3:$C65,$A63,OtrosR!$B$3:$B65,BV$1))</f>
        <v>#N/A</v>
      </c>
      <c r="BW63" s="16" t="str">
        <f t="array" ref="BW63">SUM(SUMIFS(INDIRECT($A$5),OtrosR!$C$3:$C65,$A63,OtrosR!$B$3:$B65,BW$1))</f>
        <v>#N/A</v>
      </c>
      <c r="BX63" s="17" t="str">
        <f t="array" ref="BX63">SUM(SUMIFS(INDIRECT($A$5),OtrosR!$C$3:$C65,$A63,OtrosR!$B$3:$B65,BX$1))</f>
        <v>#N/A</v>
      </c>
      <c r="BY63" s="16" t="str">
        <f t="array" ref="BY63">SUM(SUMIFS(INDIRECT($A$5),OtrosR!$C$3:$C65,$A63,OtrosR!$B$3:$B65,BY$1))</f>
        <v>#N/A</v>
      </c>
      <c r="BZ63" s="17" t="str">
        <f t="array" ref="BZ63">SUM(SUMIFS(INDIRECT($A$5),OtrosR!$C$3:$C65,$A63,OtrosR!$B$3:$B65,BZ$1))</f>
        <v>#N/A</v>
      </c>
      <c r="CA63" s="16" t="str">
        <f t="array" ref="CA63">SUM(SUMIFS(INDIRECT($A$5),OtrosR!$C$3:$C65,$A63,OtrosR!$B$3:$B65,CA$1))</f>
        <v>#N/A</v>
      </c>
      <c r="CB63" s="17" t="str">
        <f t="array" ref="CB63">SUM(SUMIFS(INDIRECT($A$5),OtrosR!$C$3:$C65,$A63,OtrosR!$B$3:$B65,CB$1))</f>
        <v>#N/A</v>
      </c>
      <c r="CC63" s="16" t="str">
        <f t="array" ref="CC63">SUM(SUMIFS(INDIRECT($A$5),OtrosR!$C$3:$C65,$A63,OtrosR!$B$3:$B65,CC$1))</f>
        <v>#N/A</v>
      </c>
      <c r="CD63" s="17" t="str">
        <f t="array" ref="CD63">SUM(SUMIFS(INDIRECT($A$5),OtrosR!$C$3:$C65,$A63,OtrosR!$B$3:$B65,CD$1))</f>
        <v>#N/A</v>
      </c>
      <c r="CE63" s="16" t="str">
        <f t="array" ref="CE63">SUM(SUMIFS(INDIRECT($A$5),OtrosR!$C$3:$C65,$A63,OtrosR!$B$3:$B65,CE$1))</f>
        <v>#N/A</v>
      </c>
      <c r="CF63" s="17" t="str">
        <f t="array" ref="CF63">SUM(SUMIFS(INDIRECT($A$5),OtrosR!$C$3:$C65,$A63,OtrosR!$B$3:$B65,CF$1))</f>
        <v>#N/A</v>
      </c>
      <c r="CG63" s="16" t="str">
        <f t="array" ref="CG63">SUM(SUMIFS(INDIRECT($A$5),OtrosR!$C$3:$C65,$A63,OtrosR!$B$3:$B65,CG$1))</f>
        <v>#N/A</v>
      </c>
      <c r="CH63" s="17" t="str">
        <f t="array" ref="CH63">SUM(SUMIFS(INDIRECT($A$5),OtrosR!$C$3:$C65,$A63,OtrosR!$B$3:$B65,CH$1))</f>
        <v>#N/A</v>
      </c>
      <c r="CI63" s="16" t="str">
        <f t="array" ref="CI63">SUM(SUMIFS(INDIRECT($A$5),OtrosR!$C$3:$C65,$A63,OtrosR!$B$3:$B65,CI$1))</f>
        <v>#N/A</v>
      </c>
      <c r="CJ63" s="17" t="str">
        <f t="array" ref="CJ63">SUM(SUMIFS(INDIRECT($A$5),OtrosR!$C$3:$C65,$A63,OtrosR!$B$3:$B65,CJ$1))</f>
        <v>#N/A</v>
      </c>
      <c r="CK63" s="16" t="str">
        <f t="array" ref="CK63">SUM(SUMIFS(INDIRECT($A$5),OtrosR!$C$3:$C65,$A63,OtrosR!$B$3:$B65,CK$1))</f>
        <v>#N/A</v>
      </c>
      <c r="CL63" s="17" t="str">
        <f t="array" ref="CL63">SUM(SUMIFS(INDIRECT($A$5),OtrosR!$C$3:$C65,$A63,OtrosR!$B$3:$B65,CL$1))</f>
        <v>#N/A</v>
      </c>
      <c r="CM63" s="16" t="str">
        <f t="array" ref="CM63">SUM(SUMIFS(INDIRECT($A$5),OtrosR!$C$3:$C65,$A63,OtrosR!$B$3:$B65,CM$1))</f>
        <v>#N/A</v>
      </c>
      <c r="CN63" s="17" t="str">
        <f t="array" ref="CN63">SUM(SUMIFS(INDIRECT($A$5),OtrosR!$C$3:$C65,$A63,OtrosR!$B$3:$B65,CN$1))</f>
        <v>#N/A</v>
      </c>
      <c r="CO63" s="16" t="str">
        <f t="array" ref="CO63">SUM(SUMIFS(INDIRECT($A$5),OtrosR!$C$3:$C65,$A63,OtrosR!$B$3:$B65,CO$1))</f>
        <v>#N/A</v>
      </c>
      <c r="CP63" s="17" t="str">
        <f t="array" ref="CP63">SUM(SUMIFS(INDIRECT($A$5),OtrosR!$C$3:$C65,$A63,OtrosR!$B$3:$B65,CP$1))</f>
        <v>#N/A</v>
      </c>
      <c r="CQ63" s="16" t="str">
        <f t="array" ref="CQ63">SUM(SUMIFS(INDIRECT($A$5),OtrosR!$C$3:$C65,$A63,OtrosR!$B$3:$B65,CQ$1))</f>
        <v>#N/A</v>
      </c>
      <c r="CR63" s="17" t="str">
        <f t="array" ref="CR63">SUM(SUMIFS(INDIRECT($A$5),OtrosR!$C$3:$C65,$A63,OtrosR!$B$3:$B65,CR$1))</f>
        <v>#N/A</v>
      </c>
      <c r="CS63" s="16" t="str">
        <f t="array" ref="CS63">SUM(SUMIFS(INDIRECT($A$5),OtrosR!$C$3:$C65,$A63,OtrosR!$B$3:$B65,CS$1))</f>
        <v>#N/A</v>
      </c>
      <c r="CT63" s="17" t="str">
        <f t="array" ref="CT63">SUM(SUMIFS(INDIRECT($A$5),OtrosR!$C$3:$C65,$A63,OtrosR!$B$3:$B65,CT$1))</f>
        <v>#N/A</v>
      </c>
      <c r="CU63" s="16" t="str">
        <f t="array" ref="CU63">SUM(SUMIFS(INDIRECT($A$5),OtrosR!$C$3:$C65,$A63,OtrosR!$B$3:$B65,CU$1))</f>
        <v>#N/A</v>
      </c>
      <c r="CV63" s="17" t="str">
        <f t="array" ref="CV63">SUM(SUMIFS(INDIRECT($A$5),OtrosR!$C$3:$C65,$A63,OtrosR!$B$3:$B65,CV$1))</f>
        <v>#N/A</v>
      </c>
      <c r="CW63" s="16" t="str">
        <f t="array" ref="CW63">SUM(SUMIFS(INDIRECT($A$5),OtrosR!$C$3:$C65,$A63,OtrosR!$B$3:$B65,CW$1))</f>
        <v>#N/A</v>
      </c>
      <c r="CX63" s="17" t="str">
        <f t="array" ref="CX63">SUM(SUMIFS(INDIRECT($A$5),OtrosR!$C$3:$C65,$A63,OtrosR!$B$3:$B65,CX$1))</f>
        <v>#N/A</v>
      </c>
      <c r="CY63" s="16" t="str">
        <f t="array" ref="CY63">SUM(SUMIFS(INDIRECT($A$5),OtrosR!$C$3:$C65,$A63,OtrosR!$B$3:$B65,CY$1))</f>
        <v>#N/A</v>
      </c>
      <c r="CZ63" s="17" t="str">
        <f t="array" ref="CZ63">SUM(SUMIFS(INDIRECT($A$5),OtrosR!$C$3:$C65,$A63,OtrosR!$B$3:$B65,CZ$1))</f>
        <v>#N/A</v>
      </c>
      <c r="DA63" s="16" t="str">
        <f t="array" ref="DA63">SUM(SUMIFS(INDIRECT($A$5),OtrosR!$C$3:$C65,$A63,OtrosR!$B$3:$B65,DA$1))</f>
        <v>#N/A</v>
      </c>
      <c r="DB63" s="17" t="str">
        <f t="array" ref="DB63">SUM(SUMIFS(INDIRECT($A$5),OtrosR!$C$3:$C65,$A63,OtrosR!$B$3:$B65,DB$1))</f>
        <v>#N/A</v>
      </c>
      <c r="DC63" s="16" t="str">
        <f t="array" ref="DC63">SUM(SUMIFS(INDIRECT($A$5),OtrosR!$C$3:$C65,$A63,OtrosR!$B$3:$B65,DC$1))</f>
        <v>#N/A</v>
      </c>
      <c r="DD63" s="17" t="str">
        <f t="array" ref="DD63">SUM(SUMIFS(INDIRECT($A$5),OtrosR!$C$3:$C65,$A63,OtrosR!$B$3:$B65,DD$1))</f>
        <v>#N/A</v>
      </c>
      <c r="DE63" s="16" t="str">
        <f t="array" ref="DE63">SUM(SUMIFS(INDIRECT($A$5),OtrosR!$C$3:$C65,$A63,OtrosR!$B$3:$B65,DE$1))</f>
        <v>#N/A</v>
      </c>
      <c r="DF63" s="17" t="str">
        <f t="array" ref="DF63">SUM(SUMIFS(INDIRECT($A$5),OtrosR!$C$3:$C65,$A63,OtrosR!$B$3:$B65,DF$1))</f>
        <v>#N/A</v>
      </c>
      <c r="DG63" s="16" t="str">
        <f t="array" ref="DG63">SUM(SUMIFS(INDIRECT($A$5),OtrosR!$C$3:$C65,$A63,OtrosR!$B$3:$B65,DG$1))</f>
        <v>#N/A</v>
      </c>
      <c r="DH63" s="17" t="str">
        <f t="array" ref="DH63">SUM(SUMIFS(INDIRECT($A$5),OtrosR!$C$3:$C65,$A63,OtrosR!$B$3:$B65,DH$1))</f>
        <v>#N/A</v>
      </c>
      <c r="DI63" s="16" t="str">
        <f t="array" ref="DI63">SUM(SUMIFS(INDIRECT($A$5),OtrosR!$C$3:$C65,$A63,OtrosR!$B$3:$B65,DI$1))</f>
        <v>#N/A</v>
      </c>
      <c r="DJ63" s="17" t="str">
        <f t="array" ref="DJ63">SUM(SUMIFS(INDIRECT($A$5),OtrosR!$C$3:$C65,$A63,OtrosR!$B$3:$B65,DJ$1))</f>
        <v>#N/A</v>
      </c>
      <c r="DK63" s="16" t="str">
        <f t="array" ref="DK63">SUM(SUMIFS(INDIRECT($A$5),OtrosR!$C$3:$C65,$A63,OtrosR!$B$3:$B65,DK$1))</f>
        <v>#N/A</v>
      </c>
      <c r="DL63" s="17" t="str">
        <f t="array" ref="DL63">SUM(SUMIFS(INDIRECT($A$5),OtrosR!$C$3:$C65,$A63,OtrosR!$B$3:$B65,DL$1))</f>
        <v>#N/A</v>
      </c>
      <c r="DM63" s="16" t="str">
        <f t="array" ref="DM63">SUM(SUMIFS(INDIRECT($A$5),OtrosR!$C$3:$C65,$A63,OtrosR!$B$3:$B65,DM$1))</f>
        <v>#N/A</v>
      </c>
      <c r="DN63" s="17" t="str">
        <f t="array" ref="DN63">SUM(SUMIFS(INDIRECT($A$5),OtrosR!$C$3:$C65,$A63,OtrosR!$B$3:$B65,DN$1))</f>
        <v>#N/A</v>
      </c>
      <c r="DO63" s="16" t="str">
        <f t="array" ref="DO63">SUM(SUMIFS(INDIRECT($A$5),OtrosR!$C$3:$C65,$A63,OtrosR!$B$3:$B65,DO$1))</f>
        <v>#N/A</v>
      </c>
      <c r="DP63" s="17" t="str">
        <f t="array" ref="DP63">SUM(SUMIFS(INDIRECT($A$5),OtrosR!$C$3:$C65,$A63,OtrosR!$B$3:$B65,DP$1))</f>
        <v>#N/A</v>
      </c>
      <c r="DQ63" s="16" t="str">
        <f t="array" ref="DQ63">SUM(SUMIFS(INDIRECT($A$5),OtrosR!$C$3:$C65,$A63,OtrosR!$B$3:$B65,DQ$1))</f>
        <v>#N/A</v>
      </c>
      <c r="DR63" s="17" t="str">
        <f t="array" ref="DR63">SUM(SUMIFS(INDIRECT($A$5),OtrosR!$C$3:$C65,$A63,OtrosR!$B$3:$B65,DR$1))</f>
        <v>#N/A</v>
      </c>
      <c r="DS63" s="16" t="str">
        <f t="array" ref="DS63">SUM(SUMIFS(INDIRECT($A$5),OtrosR!$C$3:$C65,$A63,OtrosR!$B$3:$B65,DS$1))</f>
        <v>#N/A</v>
      </c>
      <c r="DT63" s="17" t="str">
        <f t="array" ref="DT63">SUM(SUMIFS(INDIRECT($A$5),OtrosR!$C$3:$C65,$A63,OtrosR!$B$3:$B65,DT$1))</f>
        <v>#N/A</v>
      </c>
      <c r="DU63" s="16" t="str">
        <f t="array" ref="DU63">SUM(SUMIFS(INDIRECT($A$5),OtrosR!$C$3:$C65,$A63,OtrosR!$B$3:$B65,DU$1))</f>
        <v>#N/A</v>
      </c>
      <c r="DV63" s="17" t="str">
        <f t="array" ref="DV63">SUM(SUMIFS(INDIRECT($A$5),OtrosR!$C$3:$C65,$A63,OtrosR!$B$3:$B65,DV$1))</f>
        <v>#N/A</v>
      </c>
      <c r="DW63" s="16" t="str">
        <f t="array" ref="DW63">SUM(SUMIFS(INDIRECT($A$5),OtrosR!$C$3:$C65,$A63,OtrosR!$B$3:$B65,DW$1))</f>
        <v>#N/A</v>
      </c>
      <c r="DX63" s="17" t="str">
        <f t="array" ref="DX63">SUM(SUMIFS(INDIRECT($A$5),OtrosR!$C$3:$C65,$A63,OtrosR!$B$3:$B65,DX$1))</f>
        <v>#N/A</v>
      </c>
      <c r="DY63" s="16" t="str">
        <f t="array" ref="DY63">SUM(SUMIFS(INDIRECT($A$5),OtrosR!$C$3:$C65,$A63,OtrosR!$B$3:$B65,DY$1))</f>
        <v>#N/A</v>
      </c>
      <c r="DZ63" s="17" t="str">
        <f t="array" ref="DZ63">SUM(SUMIFS(INDIRECT($A$5),OtrosR!$C$3:$C65,$A63,OtrosR!$B$3:$B65,DZ$1))</f>
        <v>#N/A</v>
      </c>
      <c r="EA63" s="16" t="str">
        <f t="array" ref="EA63">SUM(SUMIFS(INDIRECT($A$5),OtrosR!$C$3:$C65,$A63,OtrosR!$B$3:$B65,EA$1))</f>
        <v>#N/A</v>
      </c>
      <c r="EB63" s="17" t="str">
        <f t="array" ref="EB63">SUM(SUMIFS(INDIRECT($A$5),OtrosR!$C$3:$C65,$A63,OtrosR!$B$3:$B65,EB$1))</f>
        <v>#N/A</v>
      </c>
      <c r="EC63" s="16" t="str">
        <f t="array" ref="EC63">SUM(SUMIFS(INDIRECT($A$5),OtrosR!$C$3:$C65,$A63,OtrosR!$B$3:$B65,EC$1))</f>
        <v>#N/A</v>
      </c>
      <c r="ED63" s="17" t="str">
        <f t="array" ref="ED63">SUM(SUMIFS(INDIRECT($A$5),OtrosR!$C$3:$C65,$A63,OtrosR!$B$3:$B65,ED$1))</f>
        <v>#N/A</v>
      </c>
      <c r="EE63" s="16" t="str">
        <f t="array" ref="EE63">SUM(SUMIFS(INDIRECT($A$5),OtrosR!$C$3:$C65,$A63,OtrosR!$B$3:$B65,EE$1))</f>
        <v>#N/A</v>
      </c>
      <c r="EF63" s="17" t="str">
        <f t="array" ref="EF63">SUM(SUMIFS(INDIRECT($A$5),OtrosR!$C$3:$C65,$A63,OtrosR!$B$3:$B65,EF$1))</f>
        <v>#N/A</v>
      </c>
      <c r="EG63" s="16" t="str">
        <f t="array" ref="EG63">SUM(SUMIFS(INDIRECT($A$5),OtrosR!$C$3:$C65,$A63,OtrosR!$B$3:$B65,EG$1))</f>
        <v>#N/A</v>
      </c>
      <c r="EH63" s="17" t="str">
        <f t="array" ref="EH63">SUM(SUMIFS(INDIRECT($A$5),OtrosR!$C$3:$C65,$A63,OtrosR!$B$3:$B65,EH$1))</f>
        <v>#N/A</v>
      </c>
      <c r="EI63" s="16" t="str">
        <f t="array" ref="EI63">SUM(SUMIFS(INDIRECT($A$5),OtrosR!$C$3:$C65,$A63,OtrosR!$B$3:$B65,EI$1))</f>
        <v>#N/A</v>
      </c>
      <c r="EJ63" s="17" t="str">
        <f t="array" ref="EJ63">SUM(SUMIFS(INDIRECT($A$5),OtrosR!$C$3:$C65,$A63,OtrosR!$B$3:$B65,EJ$1))</f>
        <v>#N/A</v>
      </c>
      <c r="EK63" s="16" t="str">
        <f t="array" ref="EK63">SUM(SUMIFS(INDIRECT($A$5),OtrosR!$C$3:$C65,$A63,OtrosR!$B$3:$B65,EK$1))</f>
        <v>#N/A</v>
      </c>
      <c r="EL63" s="17" t="str">
        <f t="array" ref="EL63">SUM(SUMIFS(INDIRECT($A$5),OtrosR!$C$3:$C65,$A63,OtrosR!$B$3:$B65,EL$1))</f>
        <v>#N/A</v>
      </c>
      <c r="EM63" s="16" t="str">
        <f t="array" ref="EM63">SUM(SUMIFS(INDIRECT($A$5),OtrosR!$C$3:$C65,$A63,OtrosR!$B$3:$B65,EM$1))</f>
        <v>#N/A</v>
      </c>
      <c r="EN63" s="17" t="str">
        <f t="array" ref="EN63">SUM(SUMIFS(INDIRECT($A$5),OtrosR!$C$3:$C65,$A63,OtrosR!$B$3:$B65,EN$1))</f>
        <v>#N/A</v>
      </c>
      <c r="EO63" s="16" t="str">
        <f t="array" ref="EO63">SUM(SUMIFS(INDIRECT($A$5),OtrosR!$C$3:$C65,$A63,OtrosR!$B$3:$B65,EO$1))</f>
        <v>#N/A</v>
      </c>
      <c r="EP63" s="17" t="str">
        <f t="array" ref="EP63">SUM(SUMIFS(INDIRECT($A$5),OtrosR!$C$3:$C65,$A63,OtrosR!$B$3:$B65,EP$1))</f>
        <v>#N/A</v>
      </c>
    </row>
    <row r="64" ht="15.75" hidden="1" customHeight="1">
      <c r="A64" s="6" t="str">
        <f>Menus!Q10</f>
        <v/>
      </c>
      <c r="B64" s="43" t="str">
        <f t="shared" si="53"/>
        <v>#N/A</v>
      </c>
      <c r="C64" s="56" t="str">
        <f t="array" ref="C64">SUM(SUMIFS(INDIRECT($A$5),OtrosR!$C$3:$C65,$A64,OtrosR!$B$3:$B65,C$1))</f>
        <v>#N/A</v>
      </c>
      <c r="D64" s="55" t="str">
        <f t="array" ref="D64">SUM(SUMIFS(INDIRECT($A$5),OtrosR!$C$3:$C65,$A64,OtrosR!$B$3:$B65,D$1))</f>
        <v>#N/A</v>
      </c>
      <c r="E64" s="16" t="str">
        <f t="array" ref="E64">SUM(SUMIFS(INDIRECT($A$5),OtrosR!$C$3:$C65,$A64,OtrosR!$B$3:$B65,E$1))</f>
        <v>#N/A</v>
      </c>
      <c r="F64" s="17" t="str">
        <f t="array" ref="F64">SUM(SUMIFS(INDIRECT($A$5),OtrosR!$C$3:$C65,$A64,OtrosR!$B$3:$B65,F$1))</f>
        <v>#N/A</v>
      </c>
      <c r="G64" s="16" t="str">
        <f t="array" ref="G64">SUM(SUMIFS(INDIRECT($A$5),OtrosR!$C$3:$C65,$A64,OtrosR!$B$3:$B65,G$1))</f>
        <v>#N/A</v>
      </c>
      <c r="H64" s="17" t="str">
        <f t="array" ref="H64">SUM(SUMIFS(INDIRECT($A$5),OtrosR!$C$3:$C65,$A64,OtrosR!$B$3:$B65,H$1))</f>
        <v>#N/A</v>
      </c>
      <c r="I64" s="16" t="str">
        <f t="array" ref="I64">SUM(SUMIFS(INDIRECT($A$5),OtrosR!$C$3:$C65,$A64,OtrosR!$B$3:$B65,I$1))</f>
        <v>#N/A</v>
      </c>
      <c r="J64" s="17" t="str">
        <f t="array" ref="J64">SUM(SUMIFS(INDIRECT($A$5),OtrosR!$C$3:$C65,$A64,OtrosR!$B$3:$B65,J$1))</f>
        <v>#N/A</v>
      </c>
      <c r="K64" s="16" t="str">
        <f t="array" ref="K64">SUM(SUMIFS(INDIRECT($A$5),OtrosR!$C$3:$C65,$A64,OtrosR!$B$3:$B65,K$1))</f>
        <v>#N/A</v>
      </c>
      <c r="L64" s="17" t="str">
        <f t="array" ref="L64">SUM(SUMIFS(INDIRECT($A$5),OtrosR!$C$3:$C65,$A64,OtrosR!$B$3:$B65,L$1))</f>
        <v>#N/A</v>
      </c>
      <c r="M64" s="16" t="str">
        <f t="array" ref="M64">SUM(SUMIFS(INDIRECT($A$5),OtrosR!$C$3:$C65,$A64,OtrosR!$B$3:$B65,M$1))</f>
        <v>#N/A</v>
      </c>
      <c r="N64" s="17" t="str">
        <f t="array" ref="N64">SUM(SUMIFS(INDIRECT($A$5),OtrosR!$C$3:$C65,$A64,OtrosR!$B$3:$B65,N$1))</f>
        <v>#N/A</v>
      </c>
      <c r="O64" s="16" t="str">
        <f t="array" ref="O64">SUM(SUMIFS(INDIRECT($A$5),OtrosR!$C$3:$C65,$A64,OtrosR!$B$3:$B65,O$1))</f>
        <v>#N/A</v>
      </c>
      <c r="P64" s="17" t="str">
        <f t="array" ref="P64">SUM(SUMIFS(INDIRECT($A$5),OtrosR!$C$3:$C65,$A64,OtrosR!$B$3:$B65,P$1))</f>
        <v>#N/A</v>
      </c>
      <c r="Q64" s="16" t="str">
        <f t="array" ref="Q64">SUM(SUMIFS(INDIRECT($A$5),OtrosR!$C$3:$C65,$A64,OtrosR!$B$3:$B65,Q$1))</f>
        <v>#N/A</v>
      </c>
      <c r="R64" s="17" t="str">
        <f t="array" ref="R64">SUM(SUMIFS(INDIRECT($A$5),OtrosR!$C$3:$C65,$A64,OtrosR!$B$3:$B65,R$1))</f>
        <v>#N/A</v>
      </c>
      <c r="S64" s="16" t="str">
        <f t="array" ref="S64">SUM(SUMIFS(INDIRECT($A$5),OtrosR!$C$3:$C65,$A64,OtrosR!$B$3:$B65,S$1))</f>
        <v>#N/A</v>
      </c>
      <c r="T64" s="17" t="str">
        <f t="array" ref="T64">SUM(SUMIFS(INDIRECT($A$5),OtrosR!$C$3:$C65,$A64,OtrosR!$B$3:$B65,T$1))</f>
        <v>#N/A</v>
      </c>
      <c r="U64" s="16" t="str">
        <f t="array" ref="U64">SUM(SUMIFS(INDIRECT($A$5),OtrosR!$C$3:$C65,$A64,OtrosR!$B$3:$B65,U$1))</f>
        <v>#N/A</v>
      </c>
      <c r="V64" s="17" t="str">
        <f t="array" ref="V64">SUM(SUMIFS(INDIRECT($A$5),OtrosR!$C$3:$C65,$A64,OtrosR!$B$3:$B65,V$1))</f>
        <v>#N/A</v>
      </c>
      <c r="W64" s="16" t="str">
        <f t="array" ref="W64">SUM(SUMIFS(INDIRECT($A$5),OtrosR!$C$3:$C65,$A64,OtrosR!$B$3:$B65,W$1))</f>
        <v>#N/A</v>
      </c>
      <c r="X64" s="17" t="str">
        <f t="array" ref="X64">SUM(SUMIFS(INDIRECT($A$5),OtrosR!$C$3:$C65,$A64,OtrosR!$B$3:$B65,X$1))</f>
        <v>#N/A</v>
      </c>
      <c r="Y64" s="16" t="str">
        <f t="array" ref="Y64">SUM(SUMIFS(INDIRECT($A$5),OtrosR!$C$3:$C65,$A64,OtrosR!$B$3:$B65,Y$1))</f>
        <v>#N/A</v>
      </c>
      <c r="Z64" s="17" t="str">
        <f t="array" ref="Z64">SUM(SUMIFS(INDIRECT($A$5),OtrosR!$C$3:$C65,$A64,OtrosR!$B$3:$B65,Z$1))</f>
        <v>#N/A</v>
      </c>
      <c r="AA64" s="16" t="str">
        <f t="array" ref="AA64">SUM(SUMIFS(INDIRECT($A$5),OtrosR!$C$3:$C65,$A64,OtrosR!$B$3:$B65,AA$1))</f>
        <v>#N/A</v>
      </c>
      <c r="AB64" s="17" t="str">
        <f t="array" ref="AB64">SUM(SUMIFS(INDIRECT($A$5),OtrosR!$C$3:$C65,$A64,OtrosR!$B$3:$B65,AB$1))</f>
        <v>#N/A</v>
      </c>
      <c r="AC64" s="16" t="str">
        <f t="array" ref="AC64">SUM(SUMIFS(INDIRECT($A$5),OtrosR!$C$3:$C65,$A64,OtrosR!$B$3:$B65,AC$1))</f>
        <v>#N/A</v>
      </c>
      <c r="AD64" s="17" t="str">
        <f t="array" ref="AD64">SUM(SUMIFS(INDIRECT($A$5),OtrosR!$C$3:$C65,$A64,OtrosR!$B$3:$B65,AD$1))</f>
        <v>#N/A</v>
      </c>
      <c r="AE64" s="16" t="str">
        <f t="array" ref="AE64">SUM(SUMIFS(INDIRECT($A$5),OtrosR!$C$3:$C65,$A64,OtrosR!$B$3:$B65,AE$1))</f>
        <v>#N/A</v>
      </c>
      <c r="AF64" s="17" t="str">
        <f t="array" ref="AF64">SUM(SUMIFS(INDIRECT($A$5),OtrosR!$C$3:$C65,$A64,OtrosR!$B$3:$B65,AF$1))</f>
        <v>#N/A</v>
      </c>
      <c r="AG64" s="16" t="str">
        <f t="array" ref="AG64">SUM(SUMIFS(INDIRECT($A$5),OtrosR!$C$3:$C65,$A64,OtrosR!$B$3:$B65,AG$1))</f>
        <v>#N/A</v>
      </c>
      <c r="AH64" s="17" t="str">
        <f t="array" ref="AH64">SUM(SUMIFS(INDIRECT($A$5),OtrosR!$C$3:$C65,$A64,OtrosR!$B$3:$B65,AH$1))</f>
        <v>#N/A</v>
      </c>
      <c r="AI64" s="16" t="str">
        <f t="array" ref="AI64">SUM(SUMIFS(INDIRECT($A$5),OtrosR!$C$3:$C65,$A64,OtrosR!$B$3:$B65,AI$1))</f>
        <v>#N/A</v>
      </c>
      <c r="AJ64" s="17" t="str">
        <f t="array" ref="AJ64">SUM(SUMIFS(INDIRECT($A$5),OtrosR!$C$3:$C65,$A64,OtrosR!$B$3:$B65,AJ$1))</f>
        <v>#N/A</v>
      </c>
      <c r="AK64" s="16" t="str">
        <f t="array" ref="AK64">SUM(SUMIFS(INDIRECT($A$5),OtrosR!$C$3:$C65,$A64,OtrosR!$B$3:$B65,AK$1))</f>
        <v>#N/A</v>
      </c>
      <c r="AL64" s="17" t="str">
        <f t="array" ref="AL64">SUM(SUMIFS(INDIRECT($A$5),OtrosR!$C$3:$C65,$A64,OtrosR!$B$3:$B65,AL$1))</f>
        <v>#N/A</v>
      </c>
      <c r="AM64" s="16" t="str">
        <f t="array" ref="AM64">SUM(SUMIFS(INDIRECT($A$5),OtrosR!$C$3:$C65,$A64,OtrosR!$B$3:$B65,AM$1))</f>
        <v>#N/A</v>
      </c>
      <c r="AN64" s="17" t="str">
        <f t="array" ref="AN64">SUM(SUMIFS(INDIRECT($A$5),OtrosR!$C$3:$C65,$A64,OtrosR!$B$3:$B65,AN$1))</f>
        <v>#N/A</v>
      </c>
      <c r="AO64" s="16" t="str">
        <f t="array" ref="AO64">SUM(SUMIFS(INDIRECT($A$5),OtrosR!$C$3:$C65,$A64,OtrosR!$B$3:$B65,AO$1))</f>
        <v>#N/A</v>
      </c>
      <c r="AP64" s="17" t="str">
        <f t="array" ref="AP64">SUM(SUMIFS(INDIRECT($A$5),OtrosR!$C$3:$C65,$A64,OtrosR!$B$3:$B65,AP$1))</f>
        <v>#N/A</v>
      </c>
      <c r="AQ64" s="16" t="str">
        <f t="array" ref="AQ64">SUM(SUMIFS(INDIRECT($A$5),OtrosR!$C$3:$C65,$A64,OtrosR!$B$3:$B65,AQ$1))</f>
        <v>#N/A</v>
      </c>
      <c r="AR64" s="17" t="str">
        <f t="array" ref="AR64">SUM(SUMIFS(INDIRECT($A$5),OtrosR!$C$3:$C65,$A64,OtrosR!$B$3:$B65,AR$1))</f>
        <v>#N/A</v>
      </c>
      <c r="AS64" s="16" t="str">
        <f t="array" ref="AS64">SUM(SUMIFS(INDIRECT($A$5),OtrosR!$C$3:$C65,$A64,OtrosR!$B$3:$B65,AS$1))</f>
        <v>#N/A</v>
      </c>
      <c r="AT64" s="17" t="str">
        <f t="array" ref="AT64">SUM(SUMIFS(INDIRECT($A$5),OtrosR!$C$3:$C65,$A64,OtrosR!$B$3:$B65,AT$1))</f>
        <v>#N/A</v>
      </c>
      <c r="AU64" s="16" t="str">
        <f t="array" ref="AU64">SUM(SUMIFS(INDIRECT($A$5),OtrosR!$C$3:$C65,$A64,OtrosR!$B$3:$B65,AU$1))</f>
        <v>#N/A</v>
      </c>
      <c r="AV64" s="17" t="str">
        <f t="array" ref="AV64">SUM(SUMIFS(INDIRECT($A$5),OtrosR!$C$3:$C65,$A64,OtrosR!$B$3:$B65,AV$1))</f>
        <v>#N/A</v>
      </c>
      <c r="AW64" s="16" t="str">
        <f t="array" ref="AW64">SUM(SUMIFS(INDIRECT($A$5),OtrosR!$C$3:$C65,$A64,OtrosR!$B$3:$B65,AW$1))</f>
        <v>#N/A</v>
      </c>
      <c r="AX64" s="17" t="str">
        <f t="array" ref="AX64">SUM(SUMIFS(INDIRECT($A$5),OtrosR!$C$3:$C65,$A64,OtrosR!$B$3:$B65,AX$1))</f>
        <v>#N/A</v>
      </c>
      <c r="AY64" s="16" t="str">
        <f t="array" ref="AY64">SUM(SUMIFS(INDIRECT($A$5),OtrosR!$C$3:$C65,$A64,OtrosR!$B$3:$B65,AY$1))</f>
        <v>#N/A</v>
      </c>
      <c r="AZ64" s="17" t="str">
        <f t="array" ref="AZ64">SUM(SUMIFS(INDIRECT($A$5),OtrosR!$C$3:$C65,$A64,OtrosR!$B$3:$B65,AZ$1))</f>
        <v>#N/A</v>
      </c>
      <c r="BA64" s="16" t="str">
        <f t="array" ref="BA64">SUM(SUMIFS(INDIRECT($A$5),OtrosR!$C$3:$C65,$A64,OtrosR!$B$3:$B65,BA$1))</f>
        <v>#N/A</v>
      </c>
      <c r="BB64" s="17" t="str">
        <f t="array" ref="BB64">SUM(SUMIFS(INDIRECT($A$5),OtrosR!$C$3:$C65,$A64,OtrosR!$B$3:$B65,BB$1))</f>
        <v>#N/A</v>
      </c>
      <c r="BC64" s="16" t="str">
        <f t="array" ref="BC64">SUM(SUMIFS(INDIRECT($A$5),OtrosR!$C$3:$C65,$A64,OtrosR!$B$3:$B65,BC$1))</f>
        <v>#N/A</v>
      </c>
      <c r="BD64" s="17" t="str">
        <f t="array" ref="BD64">SUM(SUMIFS(INDIRECT($A$5),OtrosR!$C$3:$C65,$A64,OtrosR!$B$3:$B65,BD$1))</f>
        <v>#N/A</v>
      </c>
      <c r="BE64" s="16" t="str">
        <f t="array" ref="BE64">SUM(SUMIFS(INDIRECT($A$5),OtrosR!$C$3:$C65,$A64,OtrosR!$B$3:$B65,BE$1))</f>
        <v>#N/A</v>
      </c>
      <c r="BF64" s="17" t="str">
        <f t="array" ref="BF64">SUM(SUMIFS(INDIRECT($A$5),OtrosR!$C$3:$C65,$A64,OtrosR!$B$3:$B65,BF$1))</f>
        <v>#N/A</v>
      </c>
      <c r="BG64" s="16" t="str">
        <f t="array" ref="BG64">SUM(SUMIFS(INDIRECT($A$5),OtrosR!$C$3:$C65,$A64,OtrosR!$B$3:$B65,BG$1))</f>
        <v>#N/A</v>
      </c>
      <c r="BH64" s="17" t="str">
        <f t="array" ref="BH64">SUM(SUMIFS(INDIRECT($A$5),OtrosR!$C$3:$C65,$A64,OtrosR!$B$3:$B65,BH$1))</f>
        <v>#N/A</v>
      </c>
      <c r="BI64" s="16" t="str">
        <f t="array" ref="BI64">SUM(SUMIFS(INDIRECT($A$5),OtrosR!$C$3:$C65,$A64,OtrosR!$B$3:$B65,BI$1))</f>
        <v>#N/A</v>
      </c>
      <c r="BJ64" s="17" t="str">
        <f t="array" ref="BJ64">SUM(SUMIFS(INDIRECT($A$5),OtrosR!$C$3:$C65,$A64,OtrosR!$B$3:$B65,BJ$1))</f>
        <v>#N/A</v>
      </c>
      <c r="BK64" s="16" t="str">
        <f t="array" ref="BK64">SUM(SUMIFS(INDIRECT($A$5),OtrosR!$C$3:$C65,$A64,OtrosR!$B$3:$B65,BK$1))</f>
        <v>#N/A</v>
      </c>
      <c r="BL64" s="17" t="str">
        <f t="array" ref="BL64">SUM(SUMIFS(INDIRECT($A$5),OtrosR!$C$3:$C65,$A64,OtrosR!$B$3:$B65,BL$1))</f>
        <v>#N/A</v>
      </c>
      <c r="BM64" s="16" t="str">
        <f t="array" ref="BM64">SUM(SUMIFS(INDIRECT($A$5),OtrosR!$C$3:$C65,$A64,OtrosR!$B$3:$B65,BM$1))</f>
        <v>#N/A</v>
      </c>
      <c r="BN64" s="17" t="str">
        <f t="array" ref="BN64">SUM(SUMIFS(INDIRECT($A$5),OtrosR!$C$3:$C65,$A64,OtrosR!$B$3:$B65,BN$1))</f>
        <v>#N/A</v>
      </c>
      <c r="BO64" s="16" t="str">
        <f t="array" ref="BO64">SUM(SUMIFS(INDIRECT($A$5),OtrosR!$C$3:$C65,$A64,OtrosR!$B$3:$B65,BO$1))</f>
        <v>#N/A</v>
      </c>
      <c r="BP64" s="17" t="str">
        <f t="array" ref="BP64">SUM(SUMIFS(INDIRECT($A$5),OtrosR!$C$3:$C65,$A64,OtrosR!$B$3:$B65,BP$1))</f>
        <v>#N/A</v>
      </c>
      <c r="BQ64" s="16" t="str">
        <f t="array" ref="BQ64">SUM(SUMIFS(INDIRECT($A$5),OtrosR!$C$3:$C65,$A64,OtrosR!$B$3:$B65,BQ$1))</f>
        <v>#N/A</v>
      </c>
      <c r="BR64" s="17" t="str">
        <f t="array" ref="BR64">SUM(SUMIFS(INDIRECT($A$5),OtrosR!$C$3:$C65,$A64,OtrosR!$B$3:$B65,BR$1))</f>
        <v>#N/A</v>
      </c>
      <c r="BS64" s="16" t="str">
        <f t="array" ref="BS64">SUM(SUMIFS(INDIRECT($A$5),OtrosR!$C$3:$C65,$A64,OtrosR!$B$3:$B65,BS$1))</f>
        <v>#N/A</v>
      </c>
      <c r="BT64" s="17" t="str">
        <f t="array" ref="BT64">SUM(SUMIFS(INDIRECT($A$5),OtrosR!$C$3:$C65,$A64,OtrosR!$B$3:$B65,BT$1))</f>
        <v>#N/A</v>
      </c>
      <c r="BU64" s="16" t="str">
        <f t="array" ref="BU64">SUM(SUMIFS(INDIRECT($A$5),OtrosR!$C$3:$C65,$A64,OtrosR!$B$3:$B65,BU$1))</f>
        <v>#N/A</v>
      </c>
      <c r="BV64" s="17" t="str">
        <f t="array" ref="BV64">SUM(SUMIFS(INDIRECT($A$5),OtrosR!$C$3:$C65,$A64,OtrosR!$B$3:$B65,BV$1))</f>
        <v>#N/A</v>
      </c>
      <c r="BW64" s="16" t="str">
        <f t="array" ref="BW64">SUM(SUMIFS(INDIRECT($A$5),OtrosR!$C$3:$C65,$A64,OtrosR!$B$3:$B65,BW$1))</f>
        <v>#N/A</v>
      </c>
      <c r="BX64" s="17" t="str">
        <f t="array" ref="BX64">SUM(SUMIFS(INDIRECT($A$5),OtrosR!$C$3:$C65,$A64,OtrosR!$B$3:$B65,BX$1))</f>
        <v>#N/A</v>
      </c>
      <c r="BY64" s="16" t="str">
        <f t="array" ref="BY64">SUM(SUMIFS(INDIRECT($A$5),OtrosR!$C$3:$C65,$A64,OtrosR!$B$3:$B65,BY$1))</f>
        <v>#N/A</v>
      </c>
      <c r="BZ64" s="17" t="str">
        <f t="array" ref="BZ64">SUM(SUMIFS(INDIRECT($A$5),OtrosR!$C$3:$C65,$A64,OtrosR!$B$3:$B65,BZ$1))</f>
        <v>#N/A</v>
      </c>
      <c r="CA64" s="16" t="str">
        <f t="array" ref="CA64">SUM(SUMIFS(INDIRECT($A$5),OtrosR!$C$3:$C65,$A64,OtrosR!$B$3:$B65,CA$1))</f>
        <v>#N/A</v>
      </c>
      <c r="CB64" s="17" t="str">
        <f t="array" ref="CB64">SUM(SUMIFS(INDIRECT($A$5),OtrosR!$C$3:$C65,$A64,OtrosR!$B$3:$B65,CB$1))</f>
        <v>#N/A</v>
      </c>
      <c r="CC64" s="16" t="str">
        <f t="array" ref="CC64">SUM(SUMIFS(INDIRECT($A$5),OtrosR!$C$3:$C65,$A64,OtrosR!$B$3:$B65,CC$1))</f>
        <v>#N/A</v>
      </c>
      <c r="CD64" s="17" t="str">
        <f t="array" ref="CD64">SUM(SUMIFS(INDIRECT($A$5),OtrosR!$C$3:$C65,$A64,OtrosR!$B$3:$B65,CD$1))</f>
        <v>#N/A</v>
      </c>
      <c r="CE64" s="16" t="str">
        <f t="array" ref="CE64">SUM(SUMIFS(INDIRECT($A$5),OtrosR!$C$3:$C65,$A64,OtrosR!$B$3:$B65,CE$1))</f>
        <v>#N/A</v>
      </c>
      <c r="CF64" s="17" t="str">
        <f t="array" ref="CF64">SUM(SUMIFS(INDIRECT($A$5),OtrosR!$C$3:$C65,$A64,OtrosR!$B$3:$B65,CF$1))</f>
        <v>#N/A</v>
      </c>
      <c r="CG64" s="16" t="str">
        <f t="array" ref="CG64">SUM(SUMIFS(INDIRECT($A$5),OtrosR!$C$3:$C65,$A64,OtrosR!$B$3:$B65,CG$1))</f>
        <v>#N/A</v>
      </c>
      <c r="CH64" s="17" t="str">
        <f t="array" ref="CH64">SUM(SUMIFS(INDIRECT($A$5),OtrosR!$C$3:$C65,$A64,OtrosR!$B$3:$B65,CH$1))</f>
        <v>#N/A</v>
      </c>
      <c r="CI64" s="16" t="str">
        <f t="array" ref="CI64">SUM(SUMIFS(INDIRECT($A$5),OtrosR!$C$3:$C65,$A64,OtrosR!$B$3:$B65,CI$1))</f>
        <v>#N/A</v>
      </c>
      <c r="CJ64" s="17" t="str">
        <f t="array" ref="CJ64">SUM(SUMIFS(INDIRECT($A$5),OtrosR!$C$3:$C65,$A64,OtrosR!$B$3:$B65,CJ$1))</f>
        <v>#N/A</v>
      </c>
      <c r="CK64" s="16" t="str">
        <f t="array" ref="CK64">SUM(SUMIFS(INDIRECT($A$5),OtrosR!$C$3:$C65,$A64,OtrosR!$B$3:$B65,CK$1))</f>
        <v>#N/A</v>
      </c>
      <c r="CL64" s="17" t="str">
        <f t="array" ref="CL64">SUM(SUMIFS(INDIRECT($A$5),OtrosR!$C$3:$C65,$A64,OtrosR!$B$3:$B65,CL$1))</f>
        <v>#N/A</v>
      </c>
      <c r="CM64" s="16" t="str">
        <f t="array" ref="CM64">SUM(SUMIFS(INDIRECT($A$5),OtrosR!$C$3:$C65,$A64,OtrosR!$B$3:$B65,CM$1))</f>
        <v>#N/A</v>
      </c>
      <c r="CN64" s="17" t="str">
        <f t="array" ref="CN64">SUM(SUMIFS(INDIRECT($A$5),OtrosR!$C$3:$C65,$A64,OtrosR!$B$3:$B65,CN$1))</f>
        <v>#N/A</v>
      </c>
      <c r="CO64" s="16" t="str">
        <f t="array" ref="CO64">SUM(SUMIFS(INDIRECT($A$5),OtrosR!$C$3:$C65,$A64,OtrosR!$B$3:$B65,CO$1))</f>
        <v>#N/A</v>
      </c>
      <c r="CP64" s="17" t="str">
        <f t="array" ref="CP64">SUM(SUMIFS(INDIRECT($A$5),OtrosR!$C$3:$C65,$A64,OtrosR!$B$3:$B65,CP$1))</f>
        <v>#N/A</v>
      </c>
      <c r="CQ64" s="16" t="str">
        <f t="array" ref="CQ64">SUM(SUMIFS(INDIRECT($A$5),OtrosR!$C$3:$C65,$A64,OtrosR!$B$3:$B65,CQ$1))</f>
        <v>#N/A</v>
      </c>
      <c r="CR64" s="17" t="str">
        <f t="array" ref="CR64">SUM(SUMIFS(INDIRECT($A$5),OtrosR!$C$3:$C65,$A64,OtrosR!$B$3:$B65,CR$1))</f>
        <v>#N/A</v>
      </c>
      <c r="CS64" s="16" t="str">
        <f t="array" ref="CS64">SUM(SUMIFS(INDIRECT($A$5),OtrosR!$C$3:$C65,$A64,OtrosR!$B$3:$B65,CS$1))</f>
        <v>#N/A</v>
      </c>
      <c r="CT64" s="17" t="str">
        <f t="array" ref="CT64">SUM(SUMIFS(INDIRECT($A$5),OtrosR!$C$3:$C65,$A64,OtrosR!$B$3:$B65,CT$1))</f>
        <v>#N/A</v>
      </c>
      <c r="CU64" s="16" t="str">
        <f t="array" ref="CU64">SUM(SUMIFS(INDIRECT($A$5),OtrosR!$C$3:$C65,$A64,OtrosR!$B$3:$B65,CU$1))</f>
        <v>#N/A</v>
      </c>
      <c r="CV64" s="17" t="str">
        <f t="array" ref="CV64">SUM(SUMIFS(INDIRECT($A$5),OtrosR!$C$3:$C65,$A64,OtrosR!$B$3:$B65,CV$1))</f>
        <v>#N/A</v>
      </c>
      <c r="CW64" s="16" t="str">
        <f t="array" ref="CW64">SUM(SUMIFS(INDIRECT($A$5),OtrosR!$C$3:$C65,$A64,OtrosR!$B$3:$B65,CW$1))</f>
        <v>#N/A</v>
      </c>
      <c r="CX64" s="17" t="str">
        <f t="array" ref="CX64">SUM(SUMIFS(INDIRECT($A$5),OtrosR!$C$3:$C65,$A64,OtrosR!$B$3:$B65,CX$1))</f>
        <v>#N/A</v>
      </c>
      <c r="CY64" s="16" t="str">
        <f t="array" ref="CY64">SUM(SUMIFS(INDIRECT($A$5),OtrosR!$C$3:$C65,$A64,OtrosR!$B$3:$B65,CY$1))</f>
        <v>#N/A</v>
      </c>
      <c r="CZ64" s="17" t="str">
        <f t="array" ref="CZ64">SUM(SUMIFS(INDIRECT($A$5),OtrosR!$C$3:$C65,$A64,OtrosR!$B$3:$B65,CZ$1))</f>
        <v>#N/A</v>
      </c>
      <c r="DA64" s="16" t="str">
        <f t="array" ref="DA64">SUM(SUMIFS(INDIRECT($A$5),OtrosR!$C$3:$C65,$A64,OtrosR!$B$3:$B65,DA$1))</f>
        <v>#N/A</v>
      </c>
      <c r="DB64" s="17" t="str">
        <f t="array" ref="DB64">SUM(SUMIFS(INDIRECT($A$5),OtrosR!$C$3:$C65,$A64,OtrosR!$B$3:$B65,DB$1))</f>
        <v>#N/A</v>
      </c>
      <c r="DC64" s="16" t="str">
        <f t="array" ref="DC64">SUM(SUMIFS(INDIRECT($A$5),OtrosR!$C$3:$C65,$A64,OtrosR!$B$3:$B65,DC$1))</f>
        <v>#N/A</v>
      </c>
      <c r="DD64" s="17" t="str">
        <f t="array" ref="DD64">SUM(SUMIFS(INDIRECT($A$5),OtrosR!$C$3:$C65,$A64,OtrosR!$B$3:$B65,DD$1))</f>
        <v>#N/A</v>
      </c>
      <c r="DE64" s="16" t="str">
        <f t="array" ref="DE64">SUM(SUMIFS(INDIRECT($A$5),OtrosR!$C$3:$C65,$A64,OtrosR!$B$3:$B65,DE$1))</f>
        <v>#N/A</v>
      </c>
      <c r="DF64" s="17" t="str">
        <f t="array" ref="DF64">SUM(SUMIFS(INDIRECT($A$5),OtrosR!$C$3:$C65,$A64,OtrosR!$B$3:$B65,DF$1))</f>
        <v>#N/A</v>
      </c>
      <c r="DG64" s="16" t="str">
        <f t="array" ref="DG64">SUM(SUMIFS(INDIRECT($A$5),OtrosR!$C$3:$C65,$A64,OtrosR!$B$3:$B65,DG$1))</f>
        <v>#N/A</v>
      </c>
      <c r="DH64" s="17" t="str">
        <f t="array" ref="DH64">SUM(SUMIFS(INDIRECT($A$5),OtrosR!$C$3:$C65,$A64,OtrosR!$B$3:$B65,DH$1))</f>
        <v>#N/A</v>
      </c>
      <c r="DI64" s="16" t="str">
        <f t="array" ref="DI64">SUM(SUMIFS(INDIRECT($A$5),OtrosR!$C$3:$C65,$A64,OtrosR!$B$3:$B65,DI$1))</f>
        <v>#N/A</v>
      </c>
      <c r="DJ64" s="17" t="str">
        <f t="array" ref="DJ64">SUM(SUMIFS(INDIRECT($A$5),OtrosR!$C$3:$C65,$A64,OtrosR!$B$3:$B65,DJ$1))</f>
        <v>#N/A</v>
      </c>
      <c r="DK64" s="16" t="str">
        <f t="array" ref="DK64">SUM(SUMIFS(INDIRECT($A$5),OtrosR!$C$3:$C65,$A64,OtrosR!$B$3:$B65,DK$1))</f>
        <v>#N/A</v>
      </c>
      <c r="DL64" s="17" t="str">
        <f t="array" ref="DL64">SUM(SUMIFS(INDIRECT($A$5),OtrosR!$C$3:$C65,$A64,OtrosR!$B$3:$B65,DL$1))</f>
        <v>#N/A</v>
      </c>
      <c r="DM64" s="16" t="str">
        <f t="array" ref="DM64">SUM(SUMIFS(INDIRECT($A$5),OtrosR!$C$3:$C65,$A64,OtrosR!$B$3:$B65,DM$1))</f>
        <v>#N/A</v>
      </c>
      <c r="DN64" s="17" t="str">
        <f t="array" ref="DN64">SUM(SUMIFS(INDIRECT($A$5),OtrosR!$C$3:$C65,$A64,OtrosR!$B$3:$B65,DN$1))</f>
        <v>#N/A</v>
      </c>
      <c r="DO64" s="16" t="str">
        <f t="array" ref="DO64">SUM(SUMIFS(INDIRECT($A$5),OtrosR!$C$3:$C65,$A64,OtrosR!$B$3:$B65,DO$1))</f>
        <v>#N/A</v>
      </c>
      <c r="DP64" s="17" t="str">
        <f t="array" ref="DP64">SUM(SUMIFS(INDIRECT($A$5),OtrosR!$C$3:$C65,$A64,OtrosR!$B$3:$B65,DP$1))</f>
        <v>#N/A</v>
      </c>
      <c r="DQ64" s="16" t="str">
        <f t="array" ref="DQ64">SUM(SUMIFS(INDIRECT($A$5),OtrosR!$C$3:$C65,$A64,OtrosR!$B$3:$B65,DQ$1))</f>
        <v>#N/A</v>
      </c>
      <c r="DR64" s="17" t="str">
        <f t="array" ref="DR64">SUM(SUMIFS(INDIRECT($A$5),OtrosR!$C$3:$C65,$A64,OtrosR!$B$3:$B65,DR$1))</f>
        <v>#N/A</v>
      </c>
      <c r="DS64" s="16" t="str">
        <f t="array" ref="DS64">SUM(SUMIFS(INDIRECT($A$5),OtrosR!$C$3:$C65,$A64,OtrosR!$B$3:$B65,DS$1))</f>
        <v>#N/A</v>
      </c>
      <c r="DT64" s="17" t="str">
        <f t="array" ref="DT64">SUM(SUMIFS(INDIRECT($A$5),OtrosR!$C$3:$C65,$A64,OtrosR!$B$3:$B65,DT$1))</f>
        <v>#N/A</v>
      </c>
      <c r="DU64" s="16" t="str">
        <f t="array" ref="DU64">SUM(SUMIFS(INDIRECT($A$5),OtrosR!$C$3:$C65,$A64,OtrosR!$B$3:$B65,DU$1))</f>
        <v>#N/A</v>
      </c>
      <c r="DV64" s="17" t="str">
        <f t="array" ref="DV64">SUM(SUMIFS(INDIRECT($A$5),OtrosR!$C$3:$C65,$A64,OtrosR!$B$3:$B65,DV$1))</f>
        <v>#N/A</v>
      </c>
      <c r="DW64" s="16" t="str">
        <f t="array" ref="DW64">SUM(SUMIFS(INDIRECT($A$5),OtrosR!$C$3:$C65,$A64,OtrosR!$B$3:$B65,DW$1))</f>
        <v>#N/A</v>
      </c>
      <c r="DX64" s="17" t="str">
        <f t="array" ref="DX64">SUM(SUMIFS(INDIRECT($A$5),OtrosR!$C$3:$C65,$A64,OtrosR!$B$3:$B65,DX$1))</f>
        <v>#N/A</v>
      </c>
      <c r="DY64" s="16" t="str">
        <f t="array" ref="DY64">SUM(SUMIFS(INDIRECT($A$5),OtrosR!$C$3:$C65,$A64,OtrosR!$B$3:$B65,DY$1))</f>
        <v>#N/A</v>
      </c>
      <c r="DZ64" s="17" t="str">
        <f t="array" ref="DZ64">SUM(SUMIFS(INDIRECT($A$5),OtrosR!$C$3:$C65,$A64,OtrosR!$B$3:$B65,DZ$1))</f>
        <v>#N/A</v>
      </c>
      <c r="EA64" s="16" t="str">
        <f t="array" ref="EA64">SUM(SUMIFS(INDIRECT($A$5),OtrosR!$C$3:$C65,$A64,OtrosR!$B$3:$B65,EA$1))</f>
        <v>#N/A</v>
      </c>
      <c r="EB64" s="17" t="str">
        <f t="array" ref="EB64">SUM(SUMIFS(INDIRECT($A$5),OtrosR!$C$3:$C65,$A64,OtrosR!$B$3:$B65,EB$1))</f>
        <v>#N/A</v>
      </c>
      <c r="EC64" s="16" t="str">
        <f t="array" ref="EC64">SUM(SUMIFS(INDIRECT($A$5),OtrosR!$C$3:$C65,$A64,OtrosR!$B$3:$B65,EC$1))</f>
        <v>#N/A</v>
      </c>
      <c r="ED64" s="17" t="str">
        <f t="array" ref="ED64">SUM(SUMIFS(INDIRECT($A$5),OtrosR!$C$3:$C65,$A64,OtrosR!$B$3:$B65,ED$1))</f>
        <v>#N/A</v>
      </c>
      <c r="EE64" s="16" t="str">
        <f t="array" ref="EE64">SUM(SUMIFS(INDIRECT($A$5),OtrosR!$C$3:$C65,$A64,OtrosR!$B$3:$B65,EE$1))</f>
        <v>#N/A</v>
      </c>
      <c r="EF64" s="17" t="str">
        <f t="array" ref="EF64">SUM(SUMIFS(INDIRECT($A$5),OtrosR!$C$3:$C65,$A64,OtrosR!$B$3:$B65,EF$1))</f>
        <v>#N/A</v>
      </c>
      <c r="EG64" s="16" t="str">
        <f t="array" ref="EG64">SUM(SUMIFS(INDIRECT($A$5),OtrosR!$C$3:$C65,$A64,OtrosR!$B$3:$B65,EG$1))</f>
        <v>#N/A</v>
      </c>
      <c r="EH64" s="17" t="str">
        <f t="array" ref="EH64">SUM(SUMIFS(INDIRECT($A$5),OtrosR!$C$3:$C65,$A64,OtrosR!$B$3:$B65,EH$1))</f>
        <v>#N/A</v>
      </c>
      <c r="EI64" s="16" t="str">
        <f t="array" ref="EI64">SUM(SUMIFS(INDIRECT($A$5),OtrosR!$C$3:$C65,$A64,OtrosR!$B$3:$B65,EI$1))</f>
        <v>#N/A</v>
      </c>
      <c r="EJ64" s="17" t="str">
        <f t="array" ref="EJ64">SUM(SUMIFS(INDIRECT($A$5),OtrosR!$C$3:$C65,$A64,OtrosR!$B$3:$B65,EJ$1))</f>
        <v>#N/A</v>
      </c>
      <c r="EK64" s="16" t="str">
        <f t="array" ref="EK64">SUM(SUMIFS(INDIRECT($A$5),OtrosR!$C$3:$C65,$A64,OtrosR!$B$3:$B65,EK$1))</f>
        <v>#N/A</v>
      </c>
      <c r="EL64" s="17" t="str">
        <f t="array" ref="EL64">SUM(SUMIFS(INDIRECT($A$5),OtrosR!$C$3:$C65,$A64,OtrosR!$B$3:$B65,EL$1))</f>
        <v>#N/A</v>
      </c>
      <c r="EM64" s="16" t="str">
        <f t="array" ref="EM64">SUM(SUMIFS(INDIRECT($A$5),OtrosR!$C$3:$C65,$A64,OtrosR!$B$3:$B65,EM$1))</f>
        <v>#N/A</v>
      </c>
      <c r="EN64" s="17" t="str">
        <f t="array" ref="EN64">SUM(SUMIFS(INDIRECT($A$5),OtrosR!$C$3:$C65,$A64,OtrosR!$B$3:$B65,EN$1))</f>
        <v>#N/A</v>
      </c>
      <c r="EO64" s="16" t="str">
        <f t="array" ref="EO64">SUM(SUMIFS(INDIRECT($A$5),OtrosR!$C$3:$C65,$A64,OtrosR!$B$3:$B65,EO$1))</f>
        <v>#N/A</v>
      </c>
      <c r="EP64" s="17" t="str">
        <f t="array" ref="EP64">SUM(SUMIFS(INDIRECT($A$5),OtrosR!$C$3:$C65,$A64,OtrosR!$B$3:$B65,EP$1))</f>
        <v>#N/A</v>
      </c>
    </row>
    <row r="65" ht="15.75" hidden="1" customHeight="1">
      <c r="A65" s="6" t="str">
        <f>Menus!Q11</f>
        <v/>
      </c>
      <c r="B65" s="43" t="str">
        <f t="shared" si="53"/>
        <v>#N/A</v>
      </c>
      <c r="C65" s="56" t="str">
        <f t="array" ref="C65">SUM(SUMIFS(INDIRECT($A$5),OtrosR!$C$3:$C65,$A65,OtrosR!$B$3:$B65,C$1))</f>
        <v>#N/A</v>
      </c>
      <c r="D65" s="55" t="str">
        <f t="array" ref="D65">SUM(SUMIFS(INDIRECT($A$5),OtrosR!$C$3:$C65,$A65,OtrosR!$B$3:$B65,D$1))</f>
        <v>#N/A</v>
      </c>
      <c r="E65" s="16" t="str">
        <f t="array" ref="E65">SUM(SUMIFS(INDIRECT($A$5),OtrosR!$C$3:$C65,$A65,OtrosR!$B$3:$B65,E$1))</f>
        <v>#N/A</v>
      </c>
      <c r="F65" s="17" t="str">
        <f t="array" ref="F65">SUM(SUMIFS(INDIRECT($A$5),OtrosR!$C$3:$C65,$A65,OtrosR!$B$3:$B65,F$1))</f>
        <v>#N/A</v>
      </c>
      <c r="G65" s="16" t="str">
        <f t="array" ref="G65">SUM(SUMIFS(INDIRECT($A$5),OtrosR!$C$3:$C65,$A65,OtrosR!$B$3:$B65,G$1))</f>
        <v>#N/A</v>
      </c>
      <c r="H65" s="17" t="str">
        <f t="array" ref="H65">SUM(SUMIFS(INDIRECT($A$5),OtrosR!$C$3:$C65,$A65,OtrosR!$B$3:$B65,H$1))</f>
        <v>#N/A</v>
      </c>
      <c r="I65" s="16" t="str">
        <f t="array" ref="I65">SUM(SUMIFS(INDIRECT($A$5),OtrosR!$C$3:$C65,$A65,OtrosR!$B$3:$B65,I$1))</f>
        <v>#N/A</v>
      </c>
      <c r="J65" s="17" t="str">
        <f t="array" ref="J65">SUM(SUMIFS(INDIRECT($A$5),OtrosR!$C$3:$C65,$A65,OtrosR!$B$3:$B65,J$1))</f>
        <v>#N/A</v>
      </c>
      <c r="K65" s="16" t="str">
        <f t="array" ref="K65">SUM(SUMIFS(INDIRECT($A$5),OtrosR!$C$3:$C65,$A65,OtrosR!$B$3:$B65,K$1))</f>
        <v>#N/A</v>
      </c>
      <c r="L65" s="17" t="str">
        <f t="array" ref="L65">SUM(SUMIFS(INDIRECT($A$5),OtrosR!$C$3:$C65,$A65,OtrosR!$B$3:$B65,L$1))</f>
        <v>#N/A</v>
      </c>
      <c r="M65" s="16" t="str">
        <f t="array" ref="M65">SUM(SUMIFS(INDIRECT($A$5),OtrosR!$C$3:$C65,$A65,OtrosR!$B$3:$B65,M$1))</f>
        <v>#N/A</v>
      </c>
      <c r="N65" s="17" t="str">
        <f t="array" ref="N65">SUM(SUMIFS(INDIRECT($A$5),OtrosR!$C$3:$C65,$A65,OtrosR!$B$3:$B65,N$1))</f>
        <v>#N/A</v>
      </c>
      <c r="O65" s="16" t="str">
        <f t="array" ref="O65">SUM(SUMIFS(INDIRECT($A$5),OtrosR!$C$3:$C65,$A65,OtrosR!$B$3:$B65,O$1))</f>
        <v>#N/A</v>
      </c>
      <c r="P65" s="17" t="str">
        <f t="array" ref="P65">SUM(SUMIFS(INDIRECT($A$5),OtrosR!$C$3:$C65,$A65,OtrosR!$B$3:$B65,P$1))</f>
        <v>#N/A</v>
      </c>
      <c r="Q65" s="16" t="str">
        <f t="array" ref="Q65">SUM(SUMIFS(INDIRECT($A$5),OtrosR!$C$3:$C65,$A65,OtrosR!$B$3:$B65,Q$1))</f>
        <v>#N/A</v>
      </c>
      <c r="R65" s="17" t="str">
        <f t="array" ref="R65">SUM(SUMIFS(INDIRECT($A$5),OtrosR!$C$3:$C65,$A65,OtrosR!$B$3:$B65,R$1))</f>
        <v>#N/A</v>
      </c>
      <c r="S65" s="16" t="str">
        <f t="array" ref="S65">SUM(SUMIFS(INDIRECT($A$5),OtrosR!$C$3:$C65,$A65,OtrosR!$B$3:$B65,S$1))</f>
        <v>#N/A</v>
      </c>
      <c r="T65" s="17" t="str">
        <f t="array" ref="T65">SUM(SUMIFS(INDIRECT($A$5),OtrosR!$C$3:$C65,$A65,OtrosR!$B$3:$B65,T$1))</f>
        <v>#N/A</v>
      </c>
      <c r="U65" s="16" t="str">
        <f t="array" ref="U65">SUM(SUMIFS(INDIRECT($A$5),OtrosR!$C$3:$C65,$A65,OtrosR!$B$3:$B65,U$1))</f>
        <v>#N/A</v>
      </c>
      <c r="V65" s="17" t="str">
        <f t="array" ref="V65">SUM(SUMIFS(INDIRECT($A$5),OtrosR!$C$3:$C65,$A65,OtrosR!$B$3:$B65,V$1))</f>
        <v>#N/A</v>
      </c>
      <c r="W65" s="16" t="str">
        <f t="array" ref="W65">SUM(SUMIFS(INDIRECT($A$5),OtrosR!$C$3:$C65,$A65,OtrosR!$B$3:$B65,W$1))</f>
        <v>#N/A</v>
      </c>
      <c r="X65" s="17" t="str">
        <f t="array" ref="X65">SUM(SUMIFS(INDIRECT($A$5),OtrosR!$C$3:$C65,$A65,OtrosR!$B$3:$B65,X$1))</f>
        <v>#N/A</v>
      </c>
      <c r="Y65" s="16" t="str">
        <f t="array" ref="Y65">SUM(SUMIFS(INDIRECT($A$5),OtrosR!$C$3:$C65,$A65,OtrosR!$B$3:$B65,Y$1))</f>
        <v>#N/A</v>
      </c>
      <c r="Z65" s="17" t="str">
        <f t="array" ref="Z65">SUM(SUMIFS(INDIRECT($A$5),OtrosR!$C$3:$C65,$A65,OtrosR!$B$3:$B65,Z$1))</f>
        <v>#N/A</v>
      </c>
      <c r="AA65" s="16" t="str">
        <f t="array" ref="AA65">SUM(SUMIFS(INDIRECT($A$5),OtrosR!$C$3:$C65,$A65,OtrosR!$B$3:$B65,AA$1))</f>
        <v>#N/A</v>
      </c>
      <c r="AB65" s="17" t="str">
        <f t="array" ref="AB65">SUM(SUMIFS(INDIRECT($A$5),OtrosR!$C$3:$C65,$A65,OtrosR!$B$3:$B65,AB$1))</f>
        <v>#N/A</v>
      </c>
      <c r="AC65" s="16" t="str">
        <f t="array" ref="AC65">SUM(SUMIFS(INDIRECT($A$5),OtrosR!$C$3:$C65,$A65,OtrosR!$B$3:$B65,AC$1))</f>
        <v>#N/A</v>
      </c>
      <c r="AD65" s="17" t="str">
        <f t="array" ref="AD65">SUM(SUMIFS(INDIRECT($A$5),OtrosR!$C$3:$C65,$A65,OtrosR!$B$3:$B65,AD$1))</f>
        <v>#N/A</v>
      </c>
      <c r="AE65" s="16" t="str">
        <f t="array" ref="AE65">SUM(SUMIFS(INDIRECT($A$5),OtrosR!$C$3:$C65,$A65,OtrosR!$B$3:$B65,AE$1))</f>
        <v>#N/A</v>
      </c>
      <c r="AF65" s="17" t="str">
        <f t="array" ref="AF65">SUM(SUMIFS(INDIRECT($A$5),OtrosR!$C$3:$C65,$A65,OtrosR!$B$3:$B65,AF$1))</f>
        <v>#N/A</v>
      </c>
      <c r="AG65" s="16" t="str">
        <f t="array" ref="AG65">SUM(SUMIFS(INDIRECT($A$5),OtrosR!$C$3:$C65,$A65,OtrosR!$B$3:$B65,AG$1))</f>
        <v>#N/A</v>
      </c>
      <c r="AH65" s="17" t="str">
        <f t="array" ref="AH65">SUM(SUMIFS(INDIRECT($A$5),OtrosR!$C$3:$C65,$A65,OtrosR!$B$3:$B65,AH$1))</f>
        <v>#N/A</v>
      </c>
      <c r="AI65" s="16" t="str">
        <f t="array" ref="AI65">SUM(SUMIFS(INDIRECT($A$5),OtrosR!$C$3:$C65,$A65,OtrosR!$B$3:$B65,AI$1))</f>
        <v>#N/A</v>
      </c>
      <c r="AJ65" s="17" t="str">
        <f t="array" ref="AJ65">SUM(SUMIFS(INDIRECT($A$5),OtrosR!$C$3:$C65,$A65,OtrosR!$B$3:$B65,AJ$1))</f>
        <v>#N/A</v>
      </c>
      <c r="AK65" s="16" t="str">
        <f t="array" ref="AK65">SUM(SUMIFS(INDIRECT($A$5),OtrosR!$C$3:$C65,$A65,OtrosR!$B$3:$B65,AK$1))</f>
        <v>#N/A</v>
      </c>
      <c r="AL65" s="17" t="str">
        <f t="array" ref="AL65">SUM(SUMIFS(INDIRECT($A$5),OtrosR!$C$3:$C65,$A65,OtrosR!$B$3:$B65,AL$1))</f>
        <v>#N/A</v>
      </c>
      <c r="AM65" s="16" t="str">
        <f t="array" ref="AM65">SUM(SUMIFS(INDIRECT($A$5),OtrosR!$C$3:$C65,$A65,OtrosR!$B$3:$B65,AM$1))</f>
        <v>#N/A</v>
      </c>
      <c r="AN65" s="17" t="str">
        <f t="array" ref="AN65">SUM(SUMIFS(INDIRECT($A$5),OtrosR!$C$3:$C65,$A65,OtrosR!$B$3:$B65,AN$1))</f>
        <v>#N/A</v>
      </c>
      <c r="AO65" s="16" t="str">
        <f t="array" ref="AO65">SUM(SUMIFS(INDIRECT($A$5),OtrosR!$C$3:$C65,$A65,OtrosR!$B$3:$B65,AO$1))</f>
        <v>#N/A</v>
      </c>
      <c r="AP65" s="17" t="str">
        <f t="array" ref="AP65">SUM(SUMIFS(INDIRECT($A$5),OtrosR!$C$3:$C65,$A65,OtrosR!$B$3:$B65,AP$1))</f>
        <v>#N/A</v>
      </c>
      <c r="AQ65" s="16" t="str">
        <f t="array" ref="AQ65">SUM(SUMIFS(INDIRECT($A$5),OtrosR!$C$3:$C65,$A65,OtrosR!$B$3:$B65,AQ$1))</f>
        <v>#N/A</v>
      </c>
      <c r="AR65" s="17" t="str">
        <f t="array" ref="AR65">SUM(SUMIFS(INDIRECT($A$5),OtrosR!$C$3:$C65,$A65,OtrosR!$B$3:$B65,AR$1))</f>
        <v>#N/A</v>
      </c>
      <c r="AS65" s="16" t="str">
        <f t="array" ref="AS65">SUM(SUMIFS(INDIRECT($A$5),OtrosR!$C$3:$C65,$A65,OtrosR!$B$3:$B65,AS$1))</f>
        <v>#N/A</v>
      </c>
      <c r="AT65" s="17" t="str">
        <f t="array" ref="AT65">SUM(SUMIFS(INDIRECT($A$5),OtrosR!$C$3:$C65,$A65,OtrosR!$B$3:$B65,AT$1))</f>
        <v>#N/A</v>
      </c>
      <c r="AU65" s="16" t="str">
        <f t="array" ref="AU65">SUM(SUMIFS(INDIRECT($A$5),OtrosR!$C$3:$C65,$A65,OtrosR!$B$3:$B65,AU$1))</f>
        <v>#N/A</v>
      </c>
      <c r="AV65" s="17" t="str">
        <f t="array" ref="AV65">SUM(SUMIFS(INDIRECT($A$5),OtrosR!$C$3:$C65,$A65,OtrosR!$B$3:$B65,AV$1))</f>
        <v>#N/A</v>
      </c>
      <c r="AW65" s="16" t="str">
        <f t="array" ref="AW65">SUM(SUMIFS(INDIRECT($A$5),OtrosR!$C$3:$C65,$A65,OtrosR!$B$3:$B65,AW$1))</f>
        <v>#N/A</v>
      </c>
      <c r="AX65" s="17" t="str">
        <f t="array" ref="AX65">SUM(SUMIFS(INDIRECT($A$5),OtrosR!$C$3:$C65,$A65,OtrosR!$B$3:$B65,AX$1))</f>
        <v>#N/A</v>
      </c>
      <c r="AY65" s="16" t="str">
        <f t="array" ref="AY65">SUM(SUMIFS(INDIRECT($A$5),OtrosR!$C$3:$C65,$A65,OtrosR!$B$3:$B65,AY$1))</f>
        <v>#N/A</v>
      </c>
      <c r="AZ65" s="17" t="str">
        <f t="array" ref="AZ65">SUM(SUMIFS(INDIRECT($A$5),OtrosR!$C$3:$C65,$A65,OtrosR!$B$3:$B65,AZ$1))</f>
        <v>#N/A</v>
      </c>
      <c r="BA65" s="16" t="str">
        <f t="array" ref="BA65">SUM(SUMIFS(INDIRECT($A$5),OtrosR!$C$3:$C65,$A65,OtrosR!$B$3:$B65,BA$1))</f>
        <v>#N/A</v>
      </c>
      <c r="BB65" s="17" t="str">
        <f t="array" ref="BB65">SUM(SUMIFS(INDIRECT($A$5),OtrosR!$C$3:$C65,$A65,OtrosR!$B$3:$B65,BB$1))</f>
        <v>#N/A</v>
      </c>
      <c r="BC65" s="16" t="str">
        <f t="array" ref="BC65">SUM(SUMIFS(INDIRECT($A$5),OtrosR!$C$3:$C65,$A65,OtrosR!$B$3:$B65,BC$1))</f>
        <v>#N/A</v>
      </c>
      <c r="BD65" s="17" t="str">
        <f t="array" ref="BD65">SUM(SUMIFS(INDIRECT($A$5),OtrosR!$C$3:$C65,$A65,OtrosR!$B$3:$B65,BD$1))</f>
        <v>#N/A</v>
      </c>
      <c r="BE65" s="16" t="str">
        <f t="array" ref="BE65">SUM(SUMIFS(INDIRECT($A$5),OtrosR!$C$3:$C65,$A65,OtrosR!$B$3:$B65,BE$1))</f>
        <v>#N/A</v>
      </c>
      <c r="BF65" s="17" t="str">
        <f t="array" ref="BF65">SUM(SUMIFS(INDIRECT($A$5),OtrosR!$C$3:$C65,$A65,OtrosR!$B$3:$B65,BF$1))</f>
        <v>#N/A</v>
      </c>
      <c r="BG65" s="16" t="str">
        <f t="array" ref="BG65">SUM(SUMIFS(INDIRECT($A$5),OtrosR!$C$3:$C65,$A65,OtrosR!$B$3:$B65,BG$1))</f>
        <v>#N/A</v>
      </c>
      <c r="BH65" s="17" t="str">
        <f t="array" ref="BH65">SUM(SUMIFS(INDIRECT($A$5),OtrosR!$C$3:$C65,$A65,OtrosR!$B$3:$B65,BH$1))</f>
        <v>#N/A</v>
      </c>
      <c r="BI65" s="16" t="str">
        <f t="array" ref="BI65">SUM(SUMIFS(INDIRECT($A$5),OtrosR!$C$3:$C65,$A65,OtrosR!$B$3:$B65,BI$1))</f>
        <v>#N/A</v>
      </c>
      <c r="BJ65" s="17" t="str">
        <f t="array" ref="BJ65">SUM(SUMIFS(INDIRECT($A$5),OtrosR!$C$3:$C65,$A65,OtrosR!$B$3:$B65,BJ$1))</f>
        <v>#N/A</v>
      </c>
      <c r="BK65" s="16" t="str">
        <f t="array" ref="BK65">SUM(SUMIFS(INDIRECT($A$5),OtrosR!$C$3:$C65,$A65,OtrosR!$B$3:$B65,BK$1))</f>
        <v>#N/A</v>
      </c>
      <c r="BL65" s="17" t="str">
        <f t="array" ref="BL65">SUM(SUMIFS(INDIRECT($A$5),OtrosR!$C$3:$C65,$A65,OtrosR!$B$3:$B65,BL$1))</f>
        <v>#N/A</v>
      </c>
      <c r="BM65" s="16" t="str">
        <f t="array" ref="BM65">SUM(SUMIFS(INDIRECT($A$5),OtrosR!$C$3:$C65,$A65,OtrosR!$B$3:$B65,BM$1))</f>
        <v>#N/A</v>
      </c>
      <c r="BN65" s="17" t="str">
        <f t="array" ref="BN65">SUM(SUMIFS(INDIRECT($A$5),OtrosR!$C$3:$C65,$A65,OtrosR!$B$3:$B65,BN$1))</f>
        <v>#N/A</v>
      </c>
      <c r="BO65" s="16" t="str">
        <f t="array" ref="BO65">SUM(SUMIFS(INDIRECT($A$5),OtrosR!$C$3:$C65,$A65,OtrosR!$B$3:$B65,BO$1))</f>
        <v>#N/A</v>
      </c>
      <c r="BP65" s="17" t="str">
        <f t="array" ref="BP65">SUM(SUMIFS(INDIRECT($A$5),OtrosR!$C$3:$C65,$A65,OtrosR!$B$3:$B65,BP$1))</f>
        <v>#N/A</v>
      </c>
      <c r="BQ65" s="16" t="str">
        <f t="array" ref="BQ65">SUM(SUMIFS(INDIRECT($A$5),OtrosR!$C$3:$C65,$A65,OtrosR!$B$3:$B65,BQ$1))</f>
        <v>#N/A</v>
      </c>
      <c r="BR65" s="17" t="str">
        <f t="array" ref="BR65">SUM(SUMIFS(INDIRECT($A$5),OtrosR!$C$3:$C65,$A65,OtrosR!$B$3:$B65,BR$1))</f>
        <v>#N/A</v>
      </c>
      <c r="BS65" s="16" t="str">
        <f t="array" ref="BS65">SUM(SUMIFS(INDIRECT($A$5),OtrosR!$C$3:$C65,$A65,OtrosR!$B$3:$B65,BS$1))</f>
        <v>#N/A</v>
      </c>
      <c r="BT65" s="17" t="str">
        <f t="array" ref="BT65">SUM(SUMIFS(INDIRECT($A$5),OtrosR!$C$3:$C65,$A65,OtrosR!$B$3:$B65,BT$1))</f>
        <v>#N/A</v>
      </c>
      <c r="BU65" s="16" t="str">
        <f t="array" ref="BU65">SUM(SUMIFS(INDIRECT($A$5),OtrosR!$C$3:$C65,$A65,OtrosR!$B$3:$B65,BU$1))</f>
        <v>#N/A</v>
      </c>
      <c r="BV65" s="17" t="str">
        <f t="array" ref="BV65">SUM(SUMIFS(INDIRECT($A$5),OtrosR!$C$3:$C65,$A65,OtrosR!$B$3:$B65,BV$1))</f>
        <v>#N/A</v>
      </c>
      <c r="BW65" s="16" t="str">
        <f t="array" ref="BW65">SUM(SUMIFS(INDIRECT($A$5),OtrosR!$C$3:$C65,$A65,OtrosR!$B$3:$B65,BW$1))</f>
        <v>#N/A</v>
      </c>
      <c r="BX65" s="17" t="str">
        <f t="array" ref="BX65">SUM(SUMIFS(INDIRECT($A$5),OtrosR!$C$3:$C65,$A65,OtrosR!$B$3:$B65,BX$1))</f>
        <v>#N/A</v>
      </c>
      <c r="BY65" s="16" t="str">
        <f t="array" ref="BY65">SUM(SUMIFS(INDIRECT($A$5),OtrosR!$C$3:$C65,$A65,OtrosR!$B$3:$B65,BY$1))</f>
        <v>#N/A</v>
      </c>
      <c r="BZ65" s="17" t="str">
        <f t="array" ref="BZ65">SUM(SUMIFS(INDIRECT($A$5),OtrosR!$C$3:$C65,$A65,OtrosR!$B$3:$B65,BZ$1))</f>
        <v>#N/A</v>
      </c>
      <c r="CA65" s="16" t="str">
        <f t="array" ref="CA65">SUM(SUMIFS(INDIRECT($A$5),OtrosR!$C$3:$C65,$A65,OtrosR!$B$3:$B65,CA$1))</f>
        <v>#N/A</v>
      </c>
      <c r="CB65" s="17" t="str">
        <f t="array" ref="CB65">SUM(SUMIFS(INDIRECT($A$5),OtrosR!$C$3:$C65,$A65,OtrosR!$B$3:$B65,CB$1))</f>
        <v>#N/A</v>
      </c>
      <c r="CC65" s="16" t="str">
        <f t="array" ref="CC65">SUM(SUMIFS(INDIRECT($A$5),OtrosR!$C$3:$C65,$A65,OtrosR!$B$3:$B65,CC$1))</f>
        <v>#N/A</v>
      </c>
      <c r="CD65" s="17" t="str">
        <f t="array" ref="CD65">SUM(SUMIFS(INDIRECT($A$5),OtrosR!$C$3:$C65,$A65,OtrosR!$B$3:$B65,CD$1))</f>
        <v>#N/A</v>
      </c>
      <c r="CE65" s="16" t="str">
        <f t="array" ref="CE65">SUM(SUMIFS(INDIRECT($A$5),OtrosR!$C$3:$C65,$A65,OtrosR!$B$3:$B65,CE$1))</f>
        <v>#N/A</v>
      </c>
      <c r="CF65" s="17" t="str">
        <f t="array" ref="CF65">SUM(SUMIFS(INDIRECT($A$5),OtrosR!$C$3:$C65,$A65,OtrosR!$B$3:$B65,CF$1))</f>
        <v>#N/A</v>
      </c>
      <c r="CG65" s="16" t="str">
        <f t="array" ref="CG65">SUM(SUMIFS(INDIRECT($A$5),OtrosR!$C$3:$C65,$A65,OtrosR!$B$3:$B65,CG$1))</f>
        <v>#N/A</v>
      </c>
      <c r="CH65" s="17" t="str">
        <f t="array" ref="CH65">SUM(SUMIFS(INDIRECT($A$5),OtrosR!$C$3:$C65,$A65,OtrosR!$B$3:$B65,CH$1))</f>
        <v>#N/A</v>
      </c>
      <c r="CI65" s="16" t="str">
        <f t="array" ref="CI65">SUM(SUMIFS(INDIRECT($A$5),OtrosR!$C$3:$C65,$A65,OtrosR!$B$3:$B65,CI$1))</f>
        <v>#N/A</v>
      </c>
      <c r="CJ65" s="17" t="str">
        <f t="array" ref="CJ65">SUM(SUMIFS(INDIRECT($A$5),OtrosR!$C$3:$C65,$A65,OtrosR!$B$3:$B65,CJ$1))</f>
        <v>#N/A</v>
      </c>
      <c r="CK65" s="16" t="str">
        <f t="array" ref="CK65">SUM(SUMIFS(INDIRECT($A$5),OtrosR!$C$3:$C65,$A65,OtrosR!$B$3:$B65,CK$1))</f>
        <v>#N/A</v>
      </c>
      <c r="CL65" s="17" t="str">
        <f t="array" ref="CL65">SUM(SUMIFS(INDIRECT($A$5),OtrosR!$C$3:$C65,$A65,OtrosR!$B$3:$B65,CL$1))</f>
        <v>#N/A</v>
      </c>
      <c r="CM65" s="16" t="str">
        <f t="array" ref="CM65">SUM(SUMIFS(INDIRECT($A$5),OtrosR!$C$3:$C65,$A65,OtrosR!$B$3:$B65,CM$1))</f>
        <v>#N/A</v>
      </c>
      <c r="CN65" s="17" t="str">
        <f t="array" ref="CN65">SUM(SUMIFS(INDIRECT($A$5),OtrosR!$C$3:$C65,$A65,OtrosR!$B$3:$B65,CN$1))</f>
        <v>#N/A</v>
      </c>
      <c r="CO65" s="16" t="str">
        <f t="array" ref="CO65">SUM(SUMIFS(INDIRECT($A$5),OtrosR!$C$3:$C65,$A65,OtrosR!$B$3:$B65,CO$1))</f>
        <v>#N/A</v>
      </c>
      <c r="CP65" s="17" t="str">
        <f t="array" ref="CP65">SUM(SUMIFS(INDIRECT($A$5),OtrosR!$C$3:$C65,$A65,OtrosR!$B$3:$B65,CP$1))</f>
        <v>#N/A</v>
      </c>
      <c r="CQ65" s="16" t="str">
        <f t="array" ref="CQ65">SUM(SUMIFS(INDIRECT($A$5),OtrosR!$C$3:$C65,$A65,OtrosR!$B$3:$B65,CQ$1))</f>
        <v>#N/A</v>
      </c>
      <c r="CR65" s="17" t="str">
        <f t="array" ref="CR65">SUM(SUMIFS(INDIRECT($A$5),OtrosR!$C$3:$C65,$A65,OtrosR!$B$3:$B65,CR$1))</f>
        <v>#N/A</v>
      </c>
      <c r="CS65" s="16" t="str">
        <f t="array" ref="CS65">SUM(SUMIFS(INDIRECT($A$5),OtrosR!$C$3:$C65,$A65,OtrosR!$B$3:$B65,CS$1))</f>
        <v>#N/A</v>
      </c>
      <c r="CT65" s="17" t="str">
        <f t="array" ref="CT65">SUM(SUMIFS(INDIRECT($A$5),OtrosR!$C$3:$C65,$A65,OtrosR!$B$3:$B65,CT$1))</f>
        <v>#N/A</v>
      </c>
      <c r="CU65" s="16" t="str">
        <f t="array" ref="CU65">SUM(SUMIFS(INDIRECT($A$5),OtrosR!$C$3:$C65,$A65,OtrosR!$B$3:$B65,CU$1))</f>
        <v>#N/A</v>
      </c>
      <c r="CV65" s="17" t="str">
        <f t="array" ref="CV65">SUM(SUMIFS(INDIRECT($A$5),OtrosR!$C$3:$C65,$A65,OtrosR!$B$3:$B65,CV$1))</f>
        <v>#N/A</v>
      </c>
      <c r="CW65" s="16" t="str">
        <f t="array" ref="CW65">SUM(SUMIFS(INDIRECT($A$5),OtrosR!$C$3:$C65,$A65,OtrosR!$B$3:$B65,CW$1))</f>
        <v>#N/A</v>
      </c>
      <c r="CX65" s="17" t="str">
        <f t="array" ref="CX65">SUM(SUMIFS(INDIRECT($A$5),OtrosR!$C$3:$C65,$A65,OtrosR!$B$3:$B65,CX$1))</f>
        <v>#N/A</v>
      </c>
      <c r="CY65" s="16" t="str">
        <f t="array" ref="CY65">SUM(SUMIFS(INDIRECT($A$5),OtrosR!$C$3:$C65,$A65,OtrosR!$B$3:$B65,CY$1))</f>
        <v>#N/A</v>
      </c>
      <c r="CZ65" s="17" t="str">
        <f t="array" ref="CZ65">SUM(SUMIFS(INDIRECT($A$5),OtrosR!$C$3:$C65,$A65,OtrosR!$B$3:$B65,CZ$1))</f>
        <v>#N/A</v>
      </c>
      <c r="DA65" s="16" t="str">
        <f t="array" ref="DA65">SUM(SUMIFS(INDIRECT($A$5),OtrosR!$C$3:$C65,$A65,OtrosR!$B$3:$B65,DA$1))</f>
        <v>#N/A</v>
      </c>
      <c r="DB65" s="17" t="str">
        <f t="array" ref="DB65">SUM(SUMIFS(INDIRECT($A$5),OtrosR!$C$3:$C65,$A65,OtrosR!$B$3:$B65,DB$1))</f>
        <v>#N/A</v>
      </c>
      <c r="DC65" s="16" t="str">
        <f t="array" ref="DC65">SUM(SUMIFS(INDIRECT($A$5),OtrosR!$C$3:$C65,$A65,OtrosR!$B$3:$B65,DC$1))</f>
        <v>#N/A</v>
      </c>
      <c r="DD65" s="17" t="str">
        <f t="array" ref="DD65">SUM(SUMIFS(INDIRECT($A$5),OtrosR!$C$3:$C65,$A65,OtrosR!$B$3:$B65,DD$1))</f>
        <v>#N/A</v>
      </c>
      <c r="DE65" s="16" t="str">
        <f t="array" ref="DE65">SUM(SUMIFS(INDIRECT($A$5),OtrosR!$C$3:$C65,$A65,OtrosR!$B$3:$B65,DE$1))</f>
        <v>#N/A</v>
      </c>
      <c r="DF65" s="17" t="str">
        <f t="array" ref="DF65">SUM(SUMIFS(INDIRECT($A$5),OtrosR!$C$3:$C65,$A65,OtrosR!$B$3:$B65,DF$1))</f>
        <v>#N/A</v>
      </c>
      <c r="DG65" s="16" t="str">
        <f t="array" ref="DG65">SUM(SUMIFS(INDIRECT($A$5),OtrosR!$C$3:$C65,$A65,OtrosR!$B$3:$B65,DG$1))</f>
        <v>#N/A</v>
      </c>
      <c r="DH65" s="17" t="str">
        <f t="array" ref="DH65">SUM(SUMIFS(INDIRECT($A$5),OtrosR!$C$3:$C65,$A65,OtrosR!$B$3:$B65,DH$1))</f>
        <v>#N/A</v>
      </c>
      <c r="DI65" s="16" t="str">
        <f t="array" ref="DI65">SUM(SUMIFS(INDIRECT($A$5),OtrosR!$C$3:$C65,$A65,OtrosR!$B$3:$B65,DI$1))</f>
        <v>#N/A</v>
      </c>
      <c r="DJ65" s="17" t="str">
        <f t="array" ref="DJ65">SUM(SUMIFS(INDIRECT($A$5),OtrosR!$C$3:$C65,$A65,OtrosR!$B$3:$B65,DJ$1))</f>
        <v>#N/A</v>
      </c>
      <c r="DK65" s="16" t="str">
        <f t="array" ref="DK65">SUM(SUMIFS(INDIRECT($A$5),OtrosR!$C$3:$C65,$A65,OtrosR!$B$3:$B65,DK$1))</f>
        <v>#N/A</v>
      </c>
      <c r="DL65" s="17" t="str">
        <f t="array" ref="DL65">SUM(SUMIFS(INDIRECT($A$5),OtrosR!$C$3:$C65,$A65,OtrosR!$B$3:$B65,DL$1))</f>
        <v>#N/A</v>
      </c>
      <c r="DM65" s="16" t="str">
        <f t="array" ref="DM65">SUM(SUMIFS(INDIRECT($A$5),OtrosR!$C$3:$C65,$A65,OtrosR!$B$3:$B65,DM$1))</f>
        <v>#N/A</v>
      </c>
      <c r="DN65" s="17" t="str">
        <f t="array" ref="DN65">SUM(SUMIFS(INDIRECT($A$5),OtrosR!$C$3:$C65,$A65,OtrosR!$B$3:$B65,DN$1))</f>
        <v>#N/A</v>
      </c>
      <c r="DO65" s="16" t="str">
        <f t="array" ref="DO65">SUM(SUMIFS(INDIRECT($A$5),OtrosR!$C$3:$C65,$A65,OtrosR!$B$3:$B65,DO$1))</f>
        <v>#N/A</v>
      </c>
      <c r="DP65" s="17" t="str">
        <f t="array" ref="DP65">SUM(SUMIFS(INDIRECT($A$5),OtrosR!$C$3:$C65,$A65,OtrosR!$B$3:$B65,DP$1))</f>
        <v>#N/A</v>
      </c>
      <c r="DQ65" s="16" t="str">
        <f t="array" ref="DQ65">SUM(SUMIFS(INDIRECT($A$5),OtrosR!$C$3:$C65,$A65,OtrosR!$B$3:$B65,DQ$1))</f>
        <v>#N/A</v>
      </c>
      <c r="DR65" s="17" t="str">
        <f t="array" ref="DR65">SUM(SUMIFS(INDIRECT($A$5),OtrosR!$C$3:$C65,$A65,OtrosR!$B$3:$B65,DR$1))</f>
        <v>#N/A</v>
      </c>
      <c r="DS65" s="16" t="str">
        <f t="array" ref="DS65">SUM(SUMIFS(INDIRECT($A$5),OtrosR!$C$3:$C65,$A65,OtrosR!$B$3:$B65,DS$1))</f>
        <v>#N/A</v>
      </c>
      <c r="DT65" s="17" t="str">
        <f t="array" ref="DT65">SUM(SUMIFS(INDIRECT($A$5),OtrosR!$C$3:$C65,$A65,OtrosR!$B$3:$B65,DT$1))</f>
        <v>#N/A</v>
      </c>
      <c r="DU65" s="16" t="str">
        <f t="array" ref="DU65">SUM(SUMIFS(INDIRECT($A$5),OtrosR!$C$3:$C65,$A65,OtrosR!$B$3:$B65,DU$1))</f>
        <v>#N/A</v>
      </c>
      <c r="DV65" s="17" t="str">
        <f t="array" ref="DV65">SUM(SUMIFS(INDIRECT($A$5),OtrosR!$C$3:$C65,$A65,OtrosR!$B$3:$B65,DV$1))</f>
        <v>#N/A</v>
      </c>
      <c r="DW65" s="16" t="str">
        <f t="array" ref="DW65">SUM(SUMIFS(INDIRECT($A$5),OtrosR!$C$3:$C65,$A65,OtrosR!$B$3:$B65,DW$1))</f>
        <v>#N/A</v>
      </c>
      <c r="DX65" s="17" t="str">
        <f t="array" ref="DX65">SUM(SUMIFS(INDIRECT($A$5),OtrosR!$C$3:$C65,$A65,OtrosR!$B$3:$B65,DX$1))</f>
        <v>#N/A</v>
      </c>
      <c r="DY65" s="16" t="str">
        <f t="array" ref="DY65">SUM(SUMIFS(INDIRECT($A$5),OtrosR!$C$3:$C65,$A65,OtrosR!$B$3:$B65,DY$1))</f>
        <v>#N/A</v>
      </c>
      <c r="DZ65" s="17" t="str">
        <f t="array" ref="DZ65">SUM(SUMIFS(INDIRECT($A$5),OtrosR!$C$3:$C65,$A65,OtrosR!$B$3:$B65,DZ$1))</f>
        <v>#N/A</v>
      </c>
      <c r="EA65" s="16" t="str">
        <f t="array" ref="EA65">SUM(SUMIFS(INDIRECT($A$5),OtrosR!$C$3:$C65,$A65,OtrosR!$B$3:$B65,EA$1))</f>
        <v>#N/A</v>
      </c>
      <c r="EB65" s="17" t="str">
        <f t="array" ref="EB65">SUM(SUMIFS(INDIRECT($A$5),OtrosR!$C$3:$C65,$A65,OtrosR!$B$3:$B65,EB$1))</f>
        <v>#N/A</v>
      </c>
      <c r="EC65" s="16" t="str">
        <f t="array" ref="EC65">SUM(SUMIFS(INDIRECT($A$5),OtrosR!$C$3:$C65,$A65,OtrosR!$B$3:$B65,EC$1))</f>
        <v>#N/A</v>
      </c>
      <c r="ED65" s="17" t="str">
        <f t="array" ref="ED65">SUM(SUMIFS(INDIRECT($A$5),OtrosR!$C$3:$C65,$A65,OtrosR!$B$3:$B65,ED$1))</f>
        <v>#N/A</v>
      </c>
      <c r="EE65" s="16" t="str">
        <f t="array" ref="EE65">SUM(SUMIFS(INDIRECT($A$5),OtrosR!$C$3:$C65,$A65,OtrosR!$B$3:$B65,EE$1))</f>
        <v>#N/A</v>
      </c>
      <c r="EF65" s="17" t="str">
        <f t="array" ref="EF65">SUM(SUMIFS(INDIRECT($A$5),OtrosR!$C$3:$C65,$A65,OtrosR!$B$3:$B65,EF$1))</f>
        <v>#N/A</v>
      </c>
      <c r="EG65" s="16" t="str">
        <f t="array" ref="EG65">SUM(SUMIFS(INDIRECT($A$5),OtrosR!$C$3:$C65,$A65,OtrosR!$B$3:$B65,EG$1))</f>
        <v>#N/A</v>
      </c>
      <c r="EH65" s="17" t="str">
        <f t="array" ref="EH65">SUM(SUMIFS(INDIRECT($A$5),OtrosR!$C$3:$C65,$A65,OtrosR!$B$3:$B65,EH$1))</f>
        <v>#N/A</v>
      </c>
      <c r="EI65" s="16" t="str">
        <f t="array" ref="EI65">SUM(SUMIFS(INDIRECT($A$5),OtrosR!$C$3:$C65,$A65,OtrosR!$B$3:$B65,EI$1))</f>
        <v>#N/A</v>
      </c>
      <c r="EJ65" s="17" t="str">
        <f t="array" ref="EJ65">SUM(SUMIFS(INDIRECT($A$5),OtrosR!$C$3:$C65,$A65,OtrosR!$B$3:$B65,EJ$1))</f>
        <v>#N/A</v>
      </c>
      <c r="EK65" s="16" t="str">
        <f t="array" ref="EK65">SUM(SUMIFS(INDIRECT($A$5),OtrosR!$C$3:$C65,$A65,OtrosR!$B$3:$B65,EK$1))</f>
        <v>#N/A</v>
      </c>
      <c r="EL65" s="17" t="str">
        <f t="array" ref="EL65">SUM(SUMIFS(INDIRECT($A$5),OtrosR!$C$3:$C65,$A65,OtrosR!$B$3:$B65,EL$1))</f>
        <v>#N/A</v>
      </c>
      <c r="EM65" s="16" t="str">
        <f t="array" ref="EM65">SUM(SUMIFS(INDIRECT($A$5),OtrosR!$C$3:$C65,$A65,OtrosR!$B$3:$B65,EM$1))</f>
        <v>#N/A</v>
      </c>
      <c r="EN65" s="17" t="str">
        <f t="array" ref="EN65">SUM(SUMIFS(INDIRECT($A$5),OtrosR!$C$3:$C65,$A65,OtrosR!$B$3:$B65,EN$1))</f>
        <v>#N/A</v>
      </c>
      <c r="EO65" s="16" t="str">
        <f t="array" ref="EO65">SUM(SUMIFS(INDIRECT($A$5),OtrosR!$C$3:$C65,$A65,OtrosR!$B$3:$B65,EO$1))</f>
        <v>#N/A</v>
      </c>
      <c r="EP65" s="17" t="str">
        <f t="array" ref="EP65">SUM(SUMIFS(INDIRECT($A$5),OtrosR!$C$3:$C65,$A65,OtrosR!$B$3:$B65,EP$1))</f>
        <v>#N/A</v>
      </c>
    </row>
  </sheetData>
  <conditionalFormatting sqref="B5">
    <cfRule type="cellIs" dxfId="0" priority="1" operator="greaterThanOrEqual">
      <formula>0</formula>
    </cfRule>
  </conditionalFormatting>
  <conditionalFormatting sqref="B5">
    <cfRule type="cellIs" dxfId="1" priority="2" operator="lessThan">
      <formula>0</formula>
    </cfRule>
  </conditionalFormatting>
  <dataValidations>
    <dataValidation type="list" allowBlank="1" showErrorMessage="1" sqref="C1">
      <formula1>Menus!$A$2:$A65</formula1>
    </dataValidation>
    <dataValidation type="list" allowBlank="1" showErrorMessage="1" sqref="A2">
      <formula1>Menus!$E$2:$E65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0.88"/>
    <col customWidth="1" min="2" max="2" width="13.75"/>
    <col customWidth="1" min="3" max="5" width="12.13"/>
    <col customWidth="1" min="6" max="6" width="6.38"/>
    <col customWidth="1" min="7" max="7" width="7.0"/>
    <col customWidth="1" min="8" max="8" width="7.25"/>
    <col customWidth="1" min="9" max="9" width="6.5"/>
    <col customWidth="1" min="10" max="10" width="9.0"/>
    <col customWidth="1" min="11" max="11" width="13.75"/>
    <col customWidth="1" min="12" max="12" width="10.0"/>
    <col customWidth="1" min="13" max="13" width="13.0"/>
    <col customWidth="1" min="14" max="14" width="12.25"/>
  </cols>
  <sheetData>
    <row r="1" ht="15.75" customHeight="1">
      <c r="A1" s="25" t="s">
        <v>21</v>
      </c>
      <c r="B1" s="57" t="s">
        <v>1</v>
      </c>
      <c r="C1" s="58" t="s">
        <v>2</v>
      </c>
      <c r="D1" s="59" t="s">
        <v>3</v>
      </c>
      <c r="E1" s="58" t="s">
        <v>4</v>
      </c>
      <c r="F1" s="59" t="s">
        <v>5</v>
      </c>
      <c r="G1" s="58" t="s">
        <v>6</v>
      </c>
      <c r="H1" s="59" t="s">
        <v>7</v>
      </c>
      <c r="I1" s="58" t="s">
        <v>8</v>
      </c>
      <c r="J1" s="59" t="s">
        <v>9</v>
      </c>
      <c r="K1" s="58" t="s">
        <v>10</v>
      </c>
      <c r="L1" s="59" t="s">
        <v>11</v>
      </c>
      <c r="M1" s="58" t="s">
        <v>12</v>
      </c>
      <c r="N1" s="59" t="s">
        <v>13</v>
      </c>
    </row>
    <row r="2" ht="9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15.75" customHeight="1">
      <c r="A3" s="7" t="s">
        <v>14</v>
      </c>
      <c r="B3" s="8">
        <f t="shared" ref="B3:N3" si="1">B5-B10+B51-B56</f>
        <v>2191000</v>
      </c>
      <c r="C3" s="9">
        <f t="shared" si="1"/>
        <v>313000</v>
      </c>
      <c r="D3" s="10">
        <f t="shared" si="1"/>
        <v>313000</v>
      </c>
      <c r="E3" s="9">
        <f t="shared" si="1"/>
        <v>313000</v>
      </c>
      <c r="F3" s="10">
        <f t="shared" si="1"/>
        <v>313000</v>
      </c>
      <c r="G3" s="9">
        <f t="shared" si="1"/>
        <v>313000</v>
      </c>
      <c r="H3" s="10">
        <f t="shared" si="1"/>
        <v>313000</v>
      </c>
      <c r="I3" s="9">
        <f t="shared" si="1"/>
        <v>313000</v>
      </c>
      <c r="J3" s="10">
        <f t="shared" si="1"/>
        <v>0</v>
      </c>
      <c r="K3" s="9">
        <f t="shared" si="1"/>
        <v>0</v>
      </c>
      <c r="L3" s="10">
        <f t="shared" si="1"/>
        <v>0</v>
      </c>
      <c r="M3" s="9">
        <f t="shared" si="1"/>
        <v>0</v>
      </c>
      <c r="N3" s="10">
        <f t="shared" si="1"/>
        <v>0</v>
      </c>
    </row>
    <row r="4" ht="9.0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15.75" customHeight="1">
      <c r="A5" s="11" t="s">
        <v>15</v>
      </c>
      <c r="B5" s="12">
        <f t="shared" ref="B5:N5" si="2">SUM(B6:B8)</f>
        <v>2191000</v>
      </c>
      <c r="C5" s="13">
        <f t="shared" si="2"/>
        <v>313000</v>
      </c>
      <c r="D5" s="14">
        <f t="shared" si="2"/>
        <v>313000</v>
      </c>
      <c r="E5" s="13">
        <f t="shared" si="2"/>
        <v>313000</v>
      </c>
      <c r="F5" s="14">
        <f t="shared" si="2"/>
        <v>313000</v>
      </c>
      <c r="G5" s="13">
        <f t="shared" si="2"/>
        <v>313000</v>
      </c>
      <c r="H5" s="14">
        <f t="shared" si="2"/>
        <v>313000</v>
      </c>
      <c r="I5" s="13">
        <f t="shared" si="2"/>
        <v>313000</v>
      </c>
      <c r="J5" s="14">
        <f t="shared" si="2"/>
        <v>0</v>
      </c>
      <c r="K5" s="13">
        <f t="shared" si="2"/>
        <v>0</v>
      </c>
      <c r="L5" s="14">
        <f t="shared" si="2"/>
        <v>0</v>
      </c>
      <c r="M5" s="13">
        <f t="shared" si="2"/>
        <v>0</v>
      </c>
      <c r="N5" s="14">
        <f t="shared" si="2"/>
        <v>0</v>
      </c>
    </row>
    <row r="6" ht="15.75" customHeight="1">
      <c r="A6" s="6" t="s">
        <v>16</v>
      </c>
      <c r="B6" s="15">
        <f t="shared" ref="B6:B8" si="3">C6+D6+E6+F6+G6+H6+I6+J6+K6+L6+M6+N6</f>
        <v>2191000</v>
      </c>
      <c r="C6" s="16">
        <f t="array" ref="C6">IFERROR(
  LET(
    valor,
      INDEX(
        EneR!$A$1:$AT$48,
        MATCH(RIGHT($A6, LEN($A6)-4), EneR!$A$1:$A1065, 0),
        MATCH($A$1, EneR!$A$6:N$6, 0)
      ),
    IF(valor = "-", "", valor)      
  ),
"")</f>
        <v>313000</v>
      </c>
      <c r="D6" s="17">
        <f t="array" ref="D6">IFERROR(
  LET(
    valor,
      INDEX(
        FebR!$A$1:$AT$51,
        MATCH(RIGHT($A6, LEN($A6)-4), FebR!$A$1:$A1065, 0),
        MATCH($A$1, FebR!$A$6:N$6, 0)
      ),
    IF(valor = "-", "", valor)      
  ),
"")</f>
        <v>313000</v>
      </c>
      <c r="E6" s="16">
        <f t="array" ref="E6">IFERROR(
  LET(
    valor,
      INDEX(
        MarR!$A$1:$AT$48,
        MATCH(RIGHT($A6, LEN($A6)-4), MarR!$A$1:$A1065, 0),
        MATCH($A$1, MarR!$A$6:N$6, 0)
      ),
    IF(valor = "-", "", valor)      
  ),
"")</f>
        <v>313000</v>
      </c>
      <c r="F6" s="17">
        <f t="array" ref="F6">IFERROR(
  LET(
    valor,
      INDEX(
        AbrR!$A$1:$AT$48,
        MATCH(RIGHT($A6, LEN($A6)-4), AbrR!$A$1:$A1065, 0),
        MATCH($A$1, AbrR!$A$6:N$6, 0)
      ),
    IF(valor = "-", "", valor)      
  ),
"")</f>
        <v>313000</v>
      </c>
      <c r="G6" s="16">
        <f t="array" ref="G6">IFERROR(
  LET(
    valor,
      INDEX(
        MayR!$A$1:$AT$48,
        MATCH(RIGHT($A6, LEN($A6)-4), MayR!$A$1:$A1065, 0),
        MATCH($A$1, MayR!$A$6:N$6, 0)
      ),
    IF(valor = "-", "", valor)      
  ),
"")</f>
        <v>313000</v>
      </c>
      <c r="H6" s="17">
        <f t="array" ref="H6">IFERROR(
  LET(
    valor,
      INDEX(
        JunR!$A$1:$AT$48,
        MATCH(RIGHT($A6, LEN($A6)-4), JunR!$A$1:$A1065, 0),
        MATCH($A$1, JunR!$A$6:N$6, 0)
      ),
    IF(valor = "-", "", valor)      
  ),
"")</f>
        <v>313000</v>
      </c>
      <c r="I6" s="16">
        <f t="array" ref="I6">IFERROR(
  LET(
    valor,
      INDEX(
        JulR!$A$1:$AT$48,
        MATCH(RIGHT($A6, LEN($A6)-4), JulR!$A$1:$A1065, 0),
        MATCH($A$1, JulR!$A$6:N$6, 0)
      ),
    IF(valor = "-", "", valor)      
  ),
"")</f>
        <v>313000</v>
      </c>
      <c r="J6" s="17" t="str">
        <f t="array" ref="J6">IFERROR(
  LET(
    valor,
      INDEX(
        AgoR!$A$1:$AT$60,
        MATCH(RIGHT($A6, LEN($A6)-4), AgoR!$A$1:$A1065, 0),
        MATCH($A$1, AgoR!$A$6:N$6, 0)
      ),
    IF(valor = "-", "", valor)      
  ),
"")</f>
        <v/>
      </c>
      <c r="K6" s="16" t="str">
        <f t="array" ref="K6">IFERROR(
  LET(
    valor,
      INDEX(
        SepR!$A$1:$AT$60,
        MATCH(RIGHT($A6, LEN($A6)-4), SepR!$A$1:$A1065, 0),
        MATCH($A$1, SepR!$A$6:N$6, 0)
      ),
    IF(valor = "-", "", valor)      
  ),
"")</f>
        <v/>
      </c>
      <c r="L6" s="17" t="str">
        <f t="array" ref="L6">IFERROR(
  LET(
    valor,
      INDEX(
        OctR!$A$1:$AT$60,
        MATCH(RIGHT($A6, LEN($A6)-4), OctR!$A$1:$A1065, 0),
        MATCH($A$1, OctR!$A$6:N$6, 0)
      ),
    IF(valor = "-", "", valor)      
  ),
"")</f>
        <v/>
      </c>
      <c r="M6" s="16" t="str">
        <f t="array" ref="M6">IFERROR(
  LET(
    valor,
      INDEX(
        NovR!$A$1:$AT$60,
        MATCH(RIGHT($A6, LEN($A6)-4), NovR!$A$1:$A1065, 0),
        MATCH($A$1, NovR!$A$6:N$6, 0)
      ),
    IF(valor = "-", "", valor)      
  ),
"")</f>
        <v/>
      </c>
      <c r="N6" s="17" t="str">
        <f t="array" ref="N6">IFERROR(
  LET(
    valor,
      INDEX(
        DicR!$A$1:$AT$60,
        MATCH(RIGHT($A6, LEN($A6)-4), DicR!$A$1:$A1065, 0),
        MATCH($A$1, DicR!$A$6:N$6, 0)
      ),
    IF(valor = "-", "", valor)      
  ),
"")</f>
        <v/>
      </c>
    </row>
    <row r="7" ht="15.75" customHeight="1">
      <c r="A7" s="6" t="s">
        <v>17</v>
      </c>
      <c r="B7" s="15">
        <f t="shared" si="3"/>
        <v>0</v>
      </c>
      <c r="C7" s="16" t="str">
        <f t="array" ref="C7">IFERROR(
  LET(
    valor,
      INDEX(
        EneR!$A$1:$AT$48,
        MATCH(RIGHT($A7, LEN($A7)-4), EneR!$A$1:$A1065, 0),
        MATCH($A$1, EneR!$A$6:N$6, 0)
      ),
    IF(valor = "-", "", valor)      
  ),
"")</f>
        <v/>
      </c>
      <c r="D7" s="17" t="str">
        <f t="array" ref="D7">IFERROR(
  LET(
    valor,
      INDEX(
        FebR!$A$1:$AT$51,
        MATCH(RIGHT($A7, LEN($A7)-4), FebR!$A$1:$A1065, 0),
        MATCH($A$1, FebR!$A$6:N$6, 0)
      ),
    IF(valor = "-", "", valor)      
  ),
"")</f>
        <v/>
      </c>
      <c r="E7" s="16" t="str">
        <f t="array" ref="E7">IFERROR(
  LET(
    valor,
      INDEX(
        MarR!$A$1:$AT$48,
        MATCH(RIGHT($A7, LEN($A7)-4), MarR!$A$1:$A1065, 0),
        MATCH($A$1, MarR!$A$6:N$6, 0)
      ),
    IF(valor = "-", "", valor)      
  ),
"")</f>
        <v/>
      </c>
      <c r="F7" s="17" t="str">
        <f t="array" ref="F7">IFERROR(
  LET(
    valor,
      INDEX(
        AbrR!$A$1:$AT$48,
        MATCH(RIGHT($A7, LEN($A7)-4), AbrR!$A$1:$A1065, 0),
        MATCH($A$1, AbrR!$A$6:N$6, 0)
      ),
    IF(valor = "-", "", valor)      
  ),
"")</f>
        <v/>
      </c>
      <c r="G7" s="16" t="str">
        <f t="array" ref="G7">IFERROR(
  LET(
    valor,
      INDEX(
        MayR!$A$1:$AT$48,
        MATCH(RIGHT($A7, LEN($A7)-4), MayR!$A$1:$A1065, 0),
        MATCH($A$1, MayR!$A$6:N$6, 0)
      ),
    IF(valor = "-", "", valor)      
  ),
"")</f>
        <v/>
      </c>
      <c r="H7" s="17" t="str">
        <f t="array" ref="H7">IFERROR(
  LET(
    valor,
      INDEX(
        JunR!$A$1:$AT$48,
        MATCH(RIGHT($A7, LEN($A7)-4), JunR!$A$1:$A1065, 0),
        MATCH($A$1, JunR!$A$6:N$6, 0)
      ),
    IF(valor = "-", "", valor)      
  ),
"")</f>
        <v/>
      </c>
      <c r="I7" s="16" t="str">
        <f t="array" ref="I7">IFERROR(
  LET(
    valor,
      INDEX(
        JulR!$A$1:$AT$48,
        MATCH(RIGHT($A7, LEN($A7)-4), JulR!$A$1:$A1065, 0),
        MATCH($A$1, JulR!$A$6:N$6, 0)
      ),
    IF(valor = "-", "", valor)      
  ),
"")</f>
        <v/>
      </c>
      <c r="J7" s="17" t="str">
        <f t="array" ref="J7">IFERROR(
  LET(
    valor,
      INDEX(
        AgoR!$A$1:$AT$60,
        MATCH(RIGHT($A7, LEN($A7)-4), AgoR!$A$1:$A1065, 0),
        MATCH($A$1, AgoR!$A$6:N$6, 0)
      ),
    IF(valor = "-", "", valor)      
  ),
"")</f>
        <v/>
      </c>
      <c r="K7" s="16" t="str">
        <f t="array" ref="K7">IFERROR(
  LET(
    valor,
      INDEX(
        SepR!$A$1:$AT$60,
        MATCH(RIGHT($A7, LEN($A7)-4), SepR!$A$1:$A1065, 0),
        MATCH($A$1, SepR!$A$6:N$6, 0)
      ),
    IF(valor = "-", "", valor)      
  ),
"")</f>
        <v/>
      </c>
      <c r="L7" s="17" t="str">
        <f t="array" ref="L7">IFERROR(
  LET(
    valor,
      INDEX(
        OctR!$A$1:$AT$60,
        MATCH(RIGHT($A7, LEN($A7)-4), OctR!$A$1:$A1065, 0),
        MATCH($A$1, OctR!$A$6:N$6, 0)
      ),
    IF(valor = "-", "", valor)      
  ),
"")</f>
        <v/>
      </c>
      <c r="M7" s="16" t="str">
        <f t="array" ref="M7">IFERROR(
  LET(
    valor,
      INDEX(
        NovR!$A$1:$AT$60,
        MATCH(RIGHT($A7, LEN($A7)-4), NovR!$A$1:$A1065, 0),
        MATCH($A$1, NovR!$A$6:N$6, 0)
      ),
    IF(valor = "-", "", valor)      
  ),
"")</f>
        <v/>
      </c>
      <c r="N7" s="17" t="str">
        <f t="array" ref="N7">IFERROR(
  LET(
    valor,
      INDEX(
        DicR!$A$1:$AT$60,
        MATCH(RIGHT($A7, LEN($A7)-4), DicR!$A$1:$A1065, 0),
        MATCH($A$1, DicR!$A$6:N$6, 0)
      ),
    IF(valor = "-", "", valor)      
  ),
"")</f>
        <v/>
      </c>
    </row>
    <row r="8" ht="15.75" hidden="1" customHeight="1">
      <c r="B8" s="15">
        <f t="shared" si="3"/>
        <v>0</v>
      </c>
      <c r="C8" s="16" t="str">
        <f t="array" ref="C8">IFERROR(
  LET(
    valor,
      INDEX(
        EneR!$A$1:$AT$48,
        MATCH(RIGHT($A8, LEN($A8)-4), EneR!$A$1:$A1065, 0),
        MATCH($A$1, EneR!$A$6:N$6, 0)
      ),
    IF(valor = "-", "", valor)      
  ),
"")</f>
        <v/>
      </c>
      <c r="D8" s="17" t="str">
        <f t="array" ref="D8">IFERROR(
  LET(
    valor,
      INDEX(
        FebR!$A$1:$AT$51,
        MATCH(RIGHT($A8, LEN($A8)-4), FebR!$A$1:$A1065, 0),
        MATCH($A$1, FebR!$A$6:N$6, 0)
      ),
    IF(valor = "-", "", valor)      
  ),
"")</f>
        <v/>
      </c>
      <c r="E8" s="16" t="str">
        <f t="array" ref="E8">IFERROR(
  LET(
    valor,
      INDEX(
        MarR!$A$1:$AT$48,
        MATCH(RIGHT($A8, LEN($A8)-4), MarR!$A$1:$A1065, 0),
        MATCH($A$1, MarR!$A$6:N$6, 0)
      ),
    IF(valor = "-", "", valor)      
  ),
"")</f>
        <v/>
      </c>
      <c r="F8" s="17" t="str">
        <f t="array" ref="F8">IFERROR(
  LET(
    valor,
      INDEX(
        AbrR!$A$1:$AT$48,
        MATCH(RIGHT($A8, LEN($A8)-4), AbrR!$A$1:$A1065, 0),
        MATCH($A$1, AbrR!$A$6:N$6, 0)
      ),
    IF(valor = "-", "", valor)      
  ),
"")</f>
        <v/>
      </c>
      <c r="G8" s="16" t="str">
        <f t="array" ref="G8">IFERROR(
  LET(
    valor,
      INDEX(
        MayR!$A$1:$AT$48,
        MATCH(RIGHT($A8, LEN($A8)-4), MayR!$A$1:$A1065, 0),
        MATCH($A$1, MayR!$A$6:N$6, 0)
      ),
    IF(valor = "-", "", valor)      
  ),
"")</f>
        <v/>
      </c>
      <c r="H8" s="17" t="str">
        <f t="array" ref="H8">IFERROR(
  LET(
    valor,
      INDEX(
        JunR!$A$1:$AT$48,
        MATCH(RIGHT($A8, LEN($A8)-4), JunR!$A$1:$A1065, 0),
        MATCH($A$1, JunR!$A$6:N$6, 0)
      ),
    IF(valor = "-", "", valor)      
  ),
"")</f>
        <v/>
      </c>
      <c r="I8" s="16" t="str">
        <f t="array" ref="I8">IFERROR(
  LET(
    valor,
      INDEX(
        JulR!$A$1:$AT$48,
        MATCH(RIGHT($A8, LEN($A8)-4), JulR!$A$1:$A1065, 0),
        MATCH($A$1, JulR!$A$6:N$6, 0)
      ),
    IF(valor = "-", "", valor)      
  ),
"")</f>
        <v/>
      </c>
      <c r="J8" s="17" t="str">
        <f t="array" ref="J8">IFERROR(
  LET(
    valor,
      INDEX(
        AgoR!$A$1:$AT$60,
        MATCH(RIGHT($A8, LEN($A8)-4), AgoR!$A$1:$A1065, 0),
        MATCH($A$1, AgoR!$A$6:N$6, 0)
      ),
    IF(valor = "-", "", valor)      
  ),
"")</f>
        <v/>
      </c>
      <c r="K8" s="16" t="str">
        <f t="array" ref="K8">IFERROR(
  LET(
    valor,
      INDEX(
        SepR!$A$1:$AT$60,
        MATCH(RIGHT($A8, LEN($A8)-4), SepR!$A$1:$A1065, 0),
        MATCH($A$1, SepR!$A$6:N$6, 0)
      ),
    IF(valor = "-", "", valor)      
  ),
"")</f>
        <v/>
      </c>
      <c r="L8" s="17" t="str">
        <f t="array" ref="L8">IFERROR(
  LET(
    valor,
      INDEX(
        OctR!$A$1:$AT$60,
        MATCH(RIGHT($A8, LEN($A8)-4), OctR!$A$1:$A1065, 0),
        MATCH($A$1, OctR!$A$6:N$6, 0)
      ),
    IF(valor = "-", "", valor)      
  ),
"")</f>
        <v/>
      </c>
      <c r="M8" s="16" t="str">
        <f t="array" ref="M8">IFERROR(
  LET(
    valor,
      INDEX(
        NovR!$A$1:$AT$60,
        MATCH(RIGHT($A8, LEN($A8)-4), NovR!$A$1:$A1065, 0),
        MATCH($A$1, NovR!$A$6:N$6, 0)
      ),
    IF(valor = "-", "", valor)      
  ),
"")</f>
        <v/>
      </c>
      <c r="N8" s="17" t="str">
        <f t="array" ref="N8">IFERROR(
  LET(
    valor,
      INDEX(
        DicR!$A$1:$AT$60,
        MATCH(RIGHT($A8, LEN($A8)-4), DicR!$A$1:$A1065, 0),
        MATCH($A$1, DicR!$A$6:N$6, 0)
      ),
    IF(valor = "-", "", valor)      
  ),
"")</f>
        <v/>
      </c>
    </row>
    <row r="9" ht="9.0" customHeight="1">
      <c r="A9" s="1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5.75" customHeight="1">
      <c r="A10" s="19" t="s">
        <v>18</v>
      </c>
      <c r="B10" s="12">
        <f t="shared" ref="B10:N10" si="4">SUM(B11:B49)</f>
        <v>0</v>
      </c>
      <c r="C10" s="13">
        <f t="shared" si="4"/>
        <v>0</v>
      </c>
      <c r="D10" s="14">
        <f t="shared" si="4"/>
        <v>0</v>
      </c>
      <c r="E10" s="13">
        <f t="shared" si="4"/>
        <v>0</v>
      </c>
      <c r="F10" s="14">
        <f t="shared" si="4"/>
        <v>0</v>
      </c>
      <c r="G10" s="13">
        <f t="shared" si="4"/>
        <v>0</v>
      </c>
      <c r="H10" s="14">
        <f t="shared" si="4"/>
        <v>0</v>
      </c>
      <c r="I10" s="13">
        <f t="shared" si="4"/>
        <v>0</v>
      </c>
      <c r="J10" s="14">
        <f t="shared" si="4"/>
        <v>0</v>
      </c>
      <c r="K10" s="13">
        <f t="shared" si="4"/>
        <v>0</v>
      </c>
      <c r="L10" s="14">
        <f t="shared" si="4"/>
        <v>0</v>
      </c>
      <c r="M10" s="13">
        <f t="shared" si="4"/>
        <v>0</v>
      </c>
      <c r="N10" s="14">
        <f t="shared" si="4"/>
        <v>0</v>
      </c>
    </row>
    <row r="11" ht="15.75" customHeight="1">
      <c r="A11" s="6" t="str">
        <f>Menus!B4</f>
        <v/>
      </c>
      <c r="B11" s="15">
        <f t="shared" ref="B11:B49" si="5">C11+D11+E11+F11+G11+H11+I11+J11+K11+L11+M11+N11</f>
        <v>0</v>
      </c>
      <c r="C11" s="16" t="str">
        <f t="array" ref="C11">IFERROR(
  LET(
    valor,
      INDEX(
        EneR!$A$1:$AT$48,
        MATCH(RIGHT($A11, LEN($A11)-4), EneR!$A$1:$A1065, 0),
        MATCH($A$1, EneR!$A$6:N$6, 0)
      ),
    IF(valor = "-", "", valor)      
  ),
"")</f>
        <v/>
      </c>
      <c r="D11" s="17" t="str">
        <f t="array" ref="D11">IFERROR(
  LET(
    valor,
      INDEX(
        FebR!$A$1:$AT$51,
        MATCH(RIGHT($A11, LEN($A11)-4), FebR!$A$1:$A1065, 0),
        MATCH($A$1, FebR!$A$6:N$6, 0)
      ),
    IF(valor = "-", "", valor)      
  ),
"")</f>
        <v/>
      </c>
      <c r="E11" s="16" t="str">
        <f t="array" ref="E11">IFERROR(
  LET(
    valor,
      INDEX(
        MarR!$A$1:$AT$48,
        MATCH(RIGHT($A11, LEN($A11)-4), MarR!$A$1:$A1065, 0),
        MATCH($A$1, MarR!$A$6:N$6, 0)
      ),
    IF(valor = "-", "", valor)      
  ),
"")</f>
        <v/>
      </c>
      <c r="F11" s="17" t="str">
        <f t="array" ref="F11">IFERROR(
  LET(
    valor,
      INDEX(
        AbrR!$A$1:$AT$48,
        MATCH(RIGHT($A11, LEN($A11)-4), AbrR!$A$1:$A1065, 0),
        MATCH($A$1, AbrR!$A$6:N$6, 0)
      ),
    IF(valor = "-", "", valor)      
  ),
"")</f>
        <v/>
      </c>
      <c r="G11" s="16" t="str">
        <f t="array" ref="G11">IFERROR(
  LET(
    valor,
      INDEX(
        MayR!$A$1:$AT$48,
        MATCH(RIGHT($A11, LEN($A11)-4), MayR!$A$1:$A1065, 0),
        MATCH($A$1, MayR!$A$6:N$6, 0)
      ),
    IF(valor = "-", "", valor)      
  ),
"")</f>
        <v/>
      </c>
      <c r="H11" s="17" t="str">
        <f t="array" ref="H11">IFERROR(
  LET(
    valor,
      INDEX(
        JunR!$A$1:$AT$48,
        MATCH(RIGHT($A11, LEN($A11)-4), JunR!$A$1:$A1065, 0),
        MATCH($A$1, JunR!$A$6:N$6, 0)
      ),
    IF(valor = "-", "", valor)      
  ),
"")</f>
        <v/>
      </c>
      <c r="I11" s="16" t="str">
        <f t="array" ref="I11">IFERROR(
  LET(
    valor,
      INDEX(
        JulR!$A$1:$AT$48,
        MATCH(RIGHT($A11, LEN($A11)-4), JulR!$A$1:$A1065, 0),
        MATCH($A$1, JulR!$A$6:N$6, 0)
      ),
    IF(valor = "-", "", valor)      
  ),
"")</f>
        <v/>
      </c>
      <c r="J11" s="17" t="str">
        <f t="array" ref="J11">IFERROR(
  LET(
    valor,
      INDEX(
        AgoR!$A$1:$AT$60,
        MATCH(RIGHT($A11, LEN($A11)-4), AgoR!$A$1:$A1065, 0),
        MATCH($A$1, AgoR!$A$6:N$6, 0)
      ),
    IF(valor = "-", "", valor)      
  ),
"")</f>
        <v/>
      </c>
      <c r="K11" s="16" t="str">
        <f t="array" ref="K11">IFERROR(
  LET(
    valor,
      INDEX(
        SepR!$A$1:$AT$60,
        MATCH(RIGHT($A11, LEN($A11)-4), SepR!$A$1:$A1065, 0),
        MATCH($A$1, SepR!$A$6:N$6, 0)
      ),
    IF(valor = "-", "", valor)      
  ),
"")</f>
        <v/>
      </c>
      <c r="L11" s="17" t="str">
        <f t="array" ref="L11">IFERROR(
  LET(
    valor,
      INDEX(
        OctR!$A$1:$AT$60,
        MATCH(RIGHT($A11, LEN($A11)-4), OctR!$A$1:$A1065, 0),
        MATCH($A$1, OctR!$A$6:N$6, 0)
      ),
    IF(valor = "-", "", valor)      
  ),
"")</f>
        <v/>
      </c>
      <c r="M11" s="16" t="str">
        <f t="array" ref="M11">IFERROR(
  LET(
    valor,
      INDEX(
        NovR!$A$1:$AT$60,
        MATCH(RIGHT($A11, LEN($A11)-4), NovR!$A$1:$A1065, 0),
        MATCH($A$1, NovR!$A$6:N$6, 0)
      ),
    IF(valor = "-", "", valor)      
  ),
"")</f>
        <v/>
      </c>
      <c r="N11" s="17" t="str">
        <f t="array" ref="N11">IFERROR(
  LET(
    valor,
      INDEX(
        DicR!$A$1:$AT$60,
        MATCH(RIGHT($A11, LEN($A11)-4), DicR!$A$1:$A1065, 0),
        MATCH($A$1, DicR!$A$6:N$6, 0)
      ),
    IF(valor = "-", "", valor)      
  ),
"")</f>
        <v/>
      </c>
    </row>
    <row r="12" ht="15.75" customHeight="1">
      <c r="A12" s="6" t="str">
        <f>Menus!B5</f>
        <v/>
      </c>
      <c r="B12" s="15">
        <f t="shared" si="5"/>
        <v>0</v>
      </c>
      <c r="C12" s="16" t="str">
        <f t="array" ref="C12">IFERROR(
  LET(
    valor,
      INDEX(
        EneR!$A$1:$AT$48,
        MATCH(RIGHT($A12, LEN($A12)-4), EneR!$A$1:$A1065, 0),
        MATCH($A$1, EneR!$A$6:N$6, 0)
      ),
    IF(valor = "-", "", valor)      
  ),
"")</f>
        <v/>
      </c>
      <c r="D12" s="17" t="str">
        <f t="array" ref="D12">IFERROR(
  LET(
    valor,
      INDEX(
        FebR!$A$1:$AT$51,
        MATCH(RIGHT($A12, LEN($A12)-4), FebR!$A$1:$A1065, 0),
        MATCH($A$1, FebR!$A$6:N$6, 0)
      ),
    IF(valor = "-", "", valor)      
  ),
"")</f>
        <v/>
      </c>
      <c r="E12" s="16" t="str">
        <f t="array" ref="E12">IFERROR(
  LET(
    valor,
      INDEX(
        MarR!$A$1:$AT$48,
        MATCH(RIGHT($A12, LEN($A12)-4), MarR!$A$1:$A1065, 0),
        MATCH($A$1, MarR!$A$6:N$6, 0)
      ),
    IF(valor = "-", "", valor)      
  ),
"")</f>
        <v/>
      </c>
      <c r="F12" s="17" t="str">
        <f t="array" ref="F12">IFERROR(
  LET(
    valor,
      INDEX(
        AbrR!$A$1:$AT$48,
        MATCH(RIGHT($A12, LEN($A12)-4), AbrR!$A$1:$A1065, 0),
        MATCH($A$1, AbrR!$A$6:N$6, 0)
      ),
    IF(valor = "-", "", valor)      
  ),
"")</f>
        <v/>
      </c>
      <c r="G12" s="16" t="str">
        <f t="array" ref="G12">IFERROR(
  LET(
    valor,
      INDEX(
        MayR!$A$1:$AT$48,
        MATCH(RIGHT($A12, LEN($A12)-4), MayR!$A$1:$A1065, 0),
        MATCH($A$1, MayR!$A$6:N$6, 0)
      ),
    IF(valor = "-", "", valor)      
  ),
"")</f>
        <v/>
      </c>
      <c r="H12" s="17" t="str">
        <f t="array" ref="H12">IFERROR(
  LET(
    valor,
      INDEX(
        JunR!$A$1:$AT$48,
        MATCH(RIGHT($A12, LEN($A12)-4), JunR!$A$1:$A1065, 0),
        MATCH($A$1, JunR!$A$6:N$6, 0)
      ),
    IF(valor = "-", "", valor)      
  ),
"")</f>
        <v/>
      </c>
      <c r="I12" s="16" t="str">
        <f t="array" ref="I12">IFERROR(
  LET(
    valor,
      INDEX(
        JulR!$A$1:$AT$48,
        MATCH(RIGHT($A12, LEN($A12)-4), JulR!$A$1:$A1065, 0),
        MATCH($A$1, JulR!$A$6:N$6, 0)
      ),
    IF(valor = "-", "", valor)      
  ),
"")</f>
        <v/>
      </c>
      <c r="J12" s="17" t="str">
        <f t="array" ref="J12">IFERROR(
  LET(
    valor,
      INDEX(
        AgoR!$A$1:$AT$60,
        MATCH(RIGHT($A12, LEN($A12)-4), AgoR!$A$1:$A1065, 0),
        MATCH($A$1, AgoR!$A$6:N$6, 0)
      ),
    IF(valor = "-", "", valor)      
  ),
"")</f>
        <v/>
      </c>
      <c r="K12" s="16" t="str">
        <f t="array" ref="K12">IFERROR(
  LET(
    valor,
      INDEX(
        SepR!$A$1:$AT$60,
        MATCH(RIGHT($A12, LEN($A12)-4), SepR!$A$1:$A1065, 0),
        MATCH($A$1, SepR!$A$6:N$6, 0)
      ),
    IF(valor = "-", "", valor)      
  ),
"")</f>
        <v/>
      </c>
      <c r="L12" s="17" t="str">
        <f t="array" ref="L12">IFERROR(
  LET(
    valor,
      INDEX(
        OctR!$A$1:$AT$60,
        MATCH(RIGHT($A12, LEN($A12)-4), OctR!$A$1:$A1065, 0),
        MATCH($A$1, OctR!$A$6:N$6, 0)
      ),
    IF(valor = "-", "", valor)      
  ),
"")</f>
        <v/>
      </c>
      <c r="M12" s="16" t="str">
        <f t="array" ref="M12">IFERROR(
  LET(
    valor,
      INDEX(
        NovR!$A$1:$AT$60,
        MATCH(RIGHT($A12, LEN($A12)-4), NovR!$A$1:$A1065, 0),
        MATCH($A$1, NovR!$A$6:N$6, 0)
      ),
    IF(valor = "-", "", valor)      
  ),
"")</f>
        <v/>
      </c>
      <c r="N12" s="17" t="str">
        <f t="array" ref="N12">IFERROR(
  LET(
    valor,
      INDEX(
        DicR!$A$1:$AT$60,
        MATCH(RIGHT($A12, LEN($A12)-4), DicR!$A$1:$A1065, 0),
        MATCH($A$1, DicR!$A$6:N$6, 0)
      ),
    IF(valor = "-", "", valor)      
  ),
"")</f>
        <v/>
      </c>
    </row>
    <row r="13" ht="15.75" customHeight="1">
      <c r="A13" s="6" t="str">
        <f>Menus!B6</f>
        <v/>
      </c>
      <c r="B13" s="15">
        <f t="shared" si="5"/>
        <v>0</v>
      </c>
      <c r="C13" s="16" t="str">
        <f t="array" ref="C13">IFERROR(
  LET(
    valor,
      INDEX(
        EneR!$A$1:$AT$48,
        MATCH(RIGHT($A13, LEN($A13)-4), EneR!$A$1:$A1065, 0),
        MATCH($A$1, EneR!$A$6:N$6, 0)
      ),
    IF(valor = "-", "", valor)      
  ),
"")</f>
        <v/>
      </c>
      <c r="D13" s="17" t="str">
        <f t="array" ref="D13">IFERROR(
  LET(
    valor,
      INDEX(
        FebR!$A$1:$AT$51,
        MATCH(RIGHT($A13, LEN($A13)-4), FebR!$A$1:$A1065, 0),
        MATCH($A$1, FebR!$A$6:N$6, 0)
      ),
    IF(valor = "-", "", valor)      
  ),
"")</f>
        <v/>
      </c>
      <c r="E13" s="16" t="str">
        <f t="array" ref="E13">IFERROR(
  LET(
    valor,
      INDEX(
        MarR!$A$1:$AT$48,
        MATCH(RIGHT($A13, LEN($A13)-4), MarR!$A$1:$A1065, 0),
        MATCH($A$1, MarR!$A$6:N$6, 0)
      ),
    IF(valor = "-", "", valor)      
  ),
"")</f>
        <v/>
      </c>
      <c r="F13" s="17" t="str">
        <f t="array" ref="F13">IFERROR(
  LET(
    valor,
      INDEX(
        AbrR!$A$1:$AT$48,
        MATCH(RIGHT($A13, LEN($A13)-4), AbrR!$A$1:$A1065, 0),
        MATCH($A$1, AbrR!$A$6:N$6, 0)
      ),
    IF(valor = "-", "", valor)      
  ),
"")</f>
        <v/>
      </c>
      <c r="G13" s="16" t="str">
        <f t="array" ref="G13">IFERROR(
  LET(
    valor,
      INDEX(
        MayR!$A$1:$AT$48,
        MATCH(RIGHT($A13, LEN($A13)-4), MayR!$A$1:$A1065, 0),
        MATCH($A$1, MayR!$A$6:N$6, 0)
      ),
    IF(valor = "-", "", valor)      
  ),
"")</f>
        <v/>
      </c>
      <c r="H13" s="17" t="str">
        <f t="array" ref="H13">IFERROR(
  LET(
    valor,
      INDEX(
        JunR!$A$1:$AT$48,
        MATCH(RIGHT($A13, LEN($A13)-4), JunR!$A$1:$A1065, 0),
        MATCH($A$1, JunR!$A$6:N$6, 0)
      ),
    IF(valor = "-", "", valor)      
  ),
"")</f>
        <v/>
      </c>
      <c r="I13" s="16" t="str">
        <f t="array" ref="I13">IFERROR(
  LET(
    valor,
      INDEX(
        JulR!$A$1:$AT$48,
        MATCH(RIGHT($A13, LEN($A13)-4), JulR!$A$1:$A1065, 0),
        MATCH($A$1, JulR!$A$6:N$6, 0)
      ),
    IF(valor = "-", "", valor)      
  ),
"")</f>
        <v/>
      </c>
      <c r="J13" s="17" t="str">
        <f t="array" ref="J13">IFERROR(
  LET(
    valor,
      INDEX(
        AgoR!$A$1:$AT$60,
        MATCH(RIGHT($A13, LEN($A13)-4), AgoR!$A$1:$A1065, 0),
        MATCH($A$1, AgoR!$A$6:N$6, 0)
      ),
    IF(valor = "-", "", valor)      
  ),
"")</f>
        <v/>
      </c>
      <c r="K13" s="16" t="str">
        <f t="array" ref="K13">IFERROR(
  LET(
    valor,
      INDEX(
        SepR!$A$1:$AT$60,
        MATCH(RIGHT($A13, LEN($A13)-4), SepR!$A$1:$A1065, 0),
        MATCH($A$1, SepR!$A$6:N$6, 0)
      ),
    IF(valor = "-", "", valor)      
  ),
"")</f>
        <v/>
      </c>
      <c r="L13" s="17" t="str">
        <f t="array" ref="L13">IFERROR(
  LET(
    valor,
      INDEX(
        OctR!$A$1:$AT$60,
        MATCH(RIGHT($A13, LEN($A13)-4), OctR!$A$1:$A1065, 0),
        MATCH($A$1, OctR!$A$6:N$6, 0)
      ),
    IF(valor = "-", "", valor)      
  ),
"")</f>
        <v/>
      </c>
      <c r="M13" s="16" t="str">
        <f t="array" ref="M13">IFERROR(
  LET(
    valor,
      INDEX(
        NovR!$A$1:$AT$60,
        MATCH(RIGHT($A13, LEN($A13)-4), NovR!$A$1:$A1065, 0),
        MATCH($A$1, NovR!$A$6:N$6, 0)
      ),
    IF(valor = "-", "", valor)      
  ),
"")</f>
        <v/>
      </c>
      <c r="N13" s="17" t="str">
        <f t="array" ref="N13">IFERROR(
  LET(
    valor,
      INDEX(
        DicR!$A$1:$AT$60,
        MATCH(RIGHT($A13, LEN($A13)-4), DicR!$A$1:$A1065, 0),
        MATCH($A$1, DicR!$A$6:N$6, 0)
      ),
    IF(valor = "-", "", valor)      
  ),
"")</f>
        <v/>
      </c>
    </row>
    <row r="14" ht="15.75" customHeight="1">
      <c r="A14" s="6" t="str">
        <f>Menus!B7</f>
        <v/>
      </c>
      <c r="B14" s="15">
        <f t="shared" si="5"/>
        <v>0</v>
      </c>
      <c r="C14" s="16" t="str">
        <f t="array" ref="C14">IFERROR(
  LET(
    valor,
      INDEX(
        EneR!$A$1:$AT$48,
        MATCH(RIGHT($A14, LEN($A14)-4), EneR!$A$1:$A1065, 0),
        MATCH($A$1, EneR!$A$6:N$6, 0)
      ),
    IF(valor = "-", "", valor)      
  ),
"")</f>
        <v/>
      </c>
      <c r="D14" s="17" t="str">
        <f t="array" ref="D14">IFERROR(
  LET(
    valor,
      INDEX(
        FebR!$A$1:$AT$51,
        MATCH(RIGHT($A14, LEN($A14)-4), FebR!$A$1:$A1065, 0),
        MATCH($A$1, FebR!$A$6:N$6, 0)
      ),
    IF(valor = "-", "", valor)      
  ),
"")</f>
        <v/>
      </c>
      <c r="E14" s="16" t="str">
        <f t="array" ref="E14">IFERROR(
  LET(
    valor,
      INDEX(
        MarR!$A$1:$AT$48,
        MATCH(RIGHT($A14, LEN($A14)-4), MarR!$A$1:$A1065, 0),
        MATCH($A$1, MarR!$A$6:N$6, 0)
      ),
    IF(valor = "-", "", valor)      
  ),
"")</f>
        <v/>
      </c>
      <c r="F14" s="17" t="str">
        <f t="array" ref="F14">IFERROR(
  LET(
    valor,
      INDEX(
        AbrR!$A$1:$AT$48,
        MATCH(RIGHT($A14, LEN($A14)-4), AbrR!$A$1:$A1065, 0),
        MATCH($A$1, AbrR!$A$6:N$6, 0)
      ),
    IF(valor = "-", "", valor)      
  ),
"")</f>
        <v/>
      </c>
      <c r="G14" s="16" t="str">
        <f t="array" ref="G14">IFERROR(
  LET(
    valor,
      INDEX(
        MayR!$A$1:$AT$48,
        MATCH(RIGHT($A14, LEN($A14)-4), MayR!$A$1:$A1065, 0),
        MATCH($A$1, MayR!$A$6:N$6, 0)
      ),
    IF(valor = "-", "", valor)      
  ),
"")</f>
        <v/>
      </c>
      <c r="H14" s="17" t="str">
        <f t="array" ref="H14">IFERROR(
  LET(
    valor,
      INDEX(
        JunR!$A$1:$AT$48,
        MATCH(RIGHT($A14, LEN($A14)-4), JunR!$A$1:$A1065, 0),
        MATCH($A$1, JunR!$A$6:N$6, 0)
      ),
    IF(valor = "-", "", valor)      
  ),
"")</f>
        <v/>
      </c>
      <c r="I14" s="16" t="str">
        <f t="array" ref="I14">IFERROR(
  LET(
    valor,
      INDEX(
        JulR!$A$1:$AT$48,
        MATCH(RIGHT($A14, LEN($A14)-4), JulR!$A$1:$A1065, 0),
        MATCH($A$1, JulR!$A$6:N$6, 0)
      ),
    IF(valor = "-", "", valor)      
  ),
"")</f>
        <v/>
      </c>
      <c r="J14" s="17" t="str">
        <f t="array" ref="J14">IFERROR(
  LET(
    valor,
      INDEX(
        AgoR!$A$1:$AT$60,
        MATCH(RIGHT($A14, LEN($A14)-4), AgoR!$A$1:$A1065, 0),
        MATCH($A$1, AgoR!$A$6:N$6, 0)
      ),
    IF(valor = "-", "", valor)      
  ),
"")</f>
        <v/>
      </c>
      <c r="K14" s="16" t="str">
        <f t="array" ref="K14">IFERROR(
  LET(
    valor,
      INDEX(
        SepR!$A$1:$AT$60,
        MATCH(RIGHT($A14, LEN($A14)-4), SepR!$A$1:$A1065, 0),
        MATCH($A$1, SepR!$A$6:N$6, 0)
      ),
    IF(valor = "-", "", valor)      
  ),
"")</f>
        <v/>
      </c>
      <c r="L14" s="17" t="str">
        <f t="array" ref="L14">IFERROR(
  LET(
    valor,
      INDEX(
        OctR!$A$1:$AT$60,
        MATCH(RIGHT($A14, LEN($A14)-4), OctR!$A$1:$A1065, 0),
        MATCH($A$1, OctR!$A$6:N$6, 0)
      ),
    IF(valor = "-", "", valor)      
  ),
"")</f>
        <v/>
      </c>
      <c r="M14" s="16" t="str">
        <f t="array" ref="M14">IFERROR(
  LET(
    valor,
      INDEX(
        NovR!$A$1:$AT$60,
        MATCH(RIGHT($A14, LEN($A14)-4), NovR!$A$1:$A1065, 0),
        MATCH($A$1, NovR!$A$6:N$6, 0)
      ),
    IF(valor = "-", "", valor)      
  ),
"")</f>
        <v/>
      </c>
      <c r="N14" s="17" t="str">
        <f t="array" ref="N14">IFERROR(
  LET(
    valor,
      INDEX(
        DicR!$A$1:$AT$60,
        MATCH(RIGHT($A14, LEN($A14)-4), DicR!$A$1:$A1065, 0),
        MATCH($A$1, DicR!$A$6:N$6, 0)
      ),
    IF(valor = "-", "", valor)      
  ),
"")</f>
        <v/>
      </c>
    </row>
    <row r="15" ht="15.75" customHeight="1">
      <c r="A15" s="20" t="str">
        <f>Menus!B8</f>
        <v/>
      </c>
      <c r="B15" s="15">
        <f t="shared" si="5"/>
        <v>0</v>
      </c>
      <c r="C15" s="16" t="str">
        <f t="array" ref="C15">IFERROR(
  LET(
    valor,
      INDEX(
        EneR!$A$1:$AT$48,
        MATCH(RIGHT($A15, LEN($A15)-4), EneR!$A$1:$A1065, 0),
        MATCH($A$1, EneR!$A$6:N$6, 0)
      ),
    IF(valor = "-", "", valor)      
  ),
"")</f>
        <v/>
      </c>
      <c r="D15" s="17" t="str">
        <f t="array" ref="D15">IFERROR(
  LET(
    valor,
      INDEX(
        FebR!$A$1:$AT$51,
        MATCH(RIGHT($A15, LEN($A15)-4), FebR!$A$1:$A1065, 0),
        MATCH($A$1, FebR!$A$6:N$6, 0)
      ),
    IF(valor = "-", "", valor)      
  ),
"")</f>
        <v/>
      </c>
      <c r="E15" s="16" t="str">
        <f t="array" ref="E15">IFERROR(
  LET(
    valor,
      INDEX(
        MarR!$A$1:$AT$48,
        MATCH(RIGHT($A15, LEN($A15)-4), MarR!$A$1:$A1065, 0),
        MATCH($A$1, MarR!$A$6:N$6, 0)
      ),
    IF(valor = "-", "", valor)      
  ),
"")</f>
        <v/>
      </c>
      <c r="F15" s="17" t="str">
        <f t="array" ref="F15">IFERROR(
  LET(
    valor,
      INDEX(
        AbrR!$A$1:$AT$48,
        MATCH(RIGHT($A15, LEN($A15)-4), AbrR!$A$1:$A1065, 0),
        MATCH($A$1, AbrR!$A$6:N$6, 0)
      ),
    IF(valor = "-", "", valor)      
  ),
"")</f>
        <v/>
      </c>
      <c r="G15" s="16" t="str">
        <f t="array" ref="G15">IFERROR(
  LET(
    valor,
      INDEX(
        MayR!$A$1:$AT$48,
        MATCH(RIGHT($A15, LEN($A15)-4), MayR!$A$1:$A1065, 0),
        MATCH($A$1, MayR!$A$6:N$6, 0)
      ),
    IF(valor = "-", "", valor)      
  ),
"")</f>
        <v/>
      </c>
      <c r="H15" s="17" t="str">
        <f t="array" ref="H15">IFERROR(
  LET(
    valor,
      INDEX(
        JunR!$A$1:$AT$48,
        MATCH(RIGHT($A15, LEN($A15)-4), JunR!$A$1:$A1065, 0),
        MATCH($A$1, JunR!$A$6:N$6, 0)
      ),
    IF(valor = "-", "", valor)      
  ),
"")</f>
        <v/>
      </c>
      <c r="I15" s="16" t="str">
        <f t="array" ref="I15">IFERROR(
  LET(
    valor,
      INDEX(
        JulR!$A$1:$AT$48,
        MATCH(RIGHT($A15, LEN($A15)-4), JulR!$A$1:$A1065, 0),
        MATCH($A$1, JulR!$A$6:N$6, 0)
      ),
    IF(valor = "-", "", valor)      
  ),
"")</f>
        <v/>
      </c>
      <c r="J15" s="17" t="str">
        <f t="array" ref="J15">IFERROR(
  LET(
    valor,
      INDEX(
        AgoR!$A$1:$AT$60,
        MATCH(RIGHT($A15, LEN($A15)-4), AgoR!$A$1:$A1065, 0),
        MATCH($A$1, AgoR!$A$6:N$6, 0)
      ),
    IF(valor = "-", "", valor)      
  ),
"")</f>
        <v/>
      </c>
      <c r="K15" s="16" t="str">
        <f t="array" ref="K15">IFERROR(
  LET(
    valor,
      INDEX(
        SepR!$A$1:$AT$60,
        MATCH(RIGHT($A15, LEN($A15)-4), SepR!$A$1:$A1065, 0),
        MATCH($A$1, SepR!$A$6:N$6, 0)
      ),
    IF(valor = "-", "", valor)      
  ),
"")</f>
        <v/>
      </c>
      <c r="L15" s="17" t="str">
        <f t="array" ref="L15">IFERROR(
  LET(
    valor,
      INDEX(
        OctR!$A$1:$AT$60,
        MATCH(RIGHT($A15, LEN($A15)-4), OctR!$A$1:$A1065, 0),
        MATCH($A$1, OctR!$A$6:N$6, 0)
      ),
    IF(valor = "-", "", valor)      
  ),
"")</f>
        <v/>
      </c>
      <c r="M15" s="16" t="str">
        <f t="array" ref="M15">IFERROR(
  LET(
    valor,
      INDEX(
        NovR!$A$1:$AT$60,
        MATCH(RIGHT($A15, LEN($A15)-4), NovR!$A$1:$A1065, 0),
        MATCH($A$1, NovR!$A$6:N$6, 0)
      ),
    IF(valor = "-", "", valor)      
  ),
"")</f>
        <v/>
      </c>
      <c r="N15" s="17" t="str">
        <f t="array" ref="N15">IFERROR(
  LET(
    valor,
      INDEX(
        DicR!$A$1:$AT$60,
        MATCH(RIGHT($A15, LEN($A15)-4), DicR!$A$1:$A1065, 0),
        MATCH($A$1, DicR!$A$6:N$6, 0)
      ),
    IF(valor = "-", "", valor)      
  ),
"")</f>
        <v/>
      </c>
    </row>
    <row r="16" ht="15.75" customHeight="1">
      <c r="A16" s="6" t="str">
        <f>Menus!B9</f>
        <v/>
      </c>
      <c r="B16" s="15">
        <f t="shared" si="5"/>
        <v>0</v>
      </c>
      <c r="C16" s="16" t="str">
        <f t="array" ref="C16">IFERROR(
  LET(
    valor,
      INDEX(
        EneR!$A$1:$AT$48,
        MATCH(RIGHT($A16, LEN($A16)-4), EneR!$A$1:$A1065, 0),
        MATCH($A$1, EneR!$A$6:N$6, 0)
      ),
    IF(valor = "-", "", valor)      
  ),
"")</f>
        <v/>
      </c>
      <c r="D16" s="17" t="str">
        <f t="array" ref="D16">IFERROR(
  LET(
    valor,
      INDEX(
        FebR!$A$1:$AT$51,
        MATCH(RIGHT($A16, LEN($A16)-4), FebR!$A$1:$A1065, 0),
        MATCH($A$1, FebR!$A$6:N$6, 0)
      ),
    IF(valor = "-", "", valor)      
  ),
"")</f>
        <v/>
      </c>
      <c r="E16" s="16" t="str">
        <f t="array" ref="E16">IFERROR(
  LET(
    valor,
      INDEX(
        MarR!$A$1:$AT$48,
        MATCH(RIGHT($A16, LEN($A16)-4), MarR!$A$1:$A1065, 0),
        MATCH($A$1, MarR!$A$6:N$6, 0)
      ),
    IF(valor = "-", "", valor)      
  ),
"")</f>
        <v/>
      </c>
      <c r="F16" s="17" t="str">
        <f t="array" ref="F16">IFERROR(
  LET(
    valor,
      INDEX(
        AbrR!$A$1:$AT$48,
        MATCH(RIGHT($A16, LEN($A16)-4), AbrR!$A$1:$A1065, 0),
        MATCH($A$1, AbrR!$A$6:N$6, 0)
      ),
    IF(valor = "-", "", valor)      
  ),
"")</f>
        <v/>
      </c>
      <c r="G16" s="16" t="str">
        <f t="array" ref="G16">IFERROR(
  LET(
    valor,
      INDEX(
        MayR!$A$1:$AT$48,
        MATCH(RIGHT($A16, LEN($A16)-4), MayR!$A$1:$A1065, 0),
        MATCH($A$1, MayR!$A$6:N$6, 0)
      ),
    IF(valor = "-", "", valor)      
  ),
"")</f>
        <v/>
      </c>
      <c r="H16" s="17" t="str">
        <f t="array" ref="H16">IFERROR(
  LET(
    valor,
      INDEX(
        JunR!$A$1:$AT$48,
        MATCH(RIGHT($A16, LEN($A16)-4), JunR!$A$1:$A1065, 0),
        MATCH($A$1, JunR!$A$6:N$6, 0)
      ),
    IF(valor = "-", "", valor)      
  ),
"")</f>
        <v/>
      </c>
      <c r="I16" s="16" t="str">
        <f t="array" ref="I16">IFERROR(
  LET(
    valor,
      INDEX(
        JulR!$A$1:$AT$48,
        MATCH(RIGHT($A16, LEN($A16)-4), JulR!$A$1:$A1065, 0),
        MATCH($A$1, JulR!$A$6:N$6, 0)
      ),
    IF(valor = "-", "", valor)      
  ),
"")</f>
        <v/>
      </c>
      <c r="J16" s="17" t="str">
        <f t="array" ref="J16">IFERROR(
  LET(
    valor,
      INDEX(
        AgoR!$A$1:$AT$60,
        MATCH(RIGHT($A16, LEN($A16)-4), AgoR!$A$1:$A1065, 0),
        MATCH($A$1, AgoR!$A$6:N$6, 0)
      ),
    IF(valor = "-", "", valor)      
  ),
"")</f>
        <v/>
      </c>
      <c r="K16" s="16" t="str">
        <f t="array" ref="K16">IFERROR(
  LET(
    valor,
      INDEX(
        SepR!$A$1:$AT$60,
        MATCH(RIGHT($A16, LEN($A16)-4), SepR!$A$1:$A1065, 0),
        MATCH($A$1, SepR!$A$6:N$6, 0)
      ),
    IF(valor = "-", "", valor)      
  ),
"")</f>
        <v/>
      </c>
      <c r="L16" s="17" t="str">
        <f t="array" ref="L16">IFERROR(
  LET(
    valor,
      INDEX(
        OctR!$A$1:$AT$60,
        MATCH(RIGHT($A16, LEN($A16)-4), OctR!$A$1:$A1065, 0),
        MATCH($A$1, OctR!$A$6:N$6, 0)
      ),
    IF(valor = "-", "", valor)      
  ),
"")</f>
        <v/>
      </c>
      <c r="M16" s="16" t="str">
        <f t="array" ref="M16">IFERROR(
  LET(
    valor,
      INDEX(
        NovR!$A$1:$AT$60,
        MATCH(RIGHT($A16, LEN($A16)-4), NovR!$A$1:$A1065, 0),
        MATCH($A$1, NovR!$A$6:N$6, 0)
      ),
    IF(valor = "-", "", valor)      
  ),
"")</f>
        <v/>
      </c>
      <c r="N16" s="17" t="str">
        <f t="array" ref="N16">IFERROR(
  LET(
    valor,
      INDEX(
        DicR!$A$1:$AT$60,
        MATCH(RIGHT($A16, LEN($A16)-4), DicR!$A$1:$A1065, 0),
        MATCH($A$1, DicR!$A$6:N$6, 0)
      ),
    IF(valor = "-", "", valor)      
  ),
"")</f>
        <v/>
      </c>
    </row>
    <row r="17" ht="15.75" customHeight="1">
      <c r="A17" s="6" t="str">
        <f>Menus!B10</f>
        <v/>
      </c>
      <c r="B17" s="15">
        <f t="shared" si="5"/>
        <v>0</v>
      </c>
      <c r="C17" s="16" t="str">
        <f t="array" ref="C17">IFERROR(
  LET(
    valor,
      INDEX(
        EneR!$A$1:$AT$48,
        MATCH(RIGHT($A17, LEN($A17)-4), EneR!$A$1:$A1065, 0),
        MATCH($A$1, EneR!$A$6:N$6, 0)
      ),
    IF(valor = "-", "", valor)      
  ),
"")</f>
        <v/>
      </c>
      <c r="D17" s="17" t="str">
        <f t="array" ref="D17">IFERROR(
  LET(
    valor,
      INDEX(
        FebR!$A$1:$AT$51,
        MATCH(RIGHT($A17, LEN($A17)-4), FebR!$A$1:$A1065, 0),
        MATCH($A$1, FebR!$A$6:N$6, 0)
      ),
    IF(valor = "-", "", valor)      
  ),
"")</f>
        <v/>
      </c>
      <c r="E17" s="16" t="str">
        <f t="array" ref="E17">IFERROR(
  LET(
    valor,
      INDEX(
        MarR!$A$1:$AT$48,
        MATCH(RIGHT($A17, LEN($A17)-4), MarR!$A$1:$A1065, 0),
        MATCH($A$1, MarR!$A$6:N$6, 0)
      ),
    IF(valor = "-", "", valor)      
  ),
"")</f>
        <v/>
      </c>
      <c r="F17" s="17" t="str">
        <f t="array" ref="F17">IFERROR(
  LET(
    valor,
      INDEX(
        AbrR!$A$1:$AT$48,
        MATCH(RIGHT($A17, LEN($A17)-4), AbrR!$A$1:$A1065, 0),
        MATCH($A$1, AbrR!$A$6:N$6, 0)
      ),
    IF(valor = "-", "", valor)      
  ),
"")</f>
        <v/>
      </c>
      <c r="G17" s="16" t="str">
        <f t="array" ref="G17">IFERROR(
  LET(
    valor,
      INDEX(
        MayR!$A$1:$AT$48,
        MATCH(RIGHT($A17, LEN($A17)-4), MayR!$A$1:$A1065, 0),
        MATCH($A$1, MayR!$A$6:N$6, 0)
      ),
    IF(valor = "-", "", valor)      
  ),
"")</f>
        <v/>
      </c>
      <c r="H17" s="17" t="str">
        <f t="array" ref="H17">IFERROR(
  LET(
    valor,
      INDEX(
        JunR!$A$1:$AT$48,
        MATCH(RIGHT($A17, LEN($A17)-4), JunR!$A$1:$A1065, 0),
        MATCH($A$1, JunR!$A$6:N$6, 0)
      ),
    IF(valor = "-", "", valor)      
  ),
"")</f>
        <v/>
      </c>
      <c r="I17" s="16" t="str">
        <f t="array" ref="I17">IFERROR(
  LET(
    valor,
      INDEX(
        JulR!$A$1:$AT$48,
        MATCH(RIGHT($A17, LEN($A17)-4), JulR!$A$1:$A1065, 0),
        MATCH($A$1, JulR!$A$6:N$6, 0)
      ),
    IF(valor = "-", "", valor)      
  ),
"")</f>
        <v/>
      </c>
      <c r="J17" s="17" t="str">
        <f t="array" ref="J17">IFERROR(
  LET(
    valor,
      INDEX(
        AgoR!$A$1:$AT$60,
        MATCH(RIGHT($A17, LEN($A17)-4), AgoR!$A$1:$A1065, 0),
        MATCH($A$1, AgoR!$A$6:N$6, 0)
      ),
    IF(valor = "-", "", valor)      
  ),
"")</f>
        <v/>
      </c>
      <c r="K17" s="16" t="str">
        <f t="array" ref="K17">IFERROR(
  LET(
    valor,
      INDEX(
        SepR!$A$1:$AT$60,
        MATCH(RIGHT($A17, LEN($A17)-4), SepR!$A$1:$A1065, 0),
        MATCH($A$1, SepR!$A$6:N$6, 0)
      ),
    IF(valor = "-", "", valor)      
  ),
"")</f>
        <v/>
      </c>
      <c r="L17" s="17" t="str">
        <f t="array" ref="L17">IFERROR(
  LET(
    valor,
      INDEX(
        OctR!$A$1:$AT$60,
        MATCH(RIGHT($A17, LEN($A17)-4), OctR!$A$1:$A1065, 0),
        MATCH($A$1, OctR!$A$6:N$6, 0)
      ),
    IF(valor = "-", "", valor)      
  ),
"")</f>
        <v/>
      </c>
      <c r="M17" s="16" t="str">
        <f t="array" ref="M17">IFERROR(
  LET(
    valor,
      INDEX(
        NovR!$A$1:$AT$60,
        MATCH(RIGHT($A17, LEN($A17)-4), NovR!$A$1:$A1065, 0),
        MATCH($A$1, NovR!$A$6:N$6, 0)
      ),
    IF(valor = "-", "", valor)      
  ),
"")</f>
        <v/>
      </c>
      <c r="N17" s="17" t="str">
        <f t="array" ref="N17">IFERROR(
  LET(
    valor,
      INDEX(
        DicR!$A$1:$AT$60,
        MATCH(RIGHT($A17, LEN($A17)-4), DicR!$A$1:$A1065, 0),
        MATCH($A$1, DicR!$A$6:N$6, 0)
      ),
    IF(valor = "-", "", valor)      
  ),
"")</f>
        <v/>
      </c>
    </row>
    <row r="18" ht="15.75" customHeight="1">
      <c r="A18" s="6" t="str">
        <f>Menus!B11</f>
        <v/>
      </c>
      <c r="B18" s="15">
        <f t="shared" si="5"/>
        <v>0</v>
      </c>
      <c r="C18" s="16" t="str">
        <f t="array" ref="C18">IFERROR(
  LET(
    valor,
      INDEX(
        EneR!$A$1:$AT$48,
        MATCH(RIGHT($A18, LEN($A18)-4), EneR!$A$1:$A1065, 0),
        MATCH($A$1, EneR!$A$6:N$6, 0)
      ),
    IF(valor = "-", "", valor)      
  ),
"")</f>
        <v/>
      </c>
      <c r="D18" s="17" t="str">
        <f t="array" ref="D18">IFERROR(
  LET(
    valor,
      INDEX(
        FebR!$A$1:$AT$51,
        MATCH(RIGHT($A18, LEN($A18)-4), FebR!$A$1:$A1065, 0),
        MATCH($A$1, FebR!$A$6:N$6, 0)
      ),
    IF(valor = "-", "", valor)      
  ),
"")</f>
        <v/>
      </c>
      <c r="E18" s="16" t="str">
        <f t="array" ref="E18">IFERROR(
  LET(
    valor,
      INDEX(
        MarR!$A$1:$AT$48,
        MATCH(RIGHT($A18, LEN($A18)-4), MarR!$A$1:$A1065, 0),
        MATCH($A$1, MarR!$A$6:N$6, 0)
      ),
    IF(valor = "-", "", valor)      
  ),
"")</f>
        <v/>
      </c>
      <c r="F18" s="17" t="str">
        <f t="array" ref="F18">IFERROR(
  LET(
    valor,
      INDEX(
        AbrR!$A$1:$AT$48,
        MATCH(RIGHT($A18, LEN($A18)-4), AbrR!$A$1:$A1065, 0),
        MATCH($A$1, AbrR!$A$6:N$6, 0)
      ),
    IF(valor = "-", "", valor)      
  ),
"")</f>
        <v/>
      </c>
      <c r="G18" s="16" t="str">
        <f t="array" ref="G18">IFERROR(
  LET(
    valor,
      INDEX(
        MayR!$A$1:$AT$48,
        MATCH(RIGHT($A18, LEN($A18)-4), MayR!$A$1:$A1065, 0),
        MATCH($A$1, MayR!$A$6:N$6, 0)
      ),
    IF(valor = "-", "", valor)      
  ),
"")</f>
        <v/>
      </c>
      <c r="H18" s="17" t="str">
        <f t="array" ref="H18">IFERROR(
  LET(
    valor,
      INDEX(
        JunR!$A$1:$AT$48,
        MATCH(RIGHT($A18, LEN($A18)-4), JunR!$A$1:$A1065, 0),
        MATCH($A$1, JunR!$A$6:N$6, 0)
      ),
    IF(valor = "-", "", valor)      
  ),
"")</f>
        <v/>
      </c>
      <c r="I18" s="16" t="str">
        <f t="array" ref="I18">IFERROR(
  LET(
    valor,
      INDEX(
        JulR!$A$1:$AT$48,
        MATCH(RIGHT($A18, LEN($A18)-4), JulR!$A$1:$A1065, 0),
        MATCH($A$1, JulR!$A$6:N$6, 0)
      ),
    IF(valor = "-", "", valor)      
  ),
"")</f>
        <v/>
      </c>
      <c r="J18" s="17" t="str">
        <f t="array" ref="J18">IFERROR(
  LET(
    valor,
      INDEX(
        AgoR!$A$1:$AT$60,
        MATCH(RIGHT($A18, LEN($A18)-4), AgoR!$A$1:$A1065, 0),
        MATCH($A$1, AgoR!$A$6:N$6, 0)
      ),
    IF(valor = "-", "", valor)      
  ),
"")</f>
        <v/>
      </c>
      <c r="K18" s="16" t="str">
        <f t="array" ref="K18">IFERROR(
  LET(
    valor,
      INDEX(
        SepR!$A$1:$AT$60,
        MATCH(RIGHT($A18, LEN($A18)-4), SepR!$A$1:$A1065, 0),
        MATCH($A$1, SepR!$A$6:N$6, 0)
      ),
    IF(valor = "-", "", valor)      
  ),
"")</f>
        <v/>
      </c>
      <c r="L18" s="17" t="str">
        <f t="array" ref="L18">IFERROR(
  LET(
    valor,
      INDEX(
        OctR!$A$1:$AT$60,
        MATCH(RIGHT($A18, LEN($A18)-4), OctR!$A$1:$A1065, 0),
        MATCH($A$1, OctR!$A$6:N$6, 0)
      ),
    IF(valor = "-", "", valor)      
  ),
"")</f>
        <v/>
      </c>
      <c r="M18" s="16" t="str">
        <f t="array" ref="M18">IFERROR(
  LET(
    valor,
      INDEX(
        NovR!$A$1:$AT$60,
        MATCH(RIGHT($A18, LEN($A18)-4), NovR!$A$1:$A1065, 0),
        MATCH($A$1, NovR!$A$6:N$6, 0)
      ),
    IF(valor = "-", "", valor)      
  ),
"")</f>
        <v/>
      </c>
      <c r="N18" s="17" t="str">
        <f t="array" ref="N18">IFERROR(
  LET(
    valor,
      INDEX(
        DicR!$A$1:$AT$60,
        MATCH(RIGHT($A18, LEN($A18)-4), DicR!$A$1:$A1065, 0),
        MATCH($A$1, DicR!$A$6:N$6, 0)
      ),
    IF(valor = "-", "", valor)      
  ),
"")</f>
        <v/>
      </c>
    </row>
    <row r="19" ht="15.75" customHeight="1">
      <c r="A19" s="6" t="str">
        <f>Menus!B12</f>
        <v/>
      </c>
      <c r="B19" s="15">
        <f t="shared" si="5"/>
        <v>0</v>
      </c>
      <c r="C19" s="16" t="str">
        <f t="array" ref="C19">IFERROR(
  LET(
    valor,
      INDEX(
        EneR!$A$1:$AT$48,
        MATCH(RIGHT($A19, LEN($A19)-4), EneR!$A$1:$A1065, 0),
        MATCH($A$1, EneR!$A$6:N$6, 0)
      ),
    IF(valor = "-", "", valor)      
  ),
"")</f>
        <v/>
      </c>
      <c r="D19" s="17" t="str">
        <f t="array" ref="D19">IFERROR(
  LET(
    valor,
      INDEX(
        FebR!$A$1:$AT$51,
        MATCH(RIGHT($A19, LEN($A19)-4), FebR!$A$1:$A1065, 0),
        MATCH($A$1, FebR!$A$6:N$6, 0)
      ),
    IF(valor = "-", "", valor)      
  ),
"")</f>
        <v/>
      </c>
      <c r="E19" s="16" t="str">
        <f t="array" ref="E19">IFERROR(
  LET(
    valor,
      INDEX(
        MarR!$A$1:$AT$48,
        MATCH(RIGHT($A19, LEN($A19)-4), MarR!$A$1:$A1065, 0),
        MATCH($A$1, MarR!$A$6:N$6, 0)
      ),
    IF(valor = "-", "", valor)      
  ),
"")</f>
        <v/>
      </c>
      <c r="F19" s="17" t="str">
        <f t="array" ref="F19">IFERROR(
  LET(
    valor,
      INDEX(
        AbrR!$A$1:$AT$48,
        MATCH(RIGHT($A19, LEN($A19)-4), AbrR!$A$1:$A1065, 0),
        MATCH($A$1, AbrR!$A$6:N$6, 0)
      ),
    IF(valor = "-", "", valor)      
  ),
"")</f>
        <v/>
      </c>
      <c r="G19" s="16" t="str">
        <f t="array" ref="G19">IFERROR(
  LET(
    valor,
      INDEX(
        MayR!$A$1:$AT$48,
        MATCH(RIGHT($A19, LEN($A19)-4), MayR!$A$1:$A1065, 0),
        MATCH($A$1, MayR!$A$6:N$6, 0)
      ),
    IF(valor = "-", "", valor)      
  ),
"")</f>
        <v/>
      </c>
      <c r="H19" s="17" t="str">
        <f t="array" ref="H19">IFERROR(
  LET(
    valor,
      INDEX(
        JunR!$A$1:$AT$48,
        MATCH(RIGHT($A19, LEN($A19)-4), JunR!$A$1:$A1065, 0),
        MATCH($A$1, JunR!$A$6:N$6, 0)
      ),
    IF(valor = "-", "", valor)      
  ),
"")</f>
        <v/>
      </c>
      <c r="I19" s="16" t="str">
        <f t="array" ref="I19">IFERROR(
  LET(
    valor,
      INDEX(
        JulR!$A$1:$AT$48,
        MATCH(RIGHT($A19, LEN($A19)-4), JulR!$A$1:$A1065, 0),
        MATCH($A$1, JulR!$A$6:N$6, 0)
      ),
    IF(valor = "-", "", valor)      
  ),
"")</f>
        <v/>
      </c>
      <c r="J19" s="17" t="str">
        <f t="array" ref="J19">IFERROR(
  LET(
    valor,
      INDEX(
        AgoR!$A$1:$AT$60,
        MATCH(RIGHT($A19, LEN($A19)-4), AgoR!$A$1:$A1065, 0),
        MATCH($A$1, AgoR!$A$6:N$6, 0)
      ),
    IF(valor = "-", "", valor)      
  ),
"")</f>
        <v/>
      </c>
      <c r="K19" s="16" t="str">
        <f t="array" ref="K19">IFERROR(
  LET(
    valor,
      INDEX(
        SepR!$A$1:$AT$60,
        MATCH(RIGHT($A19, LEN($A19)-4), SepR!$A$1:$A1065, 0),
        MATCH($A$1, SepR!$A$6:N$6, 0)
      ),
    IF(valor = "-", "", valor)      
  ),
"")</f>
        <v/>
      </c>
      <c r="L19" s="17" t="str">
        <f t="array" ref="L19">IFERROR(
  LET(
    valor,
      INDEX(
        OctR!$A$1:$AT$60,
        MATCH(RIGHT($A19, LEN($A19)-4), OctR!$A$1:$A1065, 0),
        MATCH($A$1, OctR!$A$6:N$6, 0)
      ),
    IF(valor = "-", "", valor)      
  ),
"")</f>
        <v/>
      </c>
      <c r="M19" s="16" t="str">
        <f t="array" ref="M19">IFERROR(
  LET(
    valor,
      INDEX(
        NovR!$A$1:$AT$60,
        MATCH(RIGHT($A19, LEN($A19)-4), NovR!$A$1:$A1065, 0),
        MATCH($A$1, NovR!$A$6:N$6, 0)
      ),
    IF(valor = "-", "", valor)      
  ),
"")</f>
        <v/>
      </c>
      <c r="N19" s="17" t="str">
        <f t="array" ref="N19">IFERROR(
  LET(
    valor,
      INDEX(
        DicR!$A$1:$AT$60,
        MATCH(RIGHT($A19, LEN($A19)-4), DicR!$A$1:$A1065, 0),
        MATCH($A$1, DicR!$A$6:N$6, 0)
      ),
    IF(valor = "-", "", valor)      
  ),
"")</f>
        <v/>
      </c>
    </row>
    <row r="20" ht="15.75" customHeight="1">
      <c r="A20" s="6" t="str">
        <f>Menus!B13</f>
        <v/>
      </c>
      <c r="B20" s="15">
        <f t="shared" si="5"/>
        <v>0</v>
      </c>
      <c r="C20" s="16" t="str">
        <f t="array" ref="C20">IFERROR(
  LET(
    valor,
      INDEX(
        EneR!$A$1:$AT$48,
        MATCH(RIGHT($A20, LEN($A20)-4), EneR!$A$1:$A1065, 0),
        MATCH($A$1, EneR!$A$6:N$6, 0)
      ),
    IF(valor = "-", "", valor)      
  ),
"")</f>
        <v/>
      </c>
      <c r="D20" s="17" t="str">
        <f t="array" ref="D20">IFERROR(
  LET(
    valor,
      INDEX(
        FebR!$A$1:$AT$51,
        MATCH(RIGHT($A20, LEN($A20)-4), FebR!$A$1:$A1065, 0),
        MATCH($A$1, FebR!$A$6:N$6, 0)
      ),
    IF(valor = "-", "", valor)      
  ),
"")</f>
        <v/>
      </c>
      <c r="E20" s="16" t="str">
        <f t="array" ref="E20">IFERROR(
  LET(
    valor,
      INDEX(
        MarR!$A$1:$AT$48,
        MATCH(RIGHT($A20, LEN($A20)-4), MarR!$A$1:$A1065, 0),
        MATCH($A$1, MarR!$A$6:N$6, 0)
      ),
    IF(valor = "-", "", valor)      
  ),
"")</f>
        <v/>
      </c>
      <c r="F20" s="17" t="str">
        <f t="array" ref="F20">IFERROR(
  LET(
    valor,
      INDEX(
        AbrR!$A$1:$AT$48,
        MATCH(RIGHT($A20, LEN($A20)-4), AbrR!$A$1:$A1065, 0),
        MATCH($A$1, AbrR!$A$6:N$6, 0)
      ),
    IF(valor = "-", "", valor)      
  ),
"")</f>
        <v/>
      </c>
      <c r="G20" s="16" t="str">
        <f t="array" ref="G20">IFERROR(
  LET(
    valor,
      INDEX(
        MayR!$A$1:$AT$48,
        MATCH(RIGHT($A20, LEN($A20)-4), MayR!$A$1:$A1065, 0),
        MATCH($A$1, MayR!$A$6:N$6, 0)
      ),
    IF(valor = "-", "", valor)      
  ),
"")</f>
        <v/>
      </c>
      <c r="H20" s="17" t="str">
        <f t="array" ref="H20">IFERROR(
  LET(
    valor,
      INDEX(
        JunR!$A$1:$AT$48,
        MATCH(RIGHT($A20, LEN($A20)-4), JunR!$A$1:$A1065, 0),
        MATCH($A$1, JunR!$A$6:N$6, 0)
      ),
    IF(valor = "-", "", valor)      
  ),
"")</f>
        <v/>
      </c>
      <c r="I20" s="16" t="str">
        <f t="array" ref="I20">IFERROR(
  LET(
    valor,
      INDEX(
        JulR!$A$1:$AT$48,
        MATCH(RIGHT($A20, LEN($A20)-4), JulR!$A$1:$A1065, 0),
        MATCH($A$1, JulR!$A$6:N$6, 0)
      ),
    IF(valor = "-", "", valor)      
  ),
"")</f>
        <v/>
      </c>
      <c r="J20" s="17" t="str">
        <f t="array" ref="J20">IFERROR(
  LET(
    valor,
      INDEX(
        AgoR!$A$1:$AT$60,
        MATCH(RIGHT($A20, LEN($A20)-4), AgoR!$A$1:$A1065, 0),
        MATCH($A$1, AgoR!$A$6:N$6, 0)
      ),
    IF(valor = "-", "", valor)      
  ),
"")</f>
        <v/>
      </c>
      <c r="K20" s="16" t="str">
        <f t="array" ref="K20">IFERROR(
  LET(
    valor,
      INDEX(
        SepR!$A$1:$AT$60,
        MATCH(RIGHT($A20, LEN($A20)-4), SepR!$A$1:$A1065, 0),
        MATCH($A$1, SepR!$A$6:N$6, 0)
      ),
    IF(valor = "-", "", valor)      
  ),
"")</f>
        <v/>
      </c>
      <c r="L20" s="17" t="str">
        <f t="array" ref="L20">IFERROR(
  LET(
    valor,
      INDEX(
        OctR!$A$1:$AT$60,
        MATCH(RIGHT($A20, LEN($A20)-4), OctR!$A$1:$A1065, 0),
        MATCH($A$1, OctR!$A$6:N$6, 0)
      ),
    IF(valor = "-", "", valor)      
  ),
"")</f>
        <v/>
      </c>
      <c r="M20" s="16" t="str">
        <f t="array" ref="M20">IFERROR(
  LET(
    valor,
      INDEX(
        NovR!$A$1:$AT$60,
        MATCH(RIGHT($A20, LEN($A20)-4), NovR!$A$1:$A1065, 0),
        MATCH($A$1, NovR!$A$6:N$6, 0)
      ),
    IF(valor = "-", "", valor)      
  ),
"")</f>
        <v/>
      </c>
      <c r="N20" s="17" t="str">
        <f t="array" ref="N20">IFERROR(
  LET(
    valor,
      INDEX(
        DicR!$A$1:$AT$60,
        MATCH(RIGHT($A20, LEN($A20)-4), DicR!$A$1:$A1065, 0),
        MATCH($A$1, DicR!$A$6:N$6, 0)
      ),
    IF(valor = "-", "", valor)      
  ),
"")</f>
        <v/>
      </c>
    </row>
    <row r="21" ht="15.75" customHeight="1">
      <c r="A21" s="6" t="str">
        <f>Menus!B14</f>
        <v/>
      </c>
      <c r="B21" s="15">
        <f t="shared" si="5"/>
        <v>0</v>
      </c>
      <c r="C21" s="16" t="str">
        <f t="array" ref="C21">IFERROR(
  LET(
    valor,
      INDEX(
        EneR!$A$1:$AT$48,
        MATCH(RIGHT($A21, LEN($A21)-4), EneR!$A$1:$A1065, 0),
        MATCH($A$1, EneR!$A$6:N$6, 0)
      ),
    IF(valor = "-", "", valor)      
  ),
"")</f>
        <v/>
      </c>
      <c r="D21" s="17" t="str">
        <f t="array" ref="D21">IFERROR(
  LET(
    valor,
      INDEX(
        FebR!$A$1:$AT$51,
        MATCH(RIGHT($A21, LEN($A21)-4), FebR!$A$1:$A1065, 0),
        MATCH($A$1, FebR!$A$6:N$6, 0)
      ),
    IF(valor = "-", "", valor)      
  ),
"")</f>
        <v/>
      </c>
      <c r="E21" s="16" t="str">
        <f t="array" ref="E21">IFERROR(
  LET(
    valor,
      INDEX(
        MarR!$A$1:$AT$48,
        MATCH(RIGHT($A21, LEN($A21)-4), MarR!$A$1:$A1065, 0),
        MATCH($A$1, MarR!$A$6:N$6, 0)
      ),
    IF(valor = "-", "", valor)      
  ),
"")</f>
        <v/>
      </c>
      <c r="F21" s="17" t="str">
        <f t="array" ref="F21">IFERROR(
  LET(
    valor,
      INDEX(
        AbrR!$A$1:$AT$48,
        MATCH(RIGHT($A21, LEN($A21)-4), AbrR!$A$1:$A1065, 0),
        MATCH($A$1, AbrR!$A$6:N$6, 0)
      ),
    IF(valor = "-", "", valor)      
  ),
"")</f>
        <v/>
      </c>
      <c r="G21" s="16" t="str">
        <f t="array" ref="G21">IFERROR(
  LET(
    valor,
      INDEX(
        MayR!$A$1:$AT$48,
        MATCH(RIGHT($A21, LEN($A21)-4), MayR!$A$1:$A1065, 0),
        MATCH($A$1, MayR!$A$6:N$6, 0)
      ),
    IF(valor = "-", "", valor)      
  ),
"")</f>
        <v/>
      </c>
      <c r="H21" s="17" t="str">
        <f t="array" ref="H21">IFERROR(
  LET(
    valor,
      INDEX(
        JunR!$A$1:$AT$48,
        MATCH(RIGHT($A21, LEN($A21)-4), JunR!$A$1:$A1065, 0),
        MATCH($A$1, JunR!$A$6:N$6, 0)
      ),
    IF(valor = "-", "", valor)      
  ),
"")</f>
        <v/>
      </c>
      <c r="I21" s="16" t="str">
        <f t="array" ref="I21">IFERROR(
  LET(
    valor,
      INDEX(
        JulR!$A$1:$AT$48,
        MATCH(RIGHT($A21, LEN($A21)-4), JulR!$A$1:$A1065, 0),
        MATCH($A$1, JulR!$A$6:N$6, 0)
      ),
    IF(valor = "-", "", valor)      
  ),
"")</f>
        <v/>
      </c>
      <c r="J21" s="17" t="str">
        <f t="array" ref="J21">IFERROR(
  LET(
    valor,
      INDEX(
        AgoR!$A$1:$AT$60,
        MATCH(RIGHT($A21, LEN($A21)-4), AgoR!$A$1:$A1065, 0),
        MATCH($A$1, AgoR!$A$6:N$6, 0)
      ),
    IF(valor = "-", "", valor)      
  ),
"")</f>
        <v/>
      </c>
      <c r="K21" s="16" t="str">
        <f t="array" ref="K21">IFERROR(
  LET(
    valor,
      INDEX(
        SepR!$A$1:$AT$60,
        MATCH(RIGHT($A21, LEN($A21)-4), SepR!$A$1:$A1065, 0),
        MATCH($A$1, SepR!$A$6:N$6, 0)
      ),
    IF(valor = "-", "", valor)      
  ),
"")</f>
        <v/>
      </c>
      <c r="L21" s="17" t="str">
        <f t="array" ref="L21">IFERROR(
  LET(
    valor,
      INDEX(
        OctR!$A$1:$AT$60,
        MATCH(RIGHT($A21, LEN($A21)-4), OctR!$A$1:$A1065, 0),
        MATCH($A$1, OctR!$A$6:N$6, 0)
      ),
    IF(valor = "-", "", valor)      
  ),
"")</f>
        <v/>
      </c>
      <c r="M21" s="16" t="str">
        <f t="array" ref="M21">IFERROR(
  LET(
    valor,
      INDEX(
        NovR!$A$1:$AT$60,
        MATCH(RIGHT($A21, LEN($A21)-4), NovR!$A$1:$A1065, 0),
        MATCH($A$1, NovR!$A$6:N$6, 0)
      ),
    IF(valor = "-", "", valor)      
  ),
"")</f>
        <v/>
      </c>
      <c r="N21" s="17" t="str">
        <f t="array" ref="N21">IFERROR(
  LET(
    valor,
      INDEX(
        DicR!$A$1:$AT$60,
        MATCH(RIGHT($A21, LEN($A21)-4), DicR!$A$1:$A1065, 0),
        MATCH($A$1, DicR!$A$6:N$6, 0)
      ),
    IF(valor = "-", "", valor)      
  ),
"")</f>
        <v/>
      </c>
    </row>
    <row r="22" ht="15.75" customHeight="1">
      <c r="A22" s="6" t="str">
        <f>Menus!B15</f>
        <v/>
      </c>
      <c r="B22" s="15">
        <f t="shared" si="5"/>
        <v>0</v>
      </c>
      <c r="C22" s="16" t="str">
        <f t="array" ref="C22">IFERROR(
  LET(
    valor,
      INDEX(
        EneR!$A$1:$AT$48,
        MATCH(RIGHT($A22, LEN($A22)-4), EneR!$A$1:$A1065, 0),
        MATCH($A$1, EneR!$A$6:N$6, 0)
      ),
    IF(valor = "-", "", valor)      
  ),
"")</f>
        <v/>
      </c>
      <c r="D22" s="17" t="str">
        <f t="array" ref="D22">IFERROR(
  LET(
    valor,
      INDEX(
        FebR!$A$1:$AT$51,
        MATCH(RIGHT($A22, LEN($A22)-4), FebR!$A$1:$A1065, 0),
        MATCH($A$1, FebR!$A$6:N$6, 0)
      ),
    IF(valor = "-", "", valor)      
  ),
"")</f>
        <v/>
      </c>
      <c r="E22" s="16" t="str">
        <f t="array" ref="E22">IFERROR(
  LET(
    valor,
      INDEX(
        MarR!$A$1:$AT$48,
        MATCH(RIGHT($A22, LEN($A22)-4), MarR!$A$1:$A1065, 0),
        MATCH($A$1, MarR!$A$6:N$6, 0)
      ),
    IF(valor = "-", "", valor)      
  ),
"")</f>
        <v/>
      </c>
      <c r="F22" s="17" t="str">
        <f t="array" ref="F22">IFERROR(
  LET(
    valor,
      INDEX(
        AbrR!$A$1:$AT$48,
        MATCH(RIGHT($A22, LEN($A22)-4), AbrR!$A$1:$A1065, 0),
        MATCH($A$1, AbrR!$A$6:N$6, 0)
      ),
    IF(valor = "-", "", valor)      
  ),
"")</f>
        <v/>
      </c>
      <c r="G22" s="16" t="str">
        <f t="array" ref="G22">IFERROR(
  LET(
    valor,
      INDEX(
        MayR!$A$1:$AT$48,
        MATCH(RIGHT($A22, LEN($A22)-4), MayR!$A$1:$A1065, 0),
        MATCH($A$1, MayR!$A$6:N$6, 0)
      ),
    IF(valor = "-", "", valor)      
  ),
"")</f>
        <v/>
      </c>
      <c r="H22" s="17" t="str">
        <f t="array" ref="H22">IFERROR(
  LET(
    valor,
      INDEX(
        JunR!$A$1:$AT$48,
        MATCH(RIGHT($A22, LEN($A22)-4), JunR!$A$1:$A1065, 0),
        MATCH($A$1, JunR!$A$6:N$6, 0)
      ),
    IF(valor = "-", "", valor)      
  ),
"")</f>
        <v/>
      </c>
      <c r="I22" s="16" t="str">
        <f t="array" ref="I22">IFERROR(
  LET(
    valor,
      INDEX(
        JulR!$A$1:$AT$48,
        MATCH(RIGHT($A22, LEN($A22)-4), JulR!$A$1:$A1065, 0),
        MATCH($A$1, JulR!$A$6:N$6, 0)
      ),
    IF(valor = "-", "", valor)      
  ),
"")</f>
        <v/>
      </c>
      <c r="J22" s="17" t="str">
        <f t="array" ref="J22">IFERROR(
  LET(
    valor,
      INDEX(
        AgoR!$A$1:$AT$60,
        MATCH(RIGHT($A22, LEN($A22)-4), AgoR!$A$1:$A1065, 0),
        MATCH($A$1, AgoR!$A$6:N$6, 0)
      ),
    IF(valor = "-", "", valor)      
  ),
"")</f>
        <v/>
      </c>
      <c r="K22" s="16" t="str">
        <f t="array" ref="K22">IFERROR(
  LET(
    valor,
      INDEX(
        SepR!$A$1:$AT$60,
        MATCH(RIGHT($A22, LEN($A22)-4), SepR!$A$1:$A1065, 0),
        MATCH($A$1, SepR!$A$6:N$6, 0)
      ),
    IF(valor = "-", "", valor)      
  ),
"")</f>
        <v/>
      </c>
      <c r="L22" s="17" t="str">
        <f t="array" ref="L22">IFERROR(
  LET(
    valor,
      INDEX(
        OctR!$A$1:$AT$60,
        MATCH(RIGHT($A22, LEN($A22)-4), OctR!$A$1:$A1065, 0),
        MATCH($A$1, OctR!$A$6:N$6, 0)
      ),
    IF(valor = "-", "", valor)      
  ),
"")</f>
        <v/>
      </c>
      <c r="M22" s="16" t="str">
        <f t="array" ref="M22">IFERROR(
  LET(
    valor,
      INDEX(
        NovR!$A$1:$AT$60,
        MATCH(RIGHT($A22, LEN($A22)-4), NovR!$A$1:$A1065, 0),
        MATCH($A$1, NovR!$A$6:N$6, 0)
      ),
    IF(valor = "-", "", valor)      
  ),
"")</f>
        <v/>
      </c>
      <c r="N22" s="17" t="str">
        <f t="array" ref="N22">IFERROR(
  LET(
    valor,
      INDEX(
        DicR!$A$1:$AT$60,
        MATCH(RIGHT($A22, LEN($A22)-4), DicR!$A$1:$A1065, 0),
        MATCH($A$1, DicR!$A$6:N$6, 0)
      ),
    IF(valor = "-", "", valor)      
  ),
"")</f>
        <v/>
      </c>
    </row>
    <row r="23" ht="15.75" customHeight="1">
      <c r="A23" s="6" t="str">
        <f>Menus!B16</f>
        <v/>
      </c>
      <c r="B23" s="15">
        <f t="shared" si="5"/>
        <v>0</v>
      </c>
      <c r="C23" s="16" t="str">
        <f t="array" ref="C23">IFERROR(
  LET(
    valor,
      INDEX(
        EneR!$A$1:$AT$48,
        MATCH(RIGHT($A23, LEN($A23)-4), EneR!$A$1:$A1065, 0),
        MATCH($A$1, EneR!$A$6:N$6, 0)
      ),
    IF(valor = "-", "", valor)      
  ),
"")</f>
        <v/>
      </c>
      <c r="D23" s="17" t="str">
        <f t="array" ref="D23">IFERROR(
  LET(
    valor,
      INDEX(
        FebR!$A$1:$AT$51,
        MATCH(RIGHT($A23, LEN($A23)-4), FebR!$A$1:$A1065, 0),
        MATCH($A$1, FebR!$A$6:N$6, 0)
      ),
    IF(valor = "-", "", valor)      
  ),
"")</f>
        <v/>
      </c>
      <c r="E23" s="16" t="str">
        <f t="array" ref="E23">IFERROR(
  LET(
    valor,
      INDEX(
        MarR!$A$1:$AT$48,
        MATCH(RIGHT($A23, LEN($A23)-4), MarR!$A$1:$A1065, 0),
        MATCH($A$1, MarR!$A$6:N$6, 0)
      ),
    IF(valor = "-", "", valor)      
  ),
"")</f>
        <v/>
      </c>
      <c r="F23" s="17" t="str">
        <f t="array" ref="F23">IFERROR(
  LET(
    valor,
      INDEX(
        AbrR!$A$1:$AT$48,
        MATCH(RIGHT($A23, LEN($A23)-4), AbrR!$A$1:$A1065, 0),
        MATCH($A$1, AbrR!$A$6:N$6, 0)
      ),
    IF(valor = "-", "", valor)      
  ),
"")</f>
        <v/>
      </c>
      <c r="G23" s="16" t="str">
        <f t="array" ref="G23">IFERROR(
  LET(
    valor,
      INDEX(
        MayR!$A$1:$AT$48,
        MATCH(RIGHT($A23, LEN($A23)-4), MayR!$A$1:$A1065, 0),
        MATCH($A$1, MayR!$A$6:N$6, 0)
      ),
    IF(valor = "-", "", valor)      
  ),
"")</f>
        <v/>
      </c>
      <c r="H23" s="17" t="str">
        <f t="array" ref="H23">IFERROR(
  LET(
    valor,
      INDEX(
        JunR!$A$1:$AT$48,
        MATCH(RIGHT($A23, LEN($A23)-4), JunR!$A$1:$A1065, 0),
        MATCH($A$1, JunR!$A$6:N$6, 0)
      ),
    IF(valor = "-", "", valor)      
  ),
"")</f>
        <v/>
      </c>
      <c r="I23" s="16" t="str">
        <f t="array" ref="I23">IFERROR(
  LET(
    valor,
      INDEX(
        JulR!$A$1:$AT$48,
        MATCH(RIGHT($A23, LEN($A23)-4), JulR!$A$1:$A1065, 0),
        MATCH($A$1, JulR!$A$6:N$6, 0)
      ),
    IF(valor = "-", "", valor)      
  ),
"")</f>
        <v/>
      </c>
      <c r="J23" s="17" t="str">
        <f t="array" ref="J23">IFERROR(
  LET(
    valor,
      INDEX(
        AgoR!$A$1:$AT$60,
        MATCH(RIGHT($A23, LEN($A23)-4), AgoR!$A$1:$A1065, 0),
        MATCH($A$1, AgoR!$A$6:N$6, 0)
      ),
    IF(valor = "-", "", valor)      
  ),
"")</f>
        <v/>
      </c>
      <c r="K23" s="16" t="str">
        <f t="array" ref="K23">IFERROR(
  LET(
    valor,
      INDEX(
        SepR!$A$1:$AT$60,
        MATCH(RIGHT($A23, LEN($A23)-4), SepR!$A$1:$A1065, 0),
        MATCH($A$1, SepR!$A$6:N$6, 0)
      ),
    IF(valor = "-", "", valor)      
  ),
"")</f>
        <v/>
      </c>
      <c r="L23" s="17" t="str">
        <f t="array" ref="L23">IFERROR(
  LET(
    valor,
      INDEX(
        OctR!$A$1:$AT$60,
        MATCH(RIGHT($A23, LEN($A23)-4), OctR!$A$1:$A1065, 0),
        MATCH($A$1, OctR!$A$6:N$6, 0)
      ),
    IF(valor = "-", "", valor)      
  ),
"")</f>
        <v/>
      </c>
      <c r="M23" s="16" t="str">
        <f t="array" ref="M23">IFERROR(
  LET(
    valor,
      INDEX(
        NovR!$A$1:$AT$60,
        MATCH(RIGHT($A23, LEN($A23)-4), NovR!$A$1:$A1065, 0),
        MATCH($A$1, NovR!$A$6:N$6, 0)
      ),
    IF(valor = "-", "", valor)      
  ),
"")</f>
        <v/>
      </c>
      <c r="N23" s="17" t="str">
        <f t="array" ref="N23">IFERROR(
  LET(
    valor,
      INDEX(
        DicR!$A$1:$AT$60,
        MATCH(RIGHT($A23, LEN($A23)-4), DicR!$A$1:$A1065, 0),
        MATCH($A$1, DicR!$A$6:N$6, 0)
      ),
    IF(valor = "-", "", valor)      
  ),
"")</f>
        <v/>
      </c>
    </row>
    <row r="24" ht="15.75" customHeight="1">
      <c r="A24" s="6" t="str">
        <f>Menus!B17</f>
        <v/>
      </c>
      <c r="B24" s="15">
        <f t="shared" si="5"/>
        <v>0</v>
      </c>
      <c r="C24" s="16" t="str">
        <f t="array" ref="C24">IFERROR(
  LET(
    valor,
      INDEX(
        EneR!$A$1:$AT$48,
        MATCH(RIGHT($A24, LEN($A24)-4), EneR!$A$1:$A1065, 0),
        MATCH($A$1, EneR!$A$6:N$6, 0)
      ),
    IF(valor = "-", "", valor)      
  ),
"")</f>
        <v/>
      </c>
      <c r="D24" s="17" t="str">
        <f t="array" ref="D24">IFERROR(
  LET(
    valor,
      INDEX(
        FebR!$A$1:$AT$51,
        MATCH(RIGHT($A24, LEN($A24)-4), FebR!$A$1:$A1065, 0),
        MATCH($A$1, FebR!$A$6:N$6, 0)
      ),
    IF(valor = "-", "", valor)      
  ),
"")</f>
        <v/>
      </c>
      <c r="E24" s="16" t="str">
        <f t="array" ref="E24">IFERROR(
  LET(
    valor,
      INDEX(
        MarR!$A$1:$AT$48,
        MATCH(RIGHT($A24, LEN($A24)-4), MarR!$A$1:$A1065, 0),
        MATCH($A$1, MarR!$A$6:N$6, 0)
      ),
    IF(valor = "-", "", valor)      
  ),
"")</f>
        <v/>
      </c>
      <c r="F24" s="17" t="str">
        <f t="array" ref="F24">IFERROR(
  LET(
    valor,
      INDEX(
        AbrR!$A$1:$AT$48,
        MATCH(RIGHT($A24, LEN($A24)-4), AbrR!$A$1:$A1065, 0),
        MATCH($A$1, AbrR!$A$6:N$6, 0)
      ),
    IF(valor = "-", "", valor)      
  ),
"")</f>
        <v/>
      </c>
      <c r="G24" s="16" t="str">
        <f t="array" ref="G24">IFERROR(
  LET(
    valor,
      INDEX(
        MayR!$A$1:$AT$48,
        MATCH(RIGHT($A24, LEN($A24)-4), MayR!$A$1:$A1065, 0),
        MATCH($A$1, MayR!$A$6:N$6, 0)
      ),
    IF(valor = "-", "", valor)      
  ),
"")</f>
        <v/>
      </c>
      <c r="H24" s="17" t="str">
        <f t="array" ref="H24">IFERROR(
  LET(
    valor,
      INDEX(
        JunR!$A$1:$AT$48,
        MATCH(RIGHT($A24, LEN($A24)-4), JunR!$A$1:$A1065, 0),
        MATCH($A$1, JunR!$A$6:N$6, 0)
      ),
    IF(valor = "-", "", valor)      
  ),
"")</f>
        <v/>
      </c>
      <c r="I24" s="16" t="str">
        <f t="array" ref="I24">IFERROR(
  LET(
    valor,
      INDEX(
        JulR!$A$1:$AT$48,
        MATCH(RIGHT($A24, LEN($A24)-4), JulR!$A$1:$A1065, 0),
        MATCH($A$1, JulR!$A$6:N$6, 0)
      ),
    IF(valor = "-", "", valor)      
  ),
"")</f>
        <v/>
      </c>
      <c r="J24" s="17" t="str">
        <f t="array" ref="J24">IFERROR(
  LET(
    valor,
      INDEX(
        AgoR!$A$1:$AT$60,
        MATCH(RIGHT($A24, LEN($A24)-4), AgoR!$A$1:$A1065, 0),
        MATCH($A$1, AgoR!$A$6:N$6, 0)
      ),
    IF(valor = "-", "", valor)      
  ),
"")</f>
        <v/>
      </c>
      <c r="K24" s="16" t="str">
        <f t="array" ref="K24">IFERROR(
  LET(
    valor,
      INDEX(
        SepR!$A$1:$AT$60,
        MATCH(RIGHT($A24, LEN($A24)-4), SepR!$A$1:$A1065, 0),
        MATCH($A$1, SepR!$A$6:N$6, 0)
      ),
    IF(valor = "-", "", valor)      
  ),
"")</f>
        <v/>
      </c>
      <c r="L24" s="17" t="str">
        <f t="array" ref="L24">IFERROR(
  LET(
    valor,
      INDEX(
        OctR!$A$1:$AT$60,
        MATCH(RIGHT($A24, LEN($A24)-4), OctR!$A$1:$A1065, 0),
        MATCH($A$1, OctR!$A$6:N$6, 0)
      ),
    IF(valor = "-", "", valor)      
  ),
"")</f>
        <v/>
      </c>
      <c r="M24" s="16" t="str">
        <f t="array" ref="M24">IFERROR(
  LET(
    valor,
      INDEX(
        NovR!$A$1:$AT$60,
        MATCH(RIGHT($A24, LEN($A24)-4), NovR!$A$1:$A1065, 0),
        MATCH($A$1, NovR!$A$6:N$6, 0)
      ),
    IF(valor = "-", "", valor)      
  ),
"")</f>
        <v/>
      </c>
      <c r="N24" s="17" t="str">
        <f t="array" ref="N24">IFERROR(
  LET(
    valor,
      INDEX(
        DicR!$A$1:$AT$60,
        MATCH(RIGHT($A24, LEN($A24)-4), DicR!$A$1:$A1065, 0),
        MATCH($A$1, DicR!$A$6:N$6, 0)
      ),
    IF(valor = "-", "", valor)      
  ),
"")</f>
        <v/>
      </c>
    </row>
    <row r="25" ht="15.75" customHeight="1">
      <c r="A25" s="6" t="str">
        <f>Menus!B18</f>
        <v/>
      </c>
      <c r="B25" s="15">
        <f t="shared" si="5"/>
        <v>0</v>
      </c>
      <c r="C25" s="16" t="str">
        <f t="array" ref="C25">IFERROR(
  LET(
    valor,
      INDEX(
        EneR!$A$1:$AT$48,
        MATCH(RIGHT($A25, LEN($A25)-4), EneR!$A$1:$A1065, 0),
        MATCH($A$1, EneR!$A$6:N$6, 0)
      ),
    IF(valor = "-", "", valor)      
  ),
"")</f>
        <v/>
      </c>
      <c r="D25" s="17" t="str">
        <f t="array" ref="D25">IFERROR(
  LET(
    valor,
      INDEX(
        FebR!$A$1:$AT$51,
        MATCH(RIGHT($A25, LEN($A25)-4), FebR!$A$1:$A1065, 0),
        MATCH($A$1, FebR!$A$6:N$6, 0)
      ),
    IF(valor = "-", "", valor)      
  ),
"")</f>
        <v/>
      </c>
      <c r="E25" s="16" t="str">
        <f t="array" ref="E25">IFERROR(
  LET(
    valor,
      INDEX(
        MarR!$A$1:$AT$48,
        MATCH(RIGHT($A25, LEN($A25)-4), MarR!$A$1:$A1065, 0),
        MATCH($A$1, MarR!$A$6:N$6, 0)
      ),
    IF(valor = "-", "", valor)      
  ),
"")</f>
        <v/>
      </c>
      <c r="F25" s="17" t="str">
        <f t="array" ref="F25">IFERROR(
  LET(
    valor,
      INDEX(
        AbrR!$A$1:$AT$48,
        MATCH(RIGHT($A25, LEN($A25)-4), AbrR!$A$1:$A1065, 0),
        MATCH($A$1, AbrR!$A$6:N$6, 0)
      ),
    IF(valor = "-", "", valor)      
  ),
"")</f>
        <v/>
      </c>
      <c r="G25" s="16" t="str">
        <f t="array" ref="G25">IFERROR(
  LET(
    valor,
      INDEX(
        MayR!$A$1:$AT$48,
        MATCH(RIGHT($A25, LEN($A25)-4), MayR!$A$1:$A1065, 0),
        MATCH($A$1, MayR!$A$6:N$6, 0)
      ),
    IF(valor = "-", "", valor)      
  ),
"")</f>
        <v/>
      </c>
      <c r="H25" s="17" t="str">
        <f t="array" ref="H25">IFERROR(
  LET(
    valor,
      INDEX(
        JunR!$A$1:$AT$48,
        MATCH(RIGHT($A25, LEN($A25)-4), JunR!$A$1:$A1065, 0),
        MATCH($A$1, JunR!$A$6:N$6, 0)
      ),
    IF(valor = "-", "", valor)      
  ),
"")</f>
        <v/>
      </c>
      <c r="I25" s="16" t="str">
        <f t="array" ref="I25">IFERROR(
  LET(
    valor,
      INDEX(
        JulR!$A$1:$AT$48,
        MATCH(RIGHT($A25, LEN($A25)-4), JulR!$A$1:$A1065, 0),
        MATCH($A$1, JulR!$A$6:N$6, 0)
      ),
    IF(valor = "-", "", valor)      
  ),
"")</f>
        <v/>
      </c>
      <c r="J25" s="17" t="str">
        <f t="array" ref="J25">IFERROR(
  LET(
    valor,
      INDEX(
        AgoR!$A$1:$AT$60,
        MATCH(RIGHT($A25, LEN($A25)-4), AgoR!$A$1:$A1065, 0),
        MATCH($A$1, AgoR!$A$6:N$6, 0)
      ),
    IF(valor = "-", "", valor)      
  ),
"")</f>
        <v/>
      </c>
      <c r="K25" s="16" t="str">
        <f t="array" ref="K25">IFERROR(
  LET(
    valor,
      INDEX(
        SepR!$A$1:$AT$60,
        MATCH(RIGHT($A25, LEN($A25)-4), SepR!$A$1:$A1065, 0),
        MATCH($A$1, SepR!$A$6:N$6, 0)
      ),
    IF(valor = "-", "", valor)      
  ),
"")</f>
        <v/>
      </c>
      <c r="L25" s="17" t="str">
        <f t="array" ref="L25">IFERROR(
  LET(
    valor,
      INDEX(
        OctR!$A$1:$AT$60,
        MATCH(RIGHT($A25, LEN($A25)-4), OctR!$A$1:$A1065, 0),
        MATCH($A$1, OctR!$A$6:N$6, 0)
      ),
    IF(valor = "-", "", valor)      
  ),
"")</f>
        <v/>
      </c>
      <c r="M25" s="16" t="str">
        <f t="array" ref="M25">IFERROR(
  LET(
    valor,
      INDEX(
        NovR!$A$1:$AT$60,
        MATCH(RIGHT($A25, LEN($A25)-4), NovR!$A$1:$A1065, 0),
        MATCH($A$1, NovR!$A$6:N$6, 0)
      ),
    IF(valor = "-", "", valor)      
  ),
"")</f>
        <v/>
      </c>
      <c r="N25" s="17" t="str">
        <f t="array" ref="N25">IFERROR(
  LET(
    valor,
      INDEX(
        DicR!$A$1:$AT$60,
        MATCH(RIGHT($A25, LEN($A25)-4), DicR!$A$1:$A1065, 0),
        MATCH($A$1, DicR!$A$6:N$6, 0)
      ),
    IF(valor = "-", "", valor)      
  ),
"")</f>
        <v/>
      </c>
    </row>
    <row r="26" ht="15.75" customHeight="1">
      <c r="A26" s="6" t="str">
        <f>Menus!B19</f>
        <v/>
      </c>
      <c r="B26" s="15">
        <f t="shared" si="5"/>
        <v>0</v>
      </c>
      <c r="C26" s="16" t="str">
        <f t="array" ref="C26">IFERROR(
  LET(
    valor,
      INDEX(
        EneR!$A$1:$AT$48,
        MATCH(RIGHT($A26, LEN($A26)-4), EneR!$A$1:$A1065, 0),
        MATCH($A$1, EneR!$A$6:N$6, 0)
      ),
    IF(valor = "-", "", valor)      
  ),
"")</f>
        <v/>
      </c>
      <c r="D26" s="17" t="str">
        <f t="array" ref="D26">IFERROR(
  LET(
    valor,
      INDEX(
        FebR!$A$1:$AT$51,
        MATCH(RIGHT($A26, LEN($A26)-4), FebR!$A$1:$A1065, 0),
        MATCH($A$1, FebR!$A$6:N$6, 0)
      ),
    IF(valor = "-", "", valor)      
  ),
"")</f>
        <v/>
      </c>
      <c r="E26" s="16" t="str">
        <f t="array" ref="E26">IFERROR(
  LET(
    valor,
      INDEX(
        MarR!$A$1:$AT$48,
        MATCH(RIGHT($A26, LEN($A26)-4), MarR!$A$1:$A1065, 0),
        MATCH($A$1, MarR!$A$6:N$6, 0)
      ),
    IF(valor = "-", "", valor)      
  ),
"")</f>
        <v/>
      </c>
      <c r="F26" s="17" t="str">
        <f t="array" ref="F26">IFERROR(
  LET(
    valor,
      INDEX(
        AbrR!$A$1:$AT$48,
        MATCH(RIGHT($A26, LEN($A26)-4), AbrR!$A$1:$A1065, 0),
        MATCH($A$1, AbrR!$A$6:N$6, 0)
      ),
    IF(valor = "-", "", valor)      
  ),
"")</f>
        <v/>
      </c>
      <c r="G26" s="16" t="str">
        <f t="array" ref="G26">IFERROR(
  LET(
    valor,
      INDEX(
        MayR!$A$1:$AT$48,
        MATCH(RIGHT($A26, LEN($A26)-4), MayR!$A$1:$A1065, 0),
        MATCH($A$1, MayR!$A$6:N$6, 0)
      ),
    IF(valor = "-", "", valor)      
  ),
"")</f>
        <v/>
      </c>
      <c r="H26" s="17" t="str">
        <f t="array" ref="H26">IFERROR(
  LET(
    valor,
      INDEX(
        JunR!$A$1:$AT$48,
        MATCH(RIGHT($A26, LEN($A26)-4), JunR!$A$1:$A1065, 0),
        MATCH($A$1, JunR!$A$6:N$6, 0)
      ),
    IF(valor = "-", "", valor)      
  ),
"")</f>
        <v/>
      </c>
      <c r="I26" s="16" t="str">
        <f t="array" ref="I26">IFERROR(
  LET(
    valor,
      INDEX(
        JulR!$A$1:$AT$48,
        MATCH(RIGHT($A26, LEN($A26)-4), JulR!$A$1:$A1065, 0),
        MATCH($A$1, JulR!$A$6:N$6, 0)
      ),
    IF(valor = "-", "", valor)      
  ),
"")</f>
        <v/>
      </c>
      <c r="J26" s="17" t="str">
        <f t="array" ref="J26">IFERROR(
  LET(
    valor,
      INDEX(
        AgoR!$A$1:$AT$60,
        MATCH(RIGHT($A26, LEN($A26)-4), AgoR!$A$1:$A1065, 0),
        MATCH($A$1, AgoR!$A$6:N$6, 0)
      ),
    IF(valor = "-", "", valor)      
  ),
"")</f>
        <v/>
      </c>
      <c r="K26" s="16" t="str">
        <f t="array" ref="K26">IFERROR(
  LET(
    valor,
      INDEX(
        SepR!$A$1:$AT$60,
        MATCH(RIGHT($A26, LEN($A26)-4), SepR!$A$1:$A1065, 0),
        MATCH($A$1, SepR!$A$6:N$6, 0)
      ),
    IF(valor = "-", "", valor)      
  ),
"")</f>
        <v/>
      </c>
      <c r="L26" s="17" t="str">
        <f t="array" ref="L26">IFERROR(
  LET(
    valor,
      INDEX(
        OctR!$A$1:$AT$60,
        MATCH(RIGHT($A26, LEN($A26)-4), OctR!$A$1:$A1065, 0),
        MATCH($A$1, OctR!$A$6:N$6, 0)
      ),
    IF(valor = "-", "", valor)      
  ),
"")</f>
        <v/>
      </c>
      <c r="M26" s="16" t="str">
        <f t="array" ref="M26">IFERROR(
  LET(
    valor,
      INDEX(
        NovR!$A$1:$AT$60,
        MATCH(RIGHT($A26, LEN($A26)-4), NovR!$A$1:$A1065, 0),
        MATCH($A$1, NovR!$A$6:N$6, 0)
      ),
    IF(valor = "-", "", valor)      
  ),
"")</f>
        <v/>
      </c>
      <c r="N26" s="17" t="str">
        <f t="array" ref="N26">IFERROR(
  LET(
    valor,
      INDEX(
        DicR!$A$1:$AT$60,
        MATCH(RIGHT($A26, LEN($A26)-4), DicR!$A$1:$A1065, 0),
        MATCH($A$1, DicR!$A$6:N$6, 0)
      ),
    IF(valor = "-", "", valor)      
  ),
"")</f>
        <v/>
      </c>
    </row>
    <row r="27" ht="15.75" customHeight="1">
      <c r="A27" s="6" t="str">
        <f>Menus!B20</f>
        <v/>
      </c>
      <c r="B27" s="15">
        <f t="shared" si="5"/>
        <v>0</v>
      </c>
      <c r="C27" s="16" t="str">
        <f t="array" ref="C27">IFERROR(
  LET(
    valor,
      INDEX(
        EneR!$A$1:$AT$48,
        MATCH(RIGHT($A27, LEN($A27)-4), EneR!$A$1:$A1065, 0),
        MATCH($A$1, EneR!$A$6:N$6, 0)
      ),
    IF(valor = "-", "", valor)      
  ),
"")</f>
        <v/>
      </c>
      <c r="D27" s="17" t="str">
        <f t="array" ref="D27">IFERROR(
  LET(
    valor,
      INDEX(
        FebR!$A$1:$AT$51,
        MATCH(RIGHT($A27, LEN($A27)-4), FebR!$A$1:$A1065, 0),
        MATCH($A$1, FebR!$A$6:N$6, 0)
      ),
    IF(valor = "-", "", valor)      
  ),
"")</f>
        <v/>
      </c>
      <c r="E27" s="16" t="str">
        <f t="array" ref="E27">IFERROR(
  LET(
    valor,
      INDEX(
        MarR!$A$1:$AT$48,
        MATCH(RIGHT($A27, LEN($A27)-4), MarR!$A$1:$A1065, 0),
        MATCH($A$1, MarR!$A$6:N$6, 0)
      ),
    IF(valor = "-", "", valor)      
  ),
"")</f>
        <v/>
      </c>
      <c r="F27" s="17" t="str">
        <f t="array" ref="F27">IFERROR(
  LET(
    valor,
      INDEX(
        AbrR!$A$1:$AT$48,
        MATCH(RIGHT($A27, LEN($A27)-4), AbrR!$A$1:$A1065, 0),
        MATCH($A$1, AbrR!$A$6:N$6, 0)
      ),
    IF(valor = "-", "", valor)      
  ),
"")</f>
        <v/>
      </c>
      <c r="G27" s="16" t="str">
        <f t="array" ref="G27">IFERROR(
  LET(
    valor,
      INDEX(
        MayR!$A$1:$AT$48,
        MATCH(RIGHT($A27, LEN($A27)-4), MayR!$A$1:$A1065, 0),
        MATCH($A$1, MayR!$A$6:N$6, 0)
      ),
    IF(valor = "-", "", valor)      
  ),
"")</f>
        <v/>
      </c>
      <c r="H27" s="17" t="str">
        <f t="array" ref="H27">IFERROR(
  LET(
    valor,
      INDEX(
        JunR!$A$1:$AT$48,
        MATCH(RIGHT($A27, LEN($A27)-4), JunR!$A$1:$A1065, 0),
        MATCH($A$1, JunR!$A$6:N$6, 0)
      ),
    IF(valor = "-", "", valor)      
  ),
"")</f>
        <v/>
      </c>
      <c r="I27" s="16" t="str">
        <f t="array" ref="I27">IFERROR(
  LET(
    valor,
      INDEX(
        JulR!$A$1:$AT$48,
        MATCH(RIGHT($A27, LEN($A27)-4), JulR!$A$1:$A1065, 0),
        MATCH($A$1, JulR!$A$6:N$6, 0)
      ),
    IF(valor = "-", "", valor)      
  ),
"")</f>
        <v/>
      </c>
      <c r="J27" s="17" t="str">
        <f t="array" ref="J27">IFERROR(
  LET(
    valor,
      INDEX(
        AgoR!$A$1:$AT$60,
        MATCH(RIGHT($A27, LEN($A27)-4), AgoR!$A$1:$A1065, 0),
        MATCH($A$1, AgoR!$A$6:N$6, 0)
      ),
    IF(valor = "-", "", valor)      
  ),
"")</f>
        <v/>
      </c>
      <c r="K27" s="16" t="str">
        <f t="array" ref="K27">IFERROR(
  LET(
    valor,
      INDEX(
        SepR!$A$1:$AT$60,
        MATCH(RIGHT($A27, LEN($A27)-4), SepR!$A$1:$A1065, 0),
        MATCH($A$1, SepR!$A$6:N$6, 0)
      ),
    IF(valor = "-", "", valor)      
  ),
"")</f>
        <v/>
      </c>
      <c r="L27" s="17" t="str">
        <f t="array" ref="L27">IFERROR(
  LET(
    valor,
      INDEX(
        OctR!$A$1:$AT$60,
        MATCH(RIGHT($A27, LEN($A27)-4), OctR!$A$1:$A1065, 0),
        MATCH($A$1, OctR!$A$6:N$6, 0)
      ),
    IF(valor = "-", "", valor)      
  ),
"")</f>
        <v/>
      </c>
      <c r="M27" s="16" t="str">
        <f t="array" ref="M27">IFERROR(
  LET(
    valor,
      INDEX(
        NovR!$A$1:$AT$60,
        MATCH(RIGHT($A27, LEN($A27)-4), NovR!$A$1:$A1065, 0),
        MATCH($A$1, NovR!$A$6:N$6, 0)
      ),
    IF(valor = "-", "", valor)      
  ),
"")</f>
        <v/>
      </c>
      <c r="N27" s="17" t="str">
        <f t="array" ref="N27">IFERROR(
  LET(
    valor,
      INDEX(
        DicR!$A$1:$AT$60,
        MATCH(RIGHT($A27, LEN($A27)-4), DicR!$A$1:$A1065, 0),
        MATCH($A$1, DicR!$A$6:N$6, 0)
      ),
    IF(valor = "-", "", valor)      
  ),
"")</f>
        <v/>
      </c>
    </row>
    <row r="28" ht="15.75" customHeight="1">
      <c r="A28" s="6" t="str">
        <f>Menus!B21</f>
        <v/>
      </c>
      <c r="B28" s="15">
        <f t="shared" si="5"/>
        <v>0</v>
      </c>
      <c r="C28" s="16" t="str">
        <f t="array" ref="C28">IFERROR(
  LET(
    valor,
      INDEX(
        EneR!$A$1:$AT$48,
        MATCH(RIGHT($A28, LEN($A28)-4), EneR!$A$1:$A1065, 0),
        MATCH($A$1, EneR!$A$6:N$6, 0)
      ),
    IF(valor = "-", "", valor)      
  ),
"")</f>
        <v/>
      </c>
      <c r="D28" s="17" t="str">
        <f t="array" ref="D28">IFERROR(
  LET(
    valor,
      INDEX(
        FebR!$A$1:$AT$51,
        MATCH(RIGHT($A28, LEN($A28)-4), FebR!$A$1:$A1065, 0),
        MATCH($A$1, FebR!$A$6:N$6, 0)
      ),
    IF(valor = "-", "", valor)      
  ),
"")</f>
        <v/>
      </c>
      <c r="E28" s="16" t="str">
        <f t="array" ref="E28">IFERROR(
  LET(
    valor,
      INDEX(
        MarR!$A$1:$AT$48,
        MATCH(RIGHT($A28, LEN($A28)-4), MarR!$A$1:$A1065, 0),
        MATCH($A$1, MarR!$A$6:N$6, 0)
      ),
    IF(valor = "-", "", valor)      
  ),
"")</f>
        <v/>
      </c>
      <c r="F28" s="17" t="str">
        <f t="array" ref="F28">IFERROR(
  LET(
    valor,
      INDEX(
        AbrR!$A$1:$AT$48,
        MATCH(RIGHT($A28, LEN($A28)-4), AbrR!$A$1:$A1065, 0),
        MATCH($A$1, AbrR!$A$6:N$6, 0)
      ),
    IF(valor = "-", "", valor)      
  ),
"")</f>
        <v/>
      </c>
      <c r="G28" s="16" t="str">
        <f t="array" ref="G28">IFERROR(
  LET(
    valor,
      INDEX(
        MayR!$A$1:$AT$48,
        MATCH(RIGHT($A28, LEN($A28)-4), MayR!$A$1:$A1065, 0),
        MATCH($A$1, MayR!$A$6:N$6, 0)
      ),
    IF(valor = "-", "", valor)      
  ),
"")</f>
        <v/>
      </c>
      <c r="H28" s="17" t="str">
        <f t="array" ref="H28">IFERROR(
  LET(
    valor,
      INDEX(
        JunR!$A$1:$AT$48,
        MATCH(RIGHT($A28, LEN($A28)-4), JunR!$A$1:$A1065, 0),
        MATCH($A$1, JunR!$A$6:N$6, 0)
      ),
    IF(valor = "-", "", valor)      
  ),
"")</f>
        <v/>
      </c>
      <c r="I28" s="16" t="str">
        <f t="array" ref="I28">IFERROR(
  LET(
    valor,
      INDEX(
        JulR!$A$1:$AT$48,
        MATCH(RIGHT($A28, LEN($A28)-4), JulR!$A$1:$A1065, 0),
        MATCH($A$1, JulR!$A$6:N$6, 0)
      ),
    IF(valor = "-", "", valor)      
  ),
"")</f>
        <v/>
      </c>
      <c r="J28" s="17" t="str">
        <f t="array" ref="J28">IFERROR(
  LET(
    valor,
      INDEX(
        AgoR!$A$1:$AT$60,
        MATCH(RIGHT($A28, LEN($A28)-4), AgoR!$A$1:$A1065, 0),
        MATCH($A$1, AgoR!$A$6:N$6, 0)
      ),
    IF(valor = "-", "", valor)      
  ),
"")</f>
        <v/>
      </c>
      <c r="K28" s="16" t="str">
        <f t="array" ref="K28">IFERROR(
  LET(
    valor,
      INDEX(
        SepR!$A$1:$AT$60,
        MATCH(RIGHT($A28, LEN($A28)-4), SepR!$A$1:$A1065, 0),
        MATCH($A$1, SepR!$A$6:N$6, 0)
      ),
    IF(valor = "-", "", valor)      
  ),
"")</f>
        <v/>
      </c>
      <c r="L28" s="17" t="str">
        <f t="array" ref="L28">IFERROR(
  LET(
    valor,
      INDEX(
        OctR!$A$1:$AT$60,
        MATCH(RIGHT($A28, LEN($A28)-4), OctR!$A$1:$A1065, 0),
        MATCH($A$1, OctR!$A$6:N$6, 0)
      ),
    IF(valor = "-", "", valor)      
  ),
"")</f>
        <v/>
      </c>
      <c r="M28" s="16" t="str">
        <f t="array" ref="M28">IFERROR(
  LET(
    valor,
      INDEX(
        NovR!$A$1:$AT$60,
        MATCH(RIGHT($A28, LEN($A28)-4), NovR!$A$1:$A1065, 0),
        MATCH($A$1, NovR!$A$6:N$6, 0)
      ),
    IF(valor = "-", "", valor)      
  ),
"")</f>
        <v/>
      </c>
      <c r="N28" s="17" t="str">
        <f t="array" ref="N28">IFERROR(
  LET(
    valor,
      INDEX(
        DicR!$A$1:$AT$60,
        MATCH(RIGHT($A28, LEN($A28)-4), DicR!$A$1:$A1065, 0),
        MATCH($A$1, DicR!$A$6:N$6, 0)
      ),
    IF(valor = "-", "", valor)      
  ),
"")</f>
        <v/>
      </c>
    </row>
    <row r="29" ht="15.75" customHeight="1">
      <c r="A29" s="6" t="str">
        <f>Menus!B22</f>
        <v/>
      </c>
      <c r="B29" s="15">
        <f t="shared" si="5"/>
        <v>0</v>
      </c>
      <c r="C29" s="16" t="str">
        <f t="array" ref="C29">IFERROR(
  LET(
    valor,
      INDEX(
        EneR!$A$1:$AT$48,
        MATCH(RIGHT($A29, LEN($A29)-4), EneR!$A$1:$A1065, 0),
        MATCH($A$1, EneR!$A$6:N$6, 0)
      ),
    IF(valor = "-", "", valor)      
  ),
"")</f>
        <v/>
      </c>
      <c r="D29" s="17" t="str">
        <f t="array" ref="D29">IFERROR(
  LET(
    valor,
      INDEX(
        FebR!$A$1:$AT$51,
        MATCH(RIGHT($A29, LEN($A29)-4), FebR!$A$1:$A1065, 0),
        MATCH($A$1, FebR!$A$6:N$6, 0)
      ),
    IF(valor = "-", "", valor)      
  ),
"")</f>
        <v/>
      </c>
      <c r="E29" s="16" t="str">
        <f t="array" ref="E29">IFERROR(
  LET(
    valor,
      INDEX(
        MarR!$A$1:$AT$48,
        MATCH(RIGHT($A29, LEN($A29)-4), MarR!$A$1:$A1065, 0),
        MATCH($A$1, MarR!$A$6:N$6, 0)
      ),
    IF(valor = "-", "", valor)      
  ),
"")</f>
        <v/>
      </c>
      <c r="F29" s="17" t="str">
        <f t="array" ref="F29">IFERROR(
  LET(
    valor,
      INDEX(
        AbrR!$A$1:$AT$48,
        MATCH(RIGHT($A29, LEN($A29)-4), AbrR!$A$1:$A1065, 0),
        MATCH($A$1, AbrR!$A$6:N$6, 0)
      ),
    IF(valor = "-", "", valor)      
  ),
"")</f>
        <v/>
      </c>
      <c r="G29" s="16" t="str">
        <f t="array" ref="G29">IFERROR(
  LET(
    valor,
      INDEX(
        MayR!$A$1:$AT$48,
        MATCH(RIGHT($A29, LEN($A29)-4), MayR!$A$1:$A1065, 0),
        MATCH($A$1, MayR!$A$6:N$6, 0)
      ),
    IF(valor = "-", "", valor)      
  ),
"")</f>
        <v/>
      </c>
      <c r="H29" s="17" t="str">
        <f t="array" ref="H29">IFERROR(
  LET(
    valor,
      INDEX(
        JunR!$A$1:$AT$48,
        MATCH(RIGHT($A29, LEN($A29)-4), JunR!$A$1:$A1065, 0),
        MATCH($A$1, JunR!$A$6:N$6, 0)
      ),
    IF(valor = "-", "", valor)      
  ),
"")</f>
        <v/>
      </c>
      <c r="I29" s="16" t="str">
        <f t="array" ref="I29">IFERROR(
  LET(
    valor,
      INDEX(
        JulR!$A$1:$AT$48,
        MATCH(RIGHT($A29, LEN($A29)-4), JulR!$A$1:$A1065, 0),
        MATCH($A$1, JulR!$A$6:N$6, 0)
      ),
    IF(valor = "-", "", valor)      
  ),
"")</f>
        <v/>
      </c>
      <c r="J29" s="17" t="str">
        <f t="array" ref="J29">IFERROR(
  LET(
    valor,
      INDEX(
        AgoR!$A$1:$AT$60,
        MATCH(RIGHT($A29, LEN($A29)-4), AgoR!$A$1:$A1065, 0),
        MATCH($A$1, AgoR!$A$6:N$6, 0)
      ),
    IF(valor = "-", "", valor)      
  ),
"")</f>
        <v/>
      </c>
      <c r="K29" s="16" t="str">
        <f t="array" ref="K29">IFERROR(
  LET(
    valor,
      INDEX(
        SepR!$A$1:$AT$60,
        MATCH(RIGHT($A29, LEN($A29)-4), SepR!$A$1:$A1065, 0),
        MATCH($A$1, SepR!$A$6:N$6, 0)
      ),
    IF(valor = "-", "", valor)      
  ),
"")</f>
        <v/>
      </c>
      <c r="L29" s="17" t="str">
        <f t="array" ref="L29">IFERROR(
  LET(
    valor,
      INDEX(
        OctR!$A$1:$AT$60,
        MATCH(RIGHT($A29, LEN($A29)-4), OctR!$A$1:$A1065, 0),
        MATCH($A$1, OctR!$A$6:N$6, 0)
      ),
    IF(valor = "-", "", valor)      
  ),
"")</f>
        <v/>
      </c>
      <c r="M29" s="16" t="str">
        <f t="array" ref="M29">IFERROR(
  LET(
    valor,
      INDEX(
        NovR!$A$1:$AT$60,
        MATCH(RIGHT($A29, LEN($A29)-4), NovR!$A$1:$A1065, 0),
        MATCH($A$1, NovR!$A$6:N$6, 0)
      ),
    IF(valor = "-", "", valor)      
  ),
"")</f>
        <v/>
      </c>
      <c r="N29" s="17" t="str">
        <f t="array" ref="N29">IFERROR(
  LET(
    valor,
      INDEX(
        DicR!$A$1:$AT$60,
        MATCH(RIGHT($A29, LEN($A29)-4), DicR!$A$1:$A1065, 0),
        MATCH($A$1, DicR!$A$6:N$6, 0)
      ),
    IF(valor = "-", "", valor)      
  ),
"")</f>
        <v/>
      </c>
    </row>
    <row r="30" ht="15.75" customHeight="1">
      <c r="A30" s="6" t="str">
        <f>Menus!B23</f>
        <v/>
      </c>
      <c r="B30" s="15">
        <f t="shared" si="5"/>
        <v>0</v>
      </c>
      <c r="C30" s="16" t="str">
        <f t="array" ref="C30">IFERROR(
  LET(
    valor,
      INDEX(
        EneR!$A$1:$AT$48,
        MATCH(RIGHT($A30, LEN($A30)-4), EneR!$A$1:$A1065, 0),
        MATCH($A$1, EneR!$A$6:N$6, 0)
      ),
    IF(valor = "-", "", valor)      
  ),
"")</f>
        <v/>
      </c>
      <c r="D30" s="17" t="str">
        <f t="array" ref="D30">IFERROR(
  LET(
    valor,
      INDEX(
        FebR!$A$1:$AT$51,
        MATCH(RIGHT($A30, LEN($A30)-4), FebR!$A$1:$A1065, 0),
        MATCH($A$1, FebR!$A$6:N$6, 0)
      ),
    IF(valor = "-", "", valor)      
  ),
"")</f>
        <v/>
      </c>
      <c r="E30" s="16" t="str">
        <f t="array" ref="E30">IFERROR(
  LET(
    valor,
      INDEX(
        MarR!$A$1:$AT$48,
        MATCH(RIGHT($A30, LEN($A30)-4), MarR!$A$1:$A1065, 0),
        MATCH($A$1, MarR!$A$6:N$6, 0)
      ),
    IF(valor = "-", "", valor)      
  ),
"")</f>
        <v/>
      </c>
      <c r="F30" s="17" t="str">
        <f t="array" ref="F30">IFERROR(
  LET(
    valor,
      INDEX(
        AbrR!$A$1:$AT$48,
        MATCH(RIGHT($A30, LEN($A30)-4), AbrR!$A$1:$A1065, 0),
        MATCH($A$1, AbrR!$A$6:N$6, 0)
      ),
    IF(valor = "-", "", valor)      
  ),
"")</f>
        <v/>
      </c>
      <c r="G30" s="16" t="str">
        <f t="array" ref="G30">IFERROR(
  LET(
    valor,
      INDEX(
        MayR!$A$1:$AT$48,
        MATCH(RIGHT($A30, LEN($A30)-4), MayR!$A$1:$A1065, 0),
        MATCH($A$1, MayR!$A$6:N$6, 0)
      ),
    IF(valor = "-", "", valor)      
  ),
"")</f>
        <v/>
      </c>
      <c r="H30" s="17" t="str">
        <f t="array" ref="H30">IFERROR(
  LET(
    valor,
      INDEX(
        JunR!$A$1:$AT$48,
        MATCH(RIGHT($A30, LEN($A30)-4), JunR!$A$1:$A1065, 0),
        MATCH($A$1, JunR!$A$6:N$6, 0)
      ),
    IF(valor = "-", "", valor)      
  ),
"")</f>
        <v/>
      </c>
      <c r="I30" s="16" t="str">
        <f t="array" ref="I30">IFERROR(
  LET(
    valor,
      INDEX(
        JulR!$A$1:$AT$48,
        MATCH(RIGHT($A30, LEN($A30)-4), JulR!$A$1:$A1065, 0),
        MATCH($A$1, JulR!$A$6:N$6, 0)
      ),
    IF(valor = "-", "", valor)      
  ),
"")</f>
        <v/>
      </c>
      <c r="J30" s="17" t="str">
        <f t="array" ref="J30">IFERROR(
  LET(
    valor,
      INDEX(
        AgoR!$A$1:$AT$60,
        MATCH(RIGHT($A30, LEN($A30)-4), AgoR!$A$1:$A1065, 0),
        MATCH($A$1, AgoR!$A$6:N$6, 0)
      ),
    IF(valor = "-", "", valor)      
  ),
"")</f>
        <v/>
      </c>
      <c r="K30" s="16" t="str">
        <f t="array" ref="K30">IFERROR(
  LET(
    valor,
      INDEX(
        SepR!$A$1:$AT$60,
        MATCH(RIGHT($A30, LEN($A30)-4), SepR!$A$1:$A1065, 0),
        MATCH($A$1, SepR!$A$6:N$6, 0)
      ),
    IF(valor = "-", "", valor)      
  ),
"")</f>
        <v/>
      </c>
      <c r="L30" s="17" t="str">
        <f t="array" ref="L30">IFERROR(
  LET(
    valor,
      INDEX(
        OctR!$A$1:$AT$60,
        MATCH(RIGHT($A30, LEN($A30)-4), OctR!$A$1:$A1065, 0),
        MATCH($A$1, OctR!$A$6:N$6, 0)
      ),
    IF(valor = "-", "", valor)      
  ),
"")</f>
        <v/>
      </c>
      <c r="M30" s="16" t="str">
        <f t="array" ref="M30">IFERROR(
  LET(
    valor,
      INDEX(
        NovR!$A$1:$AT$60,
        MATCH(RIGHT($A30, LEN($A30)-4), NovR!$A$1:$A1065, 0),
        MATCH($A$1, NovR!$A$6:N$6, 0)
      ),
    IF(valor = "-", "", valor)      
  ),
"")</f>
        <v/>
      </c>
      <c r="N30" s="17" t="str">
        <f t="array" ref="N30">IFERROR(
  LET(
    valor,
      INDEX(
        DicR!$A$1:$AT$60,
        MATCH(RIGHT($A30, LEN($A30)-4), DicR!$A$1:$A1065, 0),
        MATCH($A$1, DicR!$A$6:N$6, 0)
      ),
    IF(valor = "-", "", valor)      
  ),
"")</f>
        <v/>
      </c>
    </row>
    <row r="31" ht="15.75" customHeight="1">
      <c r="A31" s="6" t="str">
        <f>Menus!B24</f>
        <v/>
      </c>
      <c r="B31" s="15">
        <f t="shared" si="5"/>
        <v>0</v>
      </c>
      <c r="C31" s="16" t="str">
        <f t="array" ref="C31">IFERROR(
  LET(
    valor,
      INDEX(
        EneR!$A$1:$AT$48,
        MATCH(RIGHT($A31, LEN($A31)-4), EneR!$A$1:$A1065, 0),
        MATCH($A$1, EneR!$A$6:N$6, 0)
      ),
    IF(valor = "-", "", valor)      
  ),
"")</f>
        <v/>
      </c>
      <c r="D31" s="17" t="str">
        <f t="array" ref="D31">IFERROR(
  LET(
    valor,
      INDEX(
        FebR!$A$1:$AT$51,
        MATCH(RIGHT($A31, LEN($A31)-4), FebR!$A$1:$A1065, 0),
        MATCH($A$1, FebR!$A$6:N$6, 0)
      ),
    IF(valor = "-", "", valor)      
  ),
"")</f>
        <v/>
      </c>
      <c r="E31" s="16" t="str">
        <f t="array" ref="E31">IFERROR(
  LET(
    valor,
      INDEX(
        MarR!$A$1:$AT$48,
        MATCH(RIGHT($A31, LEN($A31)-4), MarR!$A$1:$A1065, 0),
        MATCH($A$1, MarR!$A$6:N$6, 0)
      ),
    IF(valor = "-", "", valor)      
  ),
"")</f>
        <v/>
      </c>
      <c r="F31" s="17" t="str">
        <f t="array" ref="F31">IFERROR(
  LET(
    valor,
      INDEX(
        AbrR!$A$1:$AT$48,
        MATCH(RIGHT($A31, LEN($A31)-4), AbrR!$A$1:$A1065, 0),
        MATCH($A$1, AbrR!$A$6:N$6, 0)
      ),
    IF(valor = "-", "", valor)      
  ),
"")</f>
        <v/>
      </c>
      <c r="G31" s="16" t="str">
        <f t="array" ref="G31">IFERROR(
  LET(
    valor,
      INDEX(
        MayR!$A$1:$AT$48,
        MATCH(RIGHT($A31, LEN($A31)-4), MayR!$A$1:$A1065, 0),
        MATCH($A$1, MayR!$A$6:N$6, 0)
      ),
    IF(valor = "-", "", valor)      
  ),
"")</f>
        <v/>
      </c>
      <c r="H31" s="17" t="str">
        <f t="array" ref="H31">IFERROR(
  LET(
    valor,
      INDEX(
        JunR!$A$1:$AT$48,
        MATCH(RIGHT($A31, LEN($A31)-4), JunR!$A$1:$A1065, 0),
        MATCH($A$1, JunR!$A$6:N$6, 0)
      ),
    IF(valor = "-", "", valor)      
  ),
"")</f>
        <v/>
      </c>
      <c r="I31" s="16" t="str">
        <f t="array" ref="I31">IFERROR(
  LET(
    valor,
      INDEX(
        JulR!$A$1:$AT$48,
        MATCH(RIGHT($A31, LEN($A31)-4), JulR!$A$1:$A1065, 0),
        MATCH($A$1, JulR!$A$6:N$6, 0)
      ),
    IF(valor = "-", "", valor)      
  ),
"")</f>
        <v/>
      </c>
      <c r="J31" s="17" t="str">
        <f t="array" ref="J31">IFERROR(
  LET(
    valor,
      INDEX(
        AgoR!$A$1:$AT$60,
        MATCH(RIGHT($A31, LEN($A31)-4), AgoR!$A$1:$A1065, 0),
        MATCH($A$1, AgoR!$A$6:N$6, 0)
      ),
    IF(valor = "-", "", valor)      
  ),
"")</f>
        <v/>
      </c>
      <c r="K31" s="16" t="str">
        <f t="array" ref="K31">IFERROR(
  LET(
    valor,
      INDEX(
        SepR!$A$1:$AT$60,
        MATCH(RIGHT($A31, LEN($A31)-4), SepR!$A$1:$A1065, 0),
        MATCH($A$1, SepR!$A$6:N$6, 0)
      ),
    IF(valor = "-", "", valor)      
  ),
"")</f>
        <v/>
      </c>
      <c r="L31" s="17" t="str">
        <f t="array" ref="L31">IFERROR(
  LET(
    valor,
      INDEX(
        OctR!$A$1:$AT$60,
        MATCH(RIGHT($A31, LEN($A31)-4), OctR!$A$1:$A1065, 0),
        MATCH($A$1, OctR!$A$6:N$6, 0)
      ),
    IF(valor = "-", "", valor)      
  ),
"")</f>
        <v/>
      </c>
      <c r="M31" s="16" t="str">
        <f t="array" ref="M31">IFERROR(
  LET(
    valor,
      INDEX(
        NovR!$A$1:$AT$60,
        MATCH(RIGHT($A31, LEN($A31)-4), NovR!$A$1:$A1065, 0),
        MATCH($A$1, NovR!$A$6:N$6, 0)
      ),
    IF(valor = "-", "", valor)      
  ),
"")</f>
        <v/>
      </c>
      <c r="N31" s="17" t="str">
        <f t="array" ref="N31">IFERROR(
  LET(
    valor,
      INDEX(
        DicR!$A$1:$AT$60,
        MATCH(RIGHT($A31, LEN($A31)-4), DicR!$A$1:$A1065, 0),
        MATCH($A$1, DicR!$A$6:N$6, 0)
      ),
    IF(valor = "-", "", valor)      
  ),
"")</f>
        <v/>
      </c>
    </row>
    <row r="32" ht="15.75" customHeight="1">
      <c r="A32" s="6" t="str">
        <f>Menus!B25</f>
        <v/>
      </c>
      <c r="B32" s="15">
        <f t="shared" si="5"/>
        <v>0</v>
      </c>
      <c r="C32" s="16" t="str">
        <f t="array" ref="C32">IFERROR(
  LET(
    valor,
      INDEX(
        EneR!$A$1:$AT$48,
        MATCH(RIGHT($A32, LEN($A32)-4), EneR!$A$1:$A1065, 0),
        MATCH($A$1, EneR!$A$6:N$6, 0)
      ),
    IF(valor = "-", "", valor)      
  ),
"")</f>
        <v/>
      </c>
      <c r="D32" s="17" t="str">
        <f t="array" ref="D32">IFERROR(
  LET(
    valor,
      INDEX(
        FebR!$A$1:$AT$51,
        MATCH(RIGHT($A32, LEN($A32)-4), FebR!$A$1:$A1065, 0),
        MATCH($A$1, FebR!$A$6:N$6, 0)
      ),
    IF(valor = "-", "", valor)      
  ),
"")</f>
        <v/>
      </c>
      <c r="E32" s="16" t="str">
        <f t="array" ref="E32">IFERROR(
  LET(
    valor,
      INDEX(
        MarR!$A$1:$AT$48,
        MATCH(RIGHT($A32, LEN($A32)-4), MarR!$A$1:$A1065, 0),
        MATCH($A$1, MarR!$A$6:N$6, 0)
      ),
    IF(valor = "-", "", valor)      
  ),
"")</f>
        <v/>
      </c>
      <c r="F32" s="17" t="str">
        <f t="array" ref="F32">IFERROR(
  LET(
    valor,
      INDEX(
        AbrR!$A$1:$AT$48,
        MATCH(RIGHT($A32, LEN($A32)-4), AbrR!$A$1:$A1065, 0),
        MATCH($A$1, AbrR!$A$6:N$6, 0)
      ),
    IF(valor = "-", "", valor)      
  ),
"")</f>
        <v/>
      </c>
      <c r="G32" s="16" t="str">
        <f t="array" ref="G32">IFERROR(
  LET(
    valor,
      INDEX(
        MayR!$A$1:$AT$48,
        MATCH(RIGHT($A32, LEN($A32)-4), MayR!$A$1:$A1065, 0),
        MATCH($A$1, MayR!$A$6:N$6, 0)
      ),
    IF(valor = "-", "", valor)      
  ),
"")</f>
        <v/>
      </c>
      <c r="H32" s="17" t="str">
        <f t="array" ref="H32">IFERROR(
  LET(
    valor,
      INDEX(
        JunR!$A$1:$AT$48,
        MATCH(RIGHT($A32, LEN($A32)-4), JunR!$A$1:$A1065, 0),
        MATCH($A$1, JunR!$A$6:N$6, 0)
      ),
    IF(valor = "-", "", valor)      
  ),
"")</f>
        <v/>
      </c>
      <c r="I32" s="16" t="str">
        <f t="array" ref="I32">IFERROR(
  LET(
    valor,
      INDEX(
        JulR!$A$1:$AT$48,
        MATCH(RIGHT($A32, LEN($A32)-4), JulR!$A$1:$A1065, 0),
        MATCH($A$1, JulR!$A$6:N$6, 0)
      ),
    IF(valor = "-", "", valor)      
  ),
"")</f>
        <v/>
      </c>
      <c r="J32" s="17" t="str">
        <f t="array" ref="J32">IFERROR(
  LET(
    valor,
      INDEX(
        AgoR!$A$1:$AT$60,
        MATCH(RIGHT($A32, LEN($A32)-4), AgoR!$A$1:$A1065, 0),
        MATCH($A$1, AgoR!$A$6:N$6, 0)
      ),
    IF(valor = "-", "", valor)      
  ),
"")</f>
        <v/>
      </c>
      <c r="K32" s="16" t="str">
        <f t="array" ref="K32">IFERROR(
  LET(
    valor,
      INDEX(
        SepR!$A$1:$AT$60,
        MATCH(RIGHT($A32, LEN($A32)-4), SepR!$A$1:$A1065, 0),
        MATCH($A$1, SepR!$A$6:N$6, 0)
      ),
    IF(valor = "-", "", valor)      
  ),
"")</f>
        <v/>
      </c>
      <c r="L32" s="17" t="str">
        <f t="array" ref="L32">IFERROR(
  LET(
    valor,
      INDEX(
        OctR!$A$1:$AT$60,
        MATCH(RIGHT($A32, LEN($A32)-4), OctR!$A$1:$A1065, 0),
        MATCH($A$1, OctR!$A$6:N$6, 0)
      ),
    IF(valor = "-", "", valor)      
  ),
"")</f>
        <v/>
      </c>
      <c r="M32" s="16" t="str">
        <f t="array" ref="M32">IFERROR(
  LET(
    valor,
      INDEX(
        NovR!$A$1:$AT$60,
        MATCH(RIGHT($A32, LEN($A32)-4), NovR!$A$1:$A1065, 0),
        MATCH($A$1, NovR!$A$6:N$6, 0)
      ),
    IF(valor = "-", "", valor)      
  ),
"")</f>
        <v/>
      </c>
      <c r="N32" s="17" t="str">
        <f t="array" ref="N32">IFERROR(
  LET(
    valor,
      INDEX(
        DicR!$A$1:$AT$60,
        MATCH(RIGHT($A32, LEN($A32)-4), DicR!$A$1:$A1065, 0),
        MATCH($A$1, DicR!$A$6:N$6, 0)
      ),
    IF(valor = "-", "", valor)      
  ),
"")</f>
        <v/>
      </c>
    </row>
    <row r="33" ht="15.75" customHeight="1">
      <c r="A33" s="6" t="str">
        <f>Menus!B26</f>
        <v/>
      </c>
      <c r="B33" s="15">
        <f t="shared" si="5"/>
        <v>0</v>
      </c>
      <c r="C33" s="16" t="str">
        <f t="array" ref="C33">IFERROR(
  LET(
    valor,
      INDEX(
        EneR!$A$1:$AT$48,
        MATCH(RIGHT($A33, LEN($A33)-4), EneR!$A$1:$A1065, 0),
        MATCH($A$1, EneR!$A$6:N$6, 0)
      ),
    IF(valor = "-", "", valor)      
  ),
"")</f>
        <v/>
      </c>
      <c r="D33" s="17" t="str">
        <f t="array" ref="D33">IFERROR(
  LET(
    valor,
      INDEX(
        FebR!$A$1:$AT$51,
        MATCH(RIGHT($A33, LEN($A33)-4), FebR!$A$1:$A1065, 0),
        MATCH($A$1, FebR!$A$6:N$6, 0)
      ),
    IF(valor = "-", "", valor)      
  ),
"")</f>
        <v/>
      </c>
      <c r="E33" s="16" t="str">
        <f t="array" ref="E33">IFERROR(
  LET(
    valor,
      INDEX(
        MarR!$A$1:$AT$48,
        MATCH(RIGHT($A33, LEN($A33)-4), MarR!$A$1:$A1065, 0),
        MATCH($A$1, MarR!$A$6:N$6, 0)
      ),
    IF(valor = "-", "", valor)      
  ),
"")</f>
        <v/>
      </c>
      <c r="F33" s="17" t="str">
        <f t="array" ref="F33">IFERROR(
  LET(
    valor,
      INDEX(
        AbrR!$A$1:$AT$48,
        MATCH(RIGHT($A33, LEN($A33)-4), AbrR!$A$1:$A1065, 0),
        MATCH($A$1, AbrR!$A$6:N$6, 0)
      ),
    IF(valor = "-", "", valor)      
  ),
"")</f>
        <v/>
      </c>
      <c r="G33" s="16" t="str">
        <f t="array" ref="G33">IFERROR(
  LET(
    valor,
      INDEX(
        MayR!$A$1:$AT$48,
        MATCH(RIGHT($A33, LEN($A33)-4), MayR!$A$1:$A1065, 0),
        MATCH($A$1, MayR!$A$6:N$6, 0)
      ),
    IF(valor = "-", "", valor)      
  ),
"")</f>
        <v/>
      </c>
      <c r="H33" s="17" t="str">
        <f t="array" ref="H33">IFERROR(
  LET(
    valor,
      INDEX(
        JunR!$A$1:$AT$48,
        MATCH(RIGHT($A33, LEN($A33)-4), JunR!$A$1:$A1065, 0),
        MATCH($A$1, JunR!$A$6:N$6, 0)
      ),
    IF(valor = "-", "", valor)      
  ),
"")</f>
        <v/>
      </c>
      <c r="I33" s="16" t="str">
        <f t="array" ref="I33">IFERROR(
  LET(
    valor,
      INDEX(
        JulR!$A$1:$AT$48,
        MATCH(RIGHT($A33, LEN($A33)-4), JulR!$A$1:$A1065, 0),
        MATCH($A$1, JulR!$A$6:N$6, 0)
      ),
    IF(valor = "-", "", valor)      
  ),
"")</f>
        <v/>
      </c>
      <c r="J33" s="17" t="str">
        <f t="array" ref="J33">IFERROR(
  LET(
    valor,
      INDEX(
        AgoR!$A$1:$AT$60,
        MATCH(RIGHT($A33, LEN($A33)-4), AgoR!$A$1:$A1065, 0),
        MATCH($A$1, AgoR!$A$6:N$6, 0)
      ),
    IF(valor = "-", "", valor)      
  ),
"")</f>
        <v/>
      </c>
      <c r="K33" s="16" t="str">
        <f t="array" ref="K33">IFERROR(
  LET(
    valor,
      INDEX(
        SepR!$A$1:$AT$60,
        MATCH(RIGHT($A33, LEN($A33)-4), SepR!$A$1:$A1065, 0),
        MATCH($A$1, SepR!$A$6:N$6, 0)
      ),
    IF(valor = "-", "", valor)      
  ),
"")</f>
        <v/>
      </c>
      <c r="L33" s="17" t="str">
        <f t="array" ref="L33">IFERROR(
  LET(
    valor,
      INDEX(
        OctR!$A$1:$AT$60,
        MATCH(RIGHT($A33, LEN($A33)-4), OctR!$A$1:$A1065, 0),
        MATCH($A$1, OctR!$A$6:N$6, 0)
      ),
    IF(valor = "-", "", valor)      
  ),
"")</f>
        <v/>
      </c>
      <c r="M33" s="16" t="str">
        <f t="array" ref="M33">IFERROR(
  LET(
    valor,
      INDEX(
        NovR!$A$1:$AT$60,
        MATCH(RIGHT($A33, LEN($A33)-4), NovR!$A$1:$A1065, 0),
        MATCH($A$1, NovR!$A$6:N$6, 0)
      ),
    IF(valor = "-", "", valor)      
  ),
"")</f>
        <v/>
      </c>
      <c r="N33" s="17" t="str">
        <f t="array" ref="N33">IFERROR(
  LET(
    valor,
      INDEX(
        DicR!$A$1:$AT$60,
        MATCH(RIGHT($A33, LEN($A33)-4), DicR!$A$1:$A1065, 0),
        MATCH($A$1, DicR!$A$6:N$6, 0)
      ),
    IF(valor = "-", "", valor)      
  ),
"")</f>
        <v/>
      </c>
    </row>
    <row r="34" ht="15.75" customHeight="1">
      <c r="A34" s="6" t="str">
        <f>Menus!B27</f>
        <v/>
      </c>
      <c r="B34" s="15">
        <f t="shared" si="5"/>
        <v>0</v>
      </c>
      <c r="C34" s="16" t="str">
        <f t="array" ref="C34">IFERROR(
  LET(
    valor,
      INDEX(
        EneR!$A$1:$AT$48,
        MATCH(RIGHT($A34, LEN($A34)-4), EneR!$A$1:$A1065, 0),
        MATCH($A$1, EneR!$A$6:N$6, 0)
      ),
    IF(valor = "-", "", valor)      
  ),
"")</f>
        <v/>
      </c>
      <c r="D34" s="17" t="str">
        <f t="array" ref="D34">IFERROR(
  LET(
    valor,
      INDEX(
        FebR!$A$1:$AT$51,
        MATCH(RIGHT($A34, LEN($A34)-4), FebR!$A$1:$A1065, 0),
        MATCH($A$1, FebR!$A$6:N$6, 0)
      ),
    IF(valor = "-", "", valor)      
  ),
"")</f>
        <v/>
      </c>
      <c r="E34" s="16" t="str">
        <f t="array" ref="E34">IFERROR(
  LET(
    valor,
      INDEX(
        MarR!$A$1:$AT$48,
        MATCH(RIGHT($A34, LEN($A34)-4), MarR!$A$1:$A1065, 0),
        MATCH($A$1, MarR!$A$6:N$6, 0)
      ),
    IF(valor = "-", "", valor)      
  ),
"")</f>
        <v/>
      </c>
      <c r="F34" s="17" t="str">
        <f t="array" ref="F34">IFERROR(
  LET(
    valor,
      INDEX(
        AbrR!$A$1:$AT$48,
        MATCH(RIGHT($A34, LEN($A34)-4), AbrR!$A$1:$A1065, 0),
        MATCH($A$1, AbrR!$A$6:N$6, 0)
      ),
    IF(valor = "-", "", valor)      
  ),
"")</f>
        <v/>
      </c>
      <c r="G34" s="16" t="str">
        <f t="array" ref="G34">IFERROR(
  LET(
    valor,
      INDEX(
        MayR!$A$1:$AT$48,
        MATCH(RIGHT($A34, LEN($A34)-4), MayR!$A$1:$A1065, 0),
        MATCH($A$1, MayR!$A$6:N$6, 0)
      ),
    IF(valor = "-", "", valor)      
  ),
"")</f>
        <v/>
      </c>
      <c r="H34" s="17" t="str">
        <f t="array" ref="H34">IFERROR(
  LET(
    valor,
      INDEX(
        JunR!$A$1:$AT$48,
        MATCH(RIGHT($A34, LEN($A34)-4), JunR!$A$1:$A1065, 0),
        MATCH($A$1, JunR!$A$6:N$6, 0)
      ),
    IF(valor = "-", "", valor)      
  ),
"")</f>
        <v/>
      </c>
      <c r="I34" s="16" t="str">
        <f t="array" ref="I34">IFERROR(
  LET(
    valor,
      INDEX(
        JulR!$A$1:$AT$48,
        MATCH(RIGHT($A34, LEN($A34)-4), JulR!$A$1:$A1065, 0),
        MATCH($A$1, JulR!$A$6:N$6, 0)
      ),
    IF(valor = "-", "", valor)      
  ),
"")</f>
        <v/>
      </c>
      <c r="J34" s="17" t="str">
        <f t="array" ref="J34">IFERROR(
  LET(
    valor,
      INDEX(
        AgoR!$A$1:$AT$60,
        MATCH(RIGHT($A34, LEN($A34)-4), AgoR!$A$1:$A1065, 0),
        MATCH($A$1, AgoR!$A$6:N$6, 0)
      ),
    IF(valor = "-", "", valor)      
  ),
"")</f>
        <v/>
      </c>
      <c r="K34" s="16" t="str">
        <f t="array" ref="K34">IFERROR(
  LET(
    valor,
      INDEX(
        SepR!$A$1:$AT$60,
        MATCH(RIGHT($A34, LEN($A34)-4), SepR!$A$1:$A1065, 0),
        MATCH($A$1, SepR!$A$6:N$6, 0)
      ),
    IF(valor = "-", "", valor)      
  ),
"")</f>
        <v/>
      </c>
      <c r="L34" s="17" t="str">
        <f t="array" ref="L34">IFERROR(
  LET(
    valor,
      INDEX(
        OctR!$A$1:$AT$60,
        MATCH(RIGHT($A34, LEN($A34)-4), OctR!$A$1:$A1065, 0),
        MATCH($A$1, OctR!$A$6:N$6, 0)
      ),
    IF(valor = "-", "", valor)      
  ),
"")</f>
        <v/>
      </c>
      <c r="M34" s="16" t="str">
        <f t="array" ref="M34">IFERROR(
  LET(
    valor,
      INDEX(
        NovR!$A$1:$AT$60,
        MATCH(RIGHT($A34, LEN($A34)-4), NovR!$A$1:$A1065, 0),
        MATCH($A$1, NovR!$A$6:N$6, 0)
      ),
    IF(valor = "-", "", valor)      
  ),
"")</f>
        <v/>
      </c>
      <c r="N34" s="17" t="str">
        <f t="array" ref="N34">IFERROR(
  LET(
    valor,
      INDEX(
        DicR!$A$1:$AT$60,
        MATCH(RIGHT($A34, LEN($A34)-4), DicR!$A$1:$A1065, 0),
        MATCH($A$1, DicR!$A$6:N$6, 0)
      ),
    IF(valor = "-", "", valor)      
  ),
"")</f>
        <v/>
      </c>
    </row>
    <row r="35" ht="15.75" customHeight="1">
      <c r="A35" s="6" t="str">
        <f>Menus!B28</f>
        <v/>
      </c>
      <c r="B35" s="15">
        <f t="shared" si="5"/>
        <v>0</v>
      </c>
      <c r="C35" s="16" t="str">
        <f t="array" ref="C35">IFERROR(
  LET(
    valor,
      INDEX(
        EneR!$A$1:$AT$48,
        MATCH(RIGHT($A35, LEN($A35)-4), EneR!$A$1:$A1065, 0),
        MATCH($A$1, EneR!$A$6:N$6, 0)
      ),
    IF(valor = "-", "", valor)      
  ),
"")</f>
        <v/>
      </c>
      <c r="D35" s="17" t="str">
        <f t="array" ref="D35">IFERROR(
  LET(
    valor,
      INDEX(
        FebR!$A$1:$AT$51,
        MATCH(RIGHT($A35, LEN($A35)-4), FebR!$A$1:$A1065, 0),
        MATCH($A$1, FebR!$A$6:N$6, 0)
      ),
    IF(valor = "-", "", valor)      
  ),
"")</f>
        <v/>
      </c>
      <c r="E35" s="16" t="str">
        <f t="array" ref="E35">IFERROR(
  LET(
    valor,
      INDEX(
        MarR!$A$1:$AT$48,
        MATCH(RIGHT($A35, LEN($A35)-4), MarR!$A$1:$A1065, 0),
        MATCH($A$1, MarR!$A$6:N$6, 0)
      ),
    IF(valor = "-", "", valor)      
  ),
"")</f>
        <v/>
      </c>
      <c r="F35" s="17" t="str">
        <f t="array" ref="F35">IFERROR(
  LET(
    valor,
      INDEX(
        AbrR!$A$1:$AT$48,
        MATCH(RIGHT($A35, LEN($A35)-4), AbrR!$A$1:$A1065, 0),
        MATCH($A$1, AbrR!$A$6:N$6, 0)
      ),
    IF(valor = "-", "", valor)      
  ),
"")</f>
        <v/>
      </c>
      <c r="G35" s="16" t="str">
        <f t="array" ref="G35">IFERROR(
  LET(
    valor,
      INDEX(
        MayR!$A$1:$AT$48,
        MATCH(RIGHT($A35, LEN($A35)-4), MayR!$A$1:$A1065, 0),
        MATCH($A$1, MayR!$A$6:N$6, 0)
      ),
    IF(valor = "-", "", valor)      
  ),
"")</f>
        <v/>
      </c>
      <c r="H35" s="17" t="str">
        <f t="array" ref="H35">IFERROR(
  LET(
    valor,
      INDEX(
        JunR!$A$1:$AT$48,
        MATCH(RIGHT($A35, LEN($A35)-4), JunR!$A$1:$A1065, 0),
        MATCH($A$1, JunR!$A$6:N$6, 0)
      ),
    IF(valor = "-", "", valor)      
  ),
"")</f>
        <v/>
      </c>
      <c r="I35" s="16" t="str">
        <f t="array" ref="I35">IFERROR(
  LET(
    valor,
      INDEX(
        JulR!$A$1:$AT$48,
        MATCH(RIGHT($A35, LEN($A35)-4), JulR!$A$1:$A1065, 0),
        MATCH($A$1, JulR!$A$6:N$6, 0)
      ),
    IF(valor = "-", "", valor)      
  ),
"")</f>
        <v/>
      </c>
      <c r="J35" s="17" t="str">
        <f t="array" ref="J35">IFERROR(
  LET(
    valor,
      INDEX(
        AgoR!$A$1:$AT$60,
        MATCH(RIGHT($A35, LEN($A35)-4), AgoR!$A$1:$A1065, 0),
        MATCH($A$1, AgoR!$A$6:N$6, 0)
      ),
    IF(valor = "-", "", valor)      
  ),
"")</f>
        <v/>
      </c>
      <c r="K35" s="16" t="str">
        <f t="array" ref="K35">IFERROR(
  LET(
    valor,
      INDEX(
        SepR!$A$1:$AT$60,
        MATCH(RIGHT($A35, LEN($A35)-4), SepR!$A$1:$A1065, 0),
        MATCH($A$1, SepR!$A$6:N$6, 0)
      ),
    IF(valor = "-", "", valor)      
  ),
"")</f>
        <v/>
      </c>
      <c r="L35" s="17" t="str">
        <f t="array" ref="L35">IFERROR(
  LET(
    valor,
      INDEX(
        OctR!$A$1:$AT$60,
        MATCH(RIGHT($A35, LEN($A35)-4), OctR!$A$1:$A1065, 0),
        MATCH($A$1, OctR!$A$6:N$6, 0)
      ),
    IF(valor = "-", "", valor)      
  ),
"")</f>
        <v/>
      </c>
      <c r="M35" s="16" t="str">
        <f t="array" ref="M35">IFERROR(
  LET(
    valor,
      INDEX(
        NovR!$A$1:$AT$60,
        MATCH(RIGHT($A35, LEN($A35)-4), NovR!$A$1:$A1065, 0),
        MATCH($A$1, NovR!$A$6:N$6, 0)
      ),
    IF(valor = "-", "", valor)      
  ),
"")</f>
        <v/>
      </c>
      <c r="N35" s="17" t="str">
        <f t="array" ref="N35">IFERROR(
  LET(
    valor,
      INDEX(
        DicR!$A$1:$AT$60,
        MATCH(RIGHT($A35, LEN($A35)-4), DicR!$A$1:$A1065, 0),
        MATCH($A$1, DicR!$A$6:N$6, 0)
      ),
    IF(valor = "-", "", valor)      
  ),
"")</f>
        <v/>
      </c>
    </row>
    <row r="36" ht="15.75" customHeight="1">
      <c r="A36" s="6" t="str">
        <f>Menus!B29</f>
        <v/>
      </c>
      <c r="B36" s="15">
        <f t="shared" si="5"/>
        <v>0</v>
      </c>
      <c r="C36" s="16" t="str">
        <f t="array" ref="C36">IFERROR(
  LET(
    valor,
      INDEX(
        EneR!$A$1:$AT$48,
        MATCH(RIGHT($A36, LEN($A36)-4), EneR!$A$1:$A1065, 0),
        MATCH($A$1, EneR!$A$6:N$6, 0)
      ),
    IF(valor = "-", "", valor)      
  ),
"")</f>
        <v/>
      </c>
      <c r="D36" s="17" t="str">
        <f t="array" ref="D36">IFERROR(
  LET(
    valor,
      INDEX(
        FebR!$A$1:$AT$51,
        MATCH(RIGHT($A36, LEN($A36)-4), FebR!$A$1:$A1065, 0),
        MATCH($A$1, FebR!$A$6:N$6, 0)
      ),
    IF(valor = "-", "", valor)      
  ),
"")</f>
        <v/>
      </c>
      <c r="E36" s="16" t="str">
        <f t="array" ref="E36">IFERROR(
  LET(
    valor,
      INDEX(
        MarR!$A$1:$AT$48,
        MATCH(RIGHT($A36, LEN($A36)-4), MarR!$A$1:$A1065, 0),
        MATCH($A$1, MarR!$A$6:N$6, 0)
      ),
    IF(valor = "-", "", valor)      
  ),
"")</f>
        <v/>
      </c>
      <c r="F36" s="17" t="str">
        <f t="array" ref="F36">IFERROR(
  LET(
    valor,
      INDEX(
        AbrR!$A$1:$AT$48,
        MATCH(RIGHT($A36, LEN($A36)-4), AbrR!$A$1:$A1065, 0),
        MATCH($A$1, AbrR!$A$6:N$6, 0)
      ),
    IF(valor = "-", "", valor)      
  ),
"")</f>
        <v/>
      </c>
      <c r="G36" s="16" t="str">
        <f t="array" ref="G36">IFERROR(
  LET(
    valor,
      INDEX(
        MayR!$A$1:$AT$48,
        MATCH(RIGHT($A36, LEN($A36)-4), MayR!$A$1:$A1065, 0),
        MATCH($A$1, MayR!$A$6:N$6, 0)
      ),
    IF(valor = "-", "", valor)      
  ),
"")</f>
        <v/>
      </c>
      <c r="H36" s="17" t="str">
        <f t="array" ref="H36">IFERROR(
  LET(
    valor,
      INDEX(
        JunR!$A$1:$AT$48,
        MATCH(RIGHT($A36, LEN($A36)-4), JunR!$A$1:$A1065, 0),
        MATCH($A$1, JunR!$A$6:N$6, 0)
      ),
    IF(valor = "-", "", valor)      
  ),
"")</f>
        <v/>
      </c>
      <c r="I36" s="16" t="str">
        <f t="array" ref="I36">IFERROR(
  LET(
    valor,
      INDEX(
        JulR!$A$1:$AT$48,
        MATCH(RIGHT($A36, LEN($A36)-4), JulR!$A$1:$A1065, 0),
        MATCH($A$1, JulR!$A$6:N$6, 0)
      ),
    IF(valor = "-", "", valor)      
  ),
"")</f>
        <v/>
      </c>
      <c r="J36" s="17" t="str">
        <f t="array" ref="J36">IFERROR(
  LET(
    valor,
      INDEX(
        AgoR!$A$1:$AT$60,
        MATCH(RIGHT($A36, LEN($A36)-4), AgoR!$A$1:$A1065, 0),
        MATCH($A$1, AgoR!$A$6:N$6, 0)
      ),
    IF(valor = "-", "", valor)      
  ),
"")</f>
        <v/>
      </c>
      <c r="K36" s="16" t="str">
        <f t="array" ref="K36">IFERROR(
  LET(
    valor,
      INDEX(
        SepR!$A$1:$AT$60,
        MATCH(RIGHT($A36, LEN($A36)-4), SepR!$A$1:$A1065, 0),
        MATCH($A$1, SepR!$A$6:N$6, 0)
      ),
    IF(valor = "-", "", valor)      
  ),
"")</f>
        <v/>
      </c>
      <c r="L36" s="17" t="str">
        <f t="array" ref="L36">IFERROR(
  LET(
    valor,
      INDEX(
        OctR!$A$1:$AT$60,
        MATCH(RIGHT($A36, LEN($A36)-4), OctR!$A$1:$A1065, 0),
        MATCH($A$1, OctR!$A$6:N$6, 0)
      ),
    IF(valor = "-", "", valor)      
  ),
"")</f>
        <v/>
      </c>
      <c r="M36" s="16" t="str">
        <f t="array" ref="M36">IFERROR(
  LET(
    valor,
      INDEX(
        NovR!$A$1:$AT$60,
        MATCH(RIGHT($A36, LEN($A36)-4), NovR!$A$1:$A1065, 0),
        MATCH($A$1, NovR!$A$6:N$6, 0)
      ),
    IF(valor = "-", "", valor)      
  ),
"")</f>
        <v/>
      </c>
      <c r="N36" s="17" t="str">
        <f t="array" ref="N36">IFERROR(
  LET(
    valor,
      INDEX(
        DicR!$A$1:$AT$60,
        MATCH(RIGHT($A36, LEN($A36)-4), DicR!$A$1:$A1065, 0),
        MATCH($A$1, DicR!$A$6:N$6, 0)
      ),
    IF(valor = "-", "", valor)      
  ),
"")</f>
        <v/>
      </c>
    </row>
    <row r="37" ht="15.75" customHeight="1">
      <c r="A37" s="6" t="str">
        <f>Menus!B30</f>
        <v/>
      </c>
      <c r="B37" s="15">
        <f t="shared" si="5"/>
        <v>0</v>
      </c>
      <c r="C37" s="16" t="str">
        <f t="array" ref="C37">IFERROR(
  LET(
    valor,
      INDEX(
        EneR!$A$1:$AT$48,
        MATCH(RIGHT($A37, LEN($A37)-4), EneR!$A$1:$A1065, 0),
        MATCH($A$1, EneR!$A$6:N$6, 0)
      ),
    IF(valor = "-", "", valor)      
  ),
"")</f>
        <v/>
      </c>
      <c r="D37" s="17" t="str">
        <f t="array" ref="D37">IFERROR(
  LET(
    valor,
      INDEX(
        FebR!$A$1:$AT$51,
        MATCH(RIGHT($A37, LEN($A37)-4), FebR!$A$1:$A1065, 0),
        MATCH($A$1, FebR!$A$6:N$6, 0)
      ),
    IF(valor = "-", "", valor)      
  ),
"")</f>
        <v/>
      </c>
      <c r="E37" s="16" t="str">
        <f t="array" ref="E37">IFERROR(
  LET(
    valor,
      INDEX(
        MarR!$A$1:$AT$48,
        MATCH(RIGHT($A37, LEN($A37)-4), MarR!$A$1:$A1065, 0),
        MATCH($A$1, MarR!$A$6:N$6, 0)
      ),
    IF(valor = "-", "", valor)      
  ),
"")</f>
        <v/>
      </c>
      <c r="F37" s="17" t="str">
        <f t="array" ref="F37">IFERROR(
  LET(
    valor,
      INDEX(
        AbrR!$A$1:$AT$48,
        MATCH(RIGHT($A37, LEN($A37)-4), AbrR!$A$1:$A1065, 0),
        MATCH($A$1, AbrR!$A$6:N$6, 0)
      ),
    IF(valor = "-", "", valor)      
  ),
"")</f>
        <v/>
      </c>
      <c r="G37" s="16" t="str">
        <f t="array" ref="G37">IFERROR(
  LET(
    valor,
      INDEX(
        MayR!$A$1:$AT$48,
        MATCH(RIGHT($A37, LEN($A37)-4), MayR!$A$1:$A1065, 0),
        MATCH($A$1, MayR!$A$6:N$6, 0)
      ),
    IF(valor = "-", "", valor)      
  ),
"")</f>
        <v/>
      </c>
      <c r="H37" s="17" t="str">
        <f t="array" ref="H37">IFERROR(
  LET(
    valor,
      INDEX(
        JunR!$A$1:$AT$48,
        MATCH(RIGHT($A37, LEN($A37)-4), JunR!$A$1:$A1065, 0),
        MATCH($A$1, JunR!$A$6:N$6, 0)
      ),
    IF(valor = "-", "", valor)      
  ),
"")</f>
        <v/>
      </c>
      <c r="I37" s="16" t="str">
        <f t="array" ref="I37">IFERROR(
  LET(
    valor,
      INDEX(
        JulR!$A$1:$AT$48,
        MATCH(RIGHT($A37, LEN($A37)-4), JulR!$A$1:$A1065, 0),
        MATCH($A$1, JulR!$A$6:N$6, 0)
      ),
    IF(valor = "-", "", valor)      
  ),
"")</f>
        <v/>
      </c>
      <c r="J37" s="17" t="str">
        <f t="array" ref="J37">IFERROR(
  LET(
    valor,
      INDEX(
        AgoR!$A$1:$AT$60,
        MATCH(RIGHT($A37, LEN($A37)-4), AgoR!$A$1:$A1065, 0),
        MATCH($A$1, AgoR!$A$6:N$6, 0)
      ),
    IF(valor = "-", "", valor)      
  ),
"")</f>
        <v/>
      </c>
      <c r="K37" s="16" t="str">
        <f t="array" ref="K37">IFERROR(
  LET(
    valor,
      INDEX(
        SepR!$A$1:$AT$60,
        MATCH(RIGHT($A37, LEN($A37)-4), SepR!$A$1:$A1065, 0),
        MATCH($A$1, SepR!$A$6:N$6, 0)
      ),
    IF(valor = "-", "", valor)      
  ),
"")</f>
        <v/>
      </c>
      <c r="L37" s="17" t="str">
        <f t="array" ref="L37">IFERROR(
  LET(
    valor,
      INDEX(
        OctR!$A$1:$AT$60,
        MATCH(RIGHT($A37, LEN($A37)-4), OctR!$A$1:$A1065, 0),
        MATCH($A$1, OctR!$A$6:N$6, 0)
      ),
    IF(valor = "-", "", valor)      
  ),
"")</f>
        <v/>
      </c>
      <c r="M37" s="16" t="str">
        <f t="array" ref="M37">IFERROR(
  LET(
    valor,
      INDEX(
        NovR!$A$1:$AT$60,
        MATCH(RIGHT($A37, LEN($A37)-4), NovR!$A$1:$A1065, 0),
        MATCH($A$1, NovR!$A$6:N$6, 0)
      ),
    IF(valor = "-", "", valor)      
  ),
"")</f>
        <v/>
      </c>
      <c r="N37" s="17" t="str">
        <f t="array" ref="N37">IFERROR(
  LET(
    valor,
      INDEX(
        DicR!$A$1:$AT$60,
        MATCH(RIGHT($A37, LEN($A37)-4), DicR!$A$1:$A1065, 0),
        MATCH($A$1, DicR!$A$6:N$6, 0)
      ),
    IF(valor = "-", "", valor)      
  ),
"")</f>
        <v/>
      </c>
    </row>
    <row r="38" ht="15.75" customHeight="1">
      <c r="A38" s="6" t="str">
        <f>Menus!B31</f>
        <v/>
      </c>
      <c r="B38" s="15">
        <f t="shared" si="5"/>
        <v>0</v>
      </c>
      <c r="C38" s="16" t="str">
        <f t="array" ref="C38">IFERROR(
  LET(
    valor,
      INDEX(
        EneR!$A$1:$AT$48,
        MATCH(RIGHT($A38, LEN($A38)-4), EneR!$A$1:$A1065, 0),
        MATCH($A$1, EneR!$A$6:N$6, 0)
      ),
    IF(valor = "-", "", valor)      
  ),
"")</f>
        <v/>
      </c>
      <c r="D38" s="17" t="str">
        <f t="array" ref="D38">IFERROR(
  LET(
    valor,
      INDEX(
        FebR!$A$1:$AT$51,
        MATCH(RIGHT($A38, LEN($A38)-4), FebR!$A$1:$A1065, 0),
        MATCH($A$1, FebR!$A$6:N$6, 0)
      ),
    IF(valor = "-", "", valor)      
  ),
"")</f>
        <v/>
      </c>
      <c r="E38" s="16" t="str">
        <f t="array" ref="E38">IFERROR(
  LET(
    valor,
      INDEX(
        MarR!$A$1:$AT$48,
        MATCH(RIGHT($A38, LEN($A38)-4), MarR!$A$1:$A1065, 0),
        MATCH($A$1, MarR!$A$6:N$6, 0)
      ),
    IF(valor = "-", "", valor)      
  ),
"")</f>
        <v/>
      </c>
      <c r="F38" s="17" t="str">
        <f t="array" ref="F38">IFERROR(
  LET(
    valor,
      INDEX(
        AbrR!$A$1:$AT$48,
        MATCH(RIGHT($A38, LEN($A38)-4), AbrR!$A$1:$A1065, 0),
        MATCH($A$1, AbrR!$A$6:N$6, 0)
      ),
    IF(valor = "-", "", valor)      
  ),
"")</f>
        <v/>
      </c>
      <c r="G38" s="16" t="str">
        <f t="array" ref="G38">IFERROR(
  LET(
    valor,
      INDEX(
        MayR!$A$1:$AT$48,
        MATCH(RIGHT($A38, LEN($A38)-4), MayR!$A$1:$A1065, 0),
        MATCH($A$1, MayR!$A$6:N$6, 0)
      ),
    IF(valor = "-", "", valor)      
  ),
"")</f>
        <v/>
      </c>
      <c r="H38" s="17" t="str">
        <f t="array" ref="H38">IFERROR(
  LET(
    valor,
      INDEX(
        JunR!$A$1:$AT$48,
        MATCH(RIGHT($A38, LEN($A38)-4), JunR!$A$1:$A1065, 0),
        MATCH($A$1, JunR!$A$6:N$6, 0)
      ),
    IF(valor = "-", "", valor)      
  ),
"")</f>
        <v/>
      </c>
      <c r="I38" s="16" t="str">
        <f t="array" ref="I38">IFERROR(
  LET(
    valor,
      INDEX(
        JulR!$A$1:$AT$48,
        MATCH(RIGHT($A38, LEN($A38)-4), JulR!$A$1:$A1065, 0),
        MATCH($A$1, JulR!$A$6:N$6, 0)
      ),
    IF(valor = "-", "", valor)      
  ),
"")</f>
        <v/>
      </c>
      <c r="J38" s="17" t="str">
        <f t="array" ref="J38">IFERROR(
  LET(
    valor,
      INDEX(
        AgoR!$A$1:$AT$60,
        MATCH(RIGHT($A38, LEN($A38)-4), AgoR!$A$1:$A1065, 0),
        MATCH($A$1, AgoR!$A$6:N$6, 0)
      ),
    IF(valor = "-", "", valor)      
  ),
"")</f>
        <v/>
      </c>
      <c r="K38" s="16" t="str">
        <f t="array" ref="K38">IFERROR(
  LET(
    valor,
      INDEX(
        SepR!$A$1:$AT$60,
        MATCH(RIGHT($A38, LEN($A38)-4), SepR!$A$1:$A1065, 0),
        MATCH($A$1, SepR!$A$6:N$6, 0)
      ),
    IF(valor = "-", "", valor)      
  ),
"")</f>
        <v/>
      </c>
      <c r="L38" s="17" t="str">
        <f t="array" ref="L38">IFERROR(
  LET(
    valor,
      INDEX(
        OctR!$A$1:$AT$60,
        MATCH(RIGHT($A38, LEN($A38)-4), OctR!$A$1:$A1065, 0),
        MATCH($A$1, OctR!$A$6:N$6, 0)
      ),
    IF(valor = "-", "", valor)      
  ),
"")</f>
        <v/>
      </c>
      <c r="M38" s="16" t="str">
        <f t="array" ref="M38">IFERROR(
  LET(
    valor,
      INDEX(
        NovR!$A$1:$AT$60,
        MATCH(RIGHT($A38, LEN($A38)-4), NovR!$A$1:$A1065, 0),
        MATCH($A$1, NovR!$A$6:N$6, 0)
      ),
    IF(valor = "-", "", valor)      
  ),
"")</f>
        <v/>
      </c>
      <c r="N38" s="17" t="str">
        <f t="array" ref="N38">IFERROR(
  LET(
    valor,
      INDEX(
        DicR!$A$1:$AT$60,
        MATCH(RIGHT($A38, LEN($A38)-4), DicR!$A$1:$A1065, 0),
        MATCH($A$1, DicR!$A$6:N$6, 0)
      ),
    IF(valor = "-", "", valor)      
  ),
"")</f>
        <v/>
      </c>
    </row>
    <row r="39" ht="15.75" customHeight="1">
      <c r="A39" s="6" t="str">
        <f>Menus!B32</f>
        <v/>
      </c>
      <c r="B39" s="15">
        <f t="shared" si="5"/>
        <v>0</v>
      </c>
      <c r="C39" s="16" t="str">
        <f t="array" ref="C39">IFERROR(
  LET(
    valor,
      INDEX(
        EneR!$A$1:$AT$48,
        MATCH(RIGHT($A39, LEN($A39)-4), EneR!$A$1:$A1065, 0),
        MATCH($A$1, EneR!$A$6:N$6, 0)
      ),
    IF(valor = "-", "", valor)      
  ),
"")</f>
        <v/>
      </c>
      <c r="D39" s="17" t="str">
        <f t="array" ref="D39">IFERROR(
  LET(
    valor,
      INDEX(
        FebR!$A$1:$AT$51,
        MATCH(RIGHT($A39, LEN($A39)-4), FebR!$A$1:$A1065, 0),
        MATCH($A$1, FebR!$A$6:N$6, 0)
      ),
    IF(valor = "-", "", valor)      
  ),
"")</f>
        <v/>
      </c>
      <c r="E39" s="16" t="str">
        <f t="array" ref="E39">IFERROR(
  LET(
    valor,
      INDEX(
        MarR!$A$1:$AT$48,
        MATCH(RIGHT($A39, LEN($A39)-4), MarR!$A$1:$A1065, 0),
        MATCH($A$1, MarR!$A$6:N$6, 0)
      ),
    IF(valor = "-", "", valor)      
  ),
"")</f>
        <v/>
      </c>
      <c r="F39" s="17" t="str">
        <f t="array" ref="F39">IFERROR(
  LET(
    valor,
      INDEX(
        AbrR!$A$1:$AT$48,
        MATCH(RIGHT($A39, LEN($A39)-4), AbrR!$A$1:$A1065, 0),
        MATCH($A$1, AbrR!$A$6:N$6, 0)
      ),
    IF(valor = "-", "", valor)      
  ),
"")</f>
        <v/>
      </c>
      <c r="G39" s="16" t="str">
        <f t="array" ref="G39">IFERROR(
  LET(
    valor,
      INDEX(
        MayR!$A$1:$AT$48,
        MATCH(RIGHT($A39, LEN($A39)-4), MayR!$A$1:$A1065, 0),
        MATCH($A$1, MayR!$A$6:N$6, 0)
      ),
    IF(valor = "-", "", valor)      
  ),
"")</f>
        <v/>
      </c>
      <c r="H39" s="17" t="str">
        <f t="array" ref="H39">IFERROR(
  LET(
    valor,
      INDEX(
        JunR!$A$1:$AT$48,
        MATCH(RIGHT($A39, LEN($A39)-4), JunR!$A$1:$A1065, 0),
        MATCH($A$1, JunR!$A$6:N$6, 0)
      ),
    IF(valor = "-", "", valor)      
  ),
"")</f>
        <v/>
      </c>
      <c r="I39" s="16" t="str">
        <f t="array" ref="I39">IFERROR(
  LET(
    valor,
      INDEX(
        JulR!$A$1:$AT$48,
        MATCH(RIGHT($A39, LEN($A39)-4), JulR!$A$1:$A1065, 0),
        MATCH($A$1, JulR!$A$6:N$6, 0)
      ),
    IF(valor = "-", "", valor)      
  ),
"")</f>
        <v/>
      </c>
      <c r="J39" s="17" t="str">
        <f t="array" ref="J39">IFERROR(
  LET(
    valor,
      INDEX(
        AgoR!$A$1:$AT$60,
        MATCH(RIGHT($A39, LEN($A39)-4), AgoR!$A$1:$A1065, 0),
        MATCH($A$1, AgoR!$A$6:N$6, 0)
      ),
    IF(valor = "-", "", valor)      
  ),
"")</f>
        <v/>
      </c>
      <c r="K39" s="16" t="str">
        <f t="array" ref="K39">IFERROR(
  LET(
    valor,
      INDEX(
        SepR!$A$1:$AT$60,
        MATCH(RIGHT($A39, LEN($A39)-4), SepR!$A$1:$A1065, 0),
        MATCH($A$1, SepR!$A$6:N$6, 0)
      ),
    IF(valor = "-", "", valor)      
  ),
"")</f>
        <v/>
      </c>
      <c r="L39" s="17" t="str">
        <f t="array" ref="L39">IFERROR(
  LET(
    valor,
      INDEX(
        OctR!$A$1:$AT$60,
        MATCH(RIGHT($A39, LEN($A39)-4), OctR!$A$1:$A1065, 0),
        MATCH($A$1, OctR!$A$6:N$6, 0)
      ),
    IF(valor = "-", "", valor)      
  ),
"")</f>
        <v/>
      </c>
      <c r="M39" s="16" t="str">
        <f t="array" ref="M39">IFERROR(
  LET(
    valor,
      INDEX(
        NovR!$A$1:$AT$60,
        MATCH(RIGHT($A39, LEN($A39)-4), NovR!$A$1:$A1065, 0),
        MATCH($A$1, NovR!$A$6:N$6, 0)
      ),
    IF(valor = "-", "", valor)      
  ),
"")</f>
        <v/>
      </c>
      <c r="N39" s="17" t="str">
        <f t="array" ref="N39">IFERROR(
  LET(
    valor,
      INDEX(
        DicR!$A$1:$AT$60,
        MATCH(RIGHT($A39, LEN($A39)-4), DicR!$A$1:$A1065, 0),
        MATCH($A$1, DicR!$A$6:N$6, 0)
      ),
    IF(valor = "-", "", valor)      
  ),
"")</f>
        <v/>
      </c>
    </row>
    <row r="40" ht="15.75" customHeight="1">
      <c r="A40" s="6" t="str">
        <f>Menus!B33</f>
        <v/>
      </c>
      <c r="B40" s="15">
        <f t="shared" si="5"/>
        <v>0</v>
      </c>
      <c r="C40" s="16" t="str">
        <f t="array" ref="C40">IFERROR(
  LET(
    valor,
      INDEX(
        EneR!$A$1:$AT$48,
        MATCH(RIGHT($A40, LEN($A40)-4), EneR!$A$1:$A1065, 0),
        MATCH($A$1, EneR!$A$6:N$6, 0)
      ),
    IF(valor = "-", "", valor)      
  ),
"")</f>
        <v/>
      </c>
      <c r="D40" s="17" t="str">
        <f t="array" ref="D40">IFERROR(
  LET(
    valor,
      INDEX(
        FebR!$A$1:$AT$51,
        MATCH(RIGHT($A40, LEN($A40)-4), FebR!$A$1:$A1065, 0),
        MATCH($A$1, FebR!$A$6:N$6, 0)
      ),
    IF(valor = "-", "", valor)      
  ),
"")</f>
        <v/>
      </c>
      <c r="E40" s="16" t="str">
        <f t="array" ref="E40">IFERROR(
  LET(
    valor,
      INDEX(
        MarR!$A$1:$AT$48,
        MATCH(RIGHT($A40, LEN($A40)-4), MarR!$A$1:$A1065, 0),
        MATCH($A$1, MarR!$A$6:N$6, 0)
      ),
    IF(valor = "-", "", valor)      
  ),
"")</f>
        <v/>
      </c>
      <c r="F40" s="17" t="str">
        <f t="array" ref="F40">IFERROR(
  LET(
    valor,
      INDEX(
        AbrR!$A$1:$AT$48,
        MATCH(RIGHT($A40, LEN($A40)-4), AbrR!$A$1:$A1065, 0),
        MATCH($A$1, AbrR!$A$6:N$6, 0)
      ),
    IF(valor = "-", "", valor)      
  ),
"")</f>
        <v/>
      </c>
      <c r="G40" s="16" t="str">
        <f t="array" ref="G40">IFERROR(
  LET(
    valor,
      INDEX(
        MayR!$A$1:$AT$48,
        MATCH(RIGHT($A40, LEN($A40)-4), MayR!$A$1:$A1065, 0),
        MATCH($A$1, MayR!$A$6:N$6, 0)
      ),
    IF(valor = "-", "", valor)      
  ),
"")</f>
        <v/>
      </c>
      <c r="H40" s="17" t="str">
        <f t="array" ref="H40">IFERROR(
  LET(
    valor,
      INDEX(
        JunR!$A$1:$AT$48,
        MATCH(RIGHT($A40, LEN($A40)-4), JunR!$A$1:$A1065, 0),
        MATCH($A$1, JunR!$A$6:N$6, 0)
      ),
    IF(valor = "-", "", valor)      
  ),
"")</f>
        <v/>
      </c>
      <c r="I40" s="16" t="str">
        <f t="array" ref="I40">IFERROR(
  LET(
    valor,
      INDEX(
        JulR!$A$1:$AT$48,
        MATCH(RIGHT($A40, LEN($A40)-4), JulR!$A$1:$A1065, 0),
        MATCH($A$1, JulR!$A$6:N$6, 0)
      ),
    IF(valor = "-", "", valor)      
  ),
"")</f>
        <v/>
      </c>
      <c r="J40" s="17" t="str">
        <f t="array" ref="J40">IFERROR(
  LET(
    valor,
      INDEX(
        AgoR!$A$1:$AT$60,
        MATCH(RIGHT($A40, LEN($A40)-4), AgoR!$A$1:$A1065, 0),
        MATCH($A$1, AgoR!$A$6:N$6, 0)
      ),
    IF(valor = "-", "", valor)      
  ),
"")</f>
        <v/>
      </c>
      <c r="K40" s="16" t="str">
        <f t="array" ref="K40">IFERROR(
  LET(
    valor,
      INDEX(
        SepR!$A$1:$AT$60,
        MATCH(RIGHT($A40, LEN($A40)-4), SepR!$A$1:$A1065, 0),
        MATCH($A$1, SepR!$A$6:N$6, 0)
      ),
    IF(valor = "-", "", valor)      
  ),
"")</f>
        <v/>
      </c>
      <c r="L40" s="17" t="str">
        <f t="array" ref="L40">IFERROR(
  LET(
    valor,
      INDEX(
        OctR!$A$1:$AT$60,
        MATCH(RIGHT($A40, LEN($A40)-4), OctR!$A$1:$A1065, 0),
        MATCH($A$1, OctR!$A$6:N$6, 0)
      ),
    IF(valor = "-", "", valor)      
  ),
"")</f>
        <v/>
      </c>
      <c r="M40" s="16" t="str">
        <f t="array" ref="M40">IFERROR(
  LET(
    valor,
      INDEX(
        NovR!$A$1:$AT$60,
        MATCH(RIGHT($A40, LEN($A40)-4), NovR!$A$1:$A1065, 0),
        MATCH($A$1, NovR!$A$6:N$6, 0)
      ),
    IF(valor = "-", "", valor)      
  ),
"")</f>
        <v/>
      </c>
      <c r="N40" s="17" t="str">
        <f t="array" ref="N40">IFERROR(
  LET(
    valor,
      INDEX(
        DicR!$A$1:$AT$60,
        MATCH(RIGHT($A40, LEN($A40)-4), DicR!$A$1:$A1065, 0),
        MATCH($A$1, DicR!$A$6:N$6, 0)
      ),
    IF(valor = "-", "", valor)      
  ),
"")</f>
        <v/>
      </c>
    </row>
    <row r="41" ht="15.75" customHeight="1">
      <c r="A41" s="6" t="str">
        <f>Menus!B34</f>
        <v/>
      </c>
      <c r="B41" s="15">
        <f t="shared" si="5"/>
        <v>0</v>
      </c>
      <c r="C41" s="16" t="str">
        <f t="array" ref="C41">IFERROR(
  LET(
    valor,
      INDEX(
        EneR!$A$1:$AT$48,
        MATCH(RIGHT($A41, LEN($A41)-4), EneR!$A$1:$A1065, 0),
        MATCH($A$1, EneR!$A$6:N$6, 0)
      ),
    IF(valor = "-", "", valor)      
  ),
"")</f>
        <v/>
      </c>
      <c r="D41" s="17" t="str">
        <f t="array" ref="D41">IFERROR(
  LET(
    valor,
      INDEX(
        FebR!$A$1:$AT$51,
        MATCH(RIGHT($A41, LEN($A41)-4), FebR!$A$1:$A1065, 0),
        MATCH($A$1, FebR!$A$6:N$6, 0)
      ),
    IF(valor = "-", "", valor)      
  ),
"")</f>
        <v/>
      </c>
      <c r="E41" s="16" t="str">
        <f t="array" ref="E41">IFERROR(
  LET(
    valor,
      INDEX(
        MarR!$A$1:$AT$48,
        MATCH(RIGHT($A41, LEN($A41)-4), MarR!$A$1:$A1065, 0),
        MATCH($A$1, MarR!$A$6:N$6, 0)
      ),
    IF(valor = "-", "", valor)      
  ),
"")</f>
        <v/>
      </c>
      <c r="F41" s="17" t="str">
        <f t="array" ref="F41">IFERROR(
  LET(
    valor,
      INDEX(
        AbrR!$A$1:$AT$48,
        MATCH(RIGHT($A41, LEN($A41)-4), AbrR!$A$1:$A1065, 0),
        MATCH($A$1, AbrR!$A$6:N$6, 0)
      ),
    IF(valor = "-", "", valor)      
  ),
"")</f>
        <v/>
      </c>
      <c r="G41" s="16" t="str">
        <f t="array" ref="G41">IFERROR(
  LET(
    valor,
      INDEX(
        MayR!$A$1:$AT$48,
        MATCH(RIGHT($A41, LEN($A41)-4), MayR!$A$1:$A1065, 0),
        MATCH($A$1, MayR!$A$6:N$6, 0)
      ),
    IF(valor = "-", "", valor)      
  ),
"")</f>
        <v/>
      </c>
      <c r="H41" s="17" t="str">
        <f t="array" ref="H41">IFERROR(
  LET(
    valor,
      INDEX(
        JunR!$A$1:$AT$48,
        MATCH(RIGHT($A41, LEN($A41)-4), JunR!$A$1:$A1065, 0),
        MATCH($A$1, JunR!$A$6:N$6, 0)
      ),
    IF(valor = "-", "", valor)      
  ),
"")</f>
        <v/>
      </c>
      <c r="I41" s="16" t="str">
        <f t="array" ref="I41">IFERROR(
  LET(
    valor,
      INDEX(
        JulR!$A$1:$AT$48,
        MATCH(RIGHT($A41, LEN($A41)-4), JulR!$A$1:$A1065, 0),
        MATCH($A$1, JulR!$A$6:N$6, 0)
      ),
    IF(valor = "-", "", valor)      
  ),
"")</f>
        <v/>
      </c>
      <c r="J41" s="17" t="str">
        <f t="array" ref="J41">IFERROR(
  LET(
    valor,
      INDEX(
        AgoR!$A$1:$AT$60,
        MATCH(RIGHT($A41, LEN($A41)-4), AgoR!$A$1:$A1065, 0),
        MATCH($A$1, AgoR!$A$6:N$6, 0)
      ),
    IF(valor = "-", "", valor)      
  ),
"")</f>
        <v/>
      </c>
      <c r="K41" s="16" t="str">
        <f t="array" ref="K41">IFERROR(
  LET(
    valor,
      INDEX(
        SepR!$A$1:$AT$60,
        MATCH(RIGHT($A41, LEN($A41)-4), SepR!$A$1:$A1065, 0),
        MATCH($A$1, SepR!$A$6:N$6, 0)
      ),
    IF(valor = "-", "", valor)      
  ),
"")</f>
        <v/>
      </c>
      <c r="L41" s="17" t="str">
        <f t="array" ref="L41">IFERROR(
  LET(
    valor,
      INDEX(
        OctR!$A$1:$AT$60,
        MATCH(RIGHT($A41, LEN($A41)-4), OctR!$A$1:$A1065, 0),
        MATCH($A$1, OctR!$A$6:N$6, 0)
      ),
    IF(valor = "-", "", valor)      
  ),
"")</f>
        <v/>
      </c>
      <c r="M41" s="16" t="str">
        <f t="array" ref="M41">IFERROR(
  LET(
    valor,
      INDEX(
        NovR!$A$1:$AT$60,
        MATCH(RIGHT($A41, LEN($A41)-4), NovR!$A$1:$A1065, 0),
        MATCH($A$1, NovR!$A$6:N$6, 0)
      ),
    IF(valor = "-", "", valor)      
  ),
"")</f>
        <v/>
      </c>
      <c r="N41" s="17" t="str">
        <f t="array" ref="N41">IFERROR(
  LET(
    valor,
      INDEX(
        DicR!$A$1:$AT$60,
        MATCH(RIGHT($A41, LEN($A41)-4), DicR!$A$1:$A1065, 0),
        MATCH($A$1, DicR!$A$6:N$6, 0)
      ),
    IF(valor = "-", "", valor)      
  ),
"")</f>
        <v/>
      </c>
    </row>
    <row r="42" ht="15.75" hidden="1" customHeight="1">
      <c r="A42" s="6" t="str">
        <f>Menus!B35</f>
        <v/>
      </c>
      <c r="B42" s="15">
        <f t="shared" si="5"/>
        <v>0</v>
      </c>
      <c r="C42" s="16" t="str">
        <f t="array" ref="C42">IFERROR(
  LET(
    valor,
      INDEX(
        EneR!$A$1:$AT$48,
        MATCH(RIGHT($A42, LEN($A42)-4), EneR!$A$1:$A1065, 0),
        MATCH($A$1, EneR!$A$6:N$6, 0)
      ),
    IF(valor = "-", "", valor)      
  ),
"")</f>
        <v/>
      </c>
      <c r="D42" s="17" t="str">
        <f t="array" ref="D42">IFERROR(
  LET(
    valor,
      INDEX(
        FebR!$A$1:$AT$51,
        MATCH(RIGHT($A42, LEN($A42)-4), FebR!$A$1:$A1065, 0),
        MATCH($A$1, FebR!$A$6:N$6, 0)
      ),
    IF(valor = "-", "", valor)      
  ),
"")</f>
        <v/>
      </c>
      <c r="E42" s="16" t="str">
        <f t="array" ref="E42">IFERROR(
  LET(
    valor,
      INDEX(
        MarR!$A$1:$AT$48,
        MATCH(RIGHT($A42, LEN($A42)-4), MarR!$A$1:$A1065, 0),
        MATCH($A$1, MarR!$A$6:N$6, 0)
      ),
    IF(valor = "-", "", valor)      
  ),
"")</f>
        <v/>
      </c>
      <c r="F42" s="17" t="str">
        <f t="array" ref="F42">IFERROR(
  LET(
    valor,
      INDEX(
        AbrR!$A$1:$AT$48,
        MATCH(RIGHT($A42, LEN($A42)-4), AbrR!$A$1:$A1065, 0),
        MATCH($A$1, AbrR!$A$6:N$6, 0)
      ),
    IF(valor = "-", "", valor)      
  ),
"")</f>
        <v/>
      </c>
      <c r="G42" s="16" t="str">
        <f t="array" ref="G42">IFERROR(
  LET(
    valor,
      INDEX(
        MayR!$A$1:$AT$48,
        MATCH(RIGHT($A42, LEN($A42)-4), MayR!$A$1:$A1065, 0),
        MATCH($A$1, MayR!$A$6:N$6, 0)
      ),
    IF(valor = "-", "", valor)      
  ),
"")</f>
        <v/>
      </c>
      <c r="H42" s="17" t="str">
        <f t="array" ref="H42">IFERROR(
  LET(
    valor,
      INDEX(
        JunR!$A$1:$AT$48,
        MATCH(RIGHT($A42, LEN($A42)-4), JunR!$A$1:$A1065, 0),
        MATCH($A$1, JunR!$A$6:N$6, 0)
      ),
    IF(valor = "-", "", valor)      
  ),
"")</f>
        <v/>
      </c>
      <c r="I42" s="16" t="str">
        <f t="array" ref="I42">IFERROR(
  LET(
    valor,
      INDEX(
        JulR!$A$1:$AT$48,
        MATCH(RIGHT($A42, LEN($A42)-4), JulR!$A$1:$A1065, 0),
        MATCH($A$1, JulR!$A$6:N$6, 0)
      ),
    IF(valor = "-", "", valor)      
  ),
"")</f>
        <v/>
      </c>
      <c r="J42" s="17" t="str">
        <f t="array" ref="J42">IFERROR(
  LET(
    valor,
      INDEX(
        AgoR!$A$1:$AT$60,
        MATCH(RIGHT($A42, LEN($A42)-4), AgoR!$A$1:$A1065, 0),
        MATCH($A$1, AgoR!$A$6:N$6, 0)
      ),
    IF(valor = "-", "", valor)      
  ),
"")</f>
        <v/>
      </c>
      <c r="K42" s="16" t="str">
        <f t="array" ref="K42">IFERROR(
  LET(
    valor,
      INDEX(
        SepR!$A$1:$AT$60,
        MATCH(RIGHT($A42, LEN($A42)-4), SepR!$A$1:$A1065, 0),
        MATCH($A$1, SepR!$A$6:N$6, 0)
      ),
    IF(valor = "-", "", valor)      
  ),
"")</f>
        <v/>
      </c>
      <c r="L42" s="17" t="str">
        <f t="array" ref="L42">IFERROR(
  LET(
    valor,
      INDEX(
        OctR!$A$1:$AT$60,
        MATCH(RIGHT($A42, LEN($A42)-4), OctR!$A$1:$A1065, 0),
        MATCH($A$1, OctR!$A$6:N$6, 0)
      ),
    IF(valor = "-", "", valor)      
  ),
"")</f>
        <v/>
      </c>
      <c r="M42" s="16" t="str">
        <f t="array" ref="M42">IFERROR(
  LET(
    valor,
      INDEX(
        NovR!$A$1:$AT$60,
        MATCH(RIGHT($A42, LEN($A42)-4), NovR!$A$1:$A1065, 0),
        MATCH($A$1, NovR!$A$6:N$6, 0)
      ),
    IF(valor = "-", "", valor)      
  ),
"")</f>
        <v/>
      </c>
      <c r="N42" s="17" t="str">
        <f t="array" ref="N42">IFERROR(
  LET(
    valor,
      INDEX(
        DicR!$A$1:$AT$60,
        MATCH(RIGHT($A42, LEN($A42)-4), DicR!$A$1:$A1065, 0),
        MATCH($A$1, DicR!$A$6:N$6, 0)
      ),
    IF(valor = "-", "", valor)      
  ),
"")</f>
        <v/>
      </c>
    </row>
    <row r="43" ht="15.75" hidden="1" customHeight="1">
      <c r="A43" s="6" t="str">
        <f>Menus!B36</f>
        <v/>
      </c>
      <c r="B43" s="15">
        <f t="shared" si="5"/>
        <v>0</v>
      </c>
      <c r="C43" s="16" t="str">
        <f t="array" ref="C43">IFERROR(
  LET(
    valor,
      INDEX(
        EneR!$A$1:$AT$48,
        MATCH(RIGHT($A43, LEN($A43)-4), EneR!$A$1:$A1065, 0),
        MATCH($A$1, EneR!$A$6:N$6, 0)
      ),
    IF(valor = "-", "", valor)      
  ),
"")</f>
        <v/>
      </c>
      <c r="D43" s="17" t="str">
        <f t="array" ref="D43">IFERROR(
  LET(
    valor,
      INDEX(
        FebR!$A$1:$AT$51,
        MATCH(RIGHT($A43, LEN($A43)-4), FebR!$A$1:$A1065, 0),
        MATCH($A$1, FebR!$A$6:N$6, 0)
      ),
    IF(valor = "-", "", valor)      
  ),
"")</f>
        <v/>
      </c>
      <c r="E43" s="16" t="str">
        <f t="array" ref="E43">IFERROR(
  LET(
    valor,
      INDEX(
        MarR!$A$1:$AT$48,
        MATCH(RIGHT($A43, LEN($A43)-4), MarR!$A$1:$A1065, 0),
        MATCH($A$1, MarR!$A$6:N$6, 0)
      ),
    IF(valor = "-", "", valor)      
  ),
"")</f>
        <v/>
      </c>
      <c r="F43" s="17" t="str">
        <f t="array" ref="F43">IFERROR(
  LET(
    valor,
      INDEX(
        AbrR!$A$1:$AT$48,
        MATCH(RIGHT($A43, LEN($A43)-4), AbrR!$A$1:$A1065, 0),
        MATCH($A$1, AbrR!$A$6:N$6, 0)
      ),
    IF(valor = "-", "", valor)      
  ),
"")</f>
        <v/>
      </c>
      <c r="G43" s="16" t="str">
        <f t="array" ref="G43">IFERROR(
  LET(
    valor,
      INDEX(
        MayR!$A$1:$AT$48,
        MATCH(RIGHT($A43, LEN($A43)-4), MayR!$A$1:$A1065, 0),
        MATCH($A$1, MayR!$A$6:N$6, 0)
      ),
    IF(valor = "-", "", valor)      
  ),
"")</f>
        <v/>
      </c>
      <c r="H43" s="17" t="str">
        <f t="array" ref="H43">IFERROR(
  LET(
    valor,
      INDEX(
        JunR!$A$1:$AT$48,
        MATCH(RIGHT($A43, LEN($A43)-4), JunR!$A$1:$A1065, 0),
        MATCH($A$1, JunR!$A$6:N$6, 0)
      ),
    IF(valor = "-", "", valor)      
  ),
"")</f>
        <v/>
      </c>
      <c r="I43" s="16" t="str">
        <f t="array" ref="I43">IFERROR(
  LET(
    valor,
      INDEX(
        JulR!$A$1:$AT$48,
        MATCH(RIGHT($A43, LEN($A43)-4), JulR!$A$1:$A1065, 0),
        MATCH($A$1, JulR!$A$6:N$6, 0)
      ),
    IF(valor = "-", "", valor)      
  ),
"")</f>
        <v/>
      </c>
      <c r="J43" s="17" t="str">
        <f t="array" ref="J43">IFERROR(
  LET(
    valor,
      INDEX(
        AgoR!$A$1:$AT$60,
        MATCH(RIGHT($A43, LEN($A43)-4), AgoR!$A$1:$A1065, 0),
        MATCH($A$1, AgoR!$A$6:N$6, 0)
      ),
    IF(valor = "-", "", valor)      
  ),
"")</f>
        <v/>
      </c>
      <c r="K43" s="16" t="str">
        <f t="array" ref="K43">IFERROR(
  LET(
    valor,
      INDEX(
        SepR!$A$1:$AT$60,
        MATCH(RIGHT($A43, LEN($A43)-4), SepR!$A$1:$A1065, 0),
        MATCH($A$1, SepR!$A$6:N$6, 0)
      ),
    IF(valor = "-", "", valor)      
  ),
"")</f>
        <v/>
      </c>
      <c r="L43" s="17" t="str">
        <f t="array" ref="L43">IFERROR(
  LET(
    valor,
      INDEX(
        OctR!$A$1:$AT$60,
        MATCH(RIGHT($A43, LEN($A43)-4), OctR!$A$1:$A1065, 0),
        MATCH($A$1, OctR!$A$6:N$6, 0)
      ),
    IF(valor = "-", "", valor)      
  ),
"")</f>
        <v/>
      </c>
      <c r="M43" s="16" t="str">
        <f t="array" ref="M43">IFERROR(
  LET(
    valor,
      INDEX(
        NovR!$A$1:$AT$60,
        MATCH(RIGHT($A43, LEN($A43)-4), NovR!$A$1:$A1065, 0),
        MATCH($A$1, NovR!$A$6:N$6, 0)
      ),
    IF(valor = "-", "", valor)      
  ),
"")</f>
        <v/>
      </c>
      <c r="N43" s="17" t="str">
        <f t="array" ref="N43">IFERROR(
  LET(
    valor,
      INDEX(
        DicR!$A$1:$AT$60,
        MATCH(RIGHT($A43, LEN($A43)-4), DicR!$A$1:$A1065, 0),
        MATCH($A$1, DicR!$A$6:N$6, 0)
      ),
    IF(valor = "-", "", valor)      
  ),
"")</f>
        <v/>
      </c>
    </row>
    <row r="44" ht="15.75" hidden="1" customHeight="1">
      <c r="A44" s="6" t="str">
        <f>Menus!B37</f>
        <v/>
      </c>
      <c r="B44" s="15">
        <f t="shared" si="5"/>
        <v>0</v>
      </c>
      <c r="C44" s="16" t="str">
        <f t="array" ref="C44">IFERROR(
  LET(
    valor,
      INDEX(
        EneR!$A$1:$AT$48,
        MATCH(RIGHT($A44, LEN($A44)-4), EneR!$A$1:$A1065, 0),
        MATCH($A$1, EneR!$A$6:N$6, 0)
      ),
    IF(valor = "-", "", valor)      
  ),
"")</f>
        <v/>
      </c>
      <c r="D44" s="17" t="str">
        <f t="array" ref="D44">IFERROR(
  LET(
    valor,
      INDEX(
        FebR!$A$1:$AT$51,
        MATCH(RIGHT($A44, LEN($A44)-4), FebR!$A$1:$A1065, 0),
        MATCH($A$1, FebR!$A$6:N$6, 0)
      ),
    IF(valor = "-", "", valor)      
  ),
"")</f>
        <v/>
      </c>
      <c r="E44" s="16" t="str">
        <f t="array" ref="E44">IFERROR(
  LET(
    valor,
      INDEX(
        MarR!$A$1:$AT$48,
        MATCH(RIGHT($A44, LEN($A44)-4), MarR!$A$1:$A1065, 0),
        MATCH($A$1, MarR!$A$6:N$6, 0)
      ),
    IF(valor = "-", "", valor)      
  ),
"")</f>
        <v/>
      </c>
      <c r="F44" s="17" t="str">
        <f t="array" ref="F44">IFERROR(
  LET(
    valor,
      INDEX(
        AbrR!$A$1:$AT$48,
        MATCH(RIGHT($A44, LEN($A44)-4), AbrR!$A$1:$A1065, 0),
        MATCH($A$1, AbrR!$A$6:N$6, 0)
      ),
    IF(valor = "-", "", valor)      
  ),
"")</f>
        <v/>
      </c>
      <c r="G44" s="16" t="str">
        <f t="array" ref="G44">IFERROR(
  LET(
    valor,
      INDEX(
        MayR!$A$1:$AT$48,
        MATCH(RIGHT($A44, LEN($A44)-4), MayR!$A$1:$A1065, 0),
        MATCH($A$1, MayR!$A$6:N$6, 0)
      ),
    IF(valor = "-", "", valor)      
  ),
"")</f>
        <v/>
      </c>
      <c r="H44" s="17" t="str">
        <f t="array" ref="H44">IFERROR(
  LET(
    valor,
      INDEX(
        JunR!$A$1:$AT$48,
        MATCH(RIGHT($A44, LEN($A44)-4), JunR!$A$1:$A1065, 0),
        MATCH($A$1, JunR!$A$6:N$6, 0)
      ),
    IF(valor = "-", "", valor)      
  ),
"")</f>
        <v/>
      </c>
      <c r="I44" s="16" t="str">
        <f t="array" ref="I44">IFERROR(
  LET(
    valor,
      INDEX(
        JulR!$A$1:$AT$48,
        MATCH(RIGHT($A44, LEN($A44)-4), JulR!$A$1:$A1065, 0),
        MATCH($A$1, JulR!$A$6:N$6, 0)
      ),
    IF(valor = "-", "", valor)      
  ),
"")</f>
        <v/>
      </c>
      <c r="J44" s="17" t="str">
        <f t="array" ref="J44">IFERROR(
  LET(
    valor,
      INDEX(
        AgoR!$A$1:$AT$60,
        MATCH(RIGHT($A44, LEN($A44)-4), AgoR!$A$1:$A1065, 0),
        MATCH($A$1, AgoR!$A$6:N$6, 0)
      ),
    IF(valor = "-", "", valor)      
  ),
"")</f>
        <v/>
      </c>
      <c r="K44" s="16" t="str">
        <f t="array" ref="K44">IFERROR(
  LET(
    valor,
      INDEX(
        SepR!$A$1:$AT$60,
        MATCH(RIGHT($A44, LEN($A44)-4), SepR!$A$1:$A1065, 0),
        MATCH($A$1, SepR!$A$6:N$6, 0)
      ),
    IF(valor = "-", "", valor)      
  ),
"")</f>
        <v/>
      </c>
      <c r="L44" s="17" t="str">
        <f t="array" ref="L44">IFERROR(
  LET(
    valor,
      INDEX(
        OctR!$A$1:$AT$60,
        MATCH(RIGHT($A44, LEN($A44)-4), OctR!$A$1:$A1065, 0),
        MATCH($A$1, OctR!$A$6:N$6, 0)
      ),
    IF(valor = "-", "", valor)      
  ),
"")</f>
        <v/>
      </c>
      <c r="M44" s="16" t="str">
        <f t="array" ref="M44">IFERROR(
  LET(
    valor,
      INDEX(
        NovR!$A$1:$AT$60,
        MATCH(RIGHT($A44, LEN($A44)-4), NovR!$A$1:$A1065, 0),
        MATCH($A$1, NovR!$A$6:N$6, 0)
      ),
    IF(valor = "-", "", valor)      
  ),
"")</f>
        <v/>
      </c>
      <c r="N44" s="17" t="str">
        <f t="array" ref="N44">IFERROR(
  LET(
    valor,
      INDEX(
        DicR!$A$1:$AT$60,
        MATCH(RIGHT($A44, LEN($A44)-4), DicR!$A$1:$A1065, 0),
        MATCH($A$1, DicR!$A$6:N$6, 0)
      ),
    IF(valor = "-", "", valor)      
  ),
"")</f>
        <v/>
      </c>
    </row>
    <row r="45" ht="15.75" hidden="1" customHeight="1">
      <c r="A45" s="6" t="str">
        <f>Menus!B38</f>
        <v/>
      </c>
      <c r="B45" s="15">
        <f t="shared" si="5"/>
        <v>0</v>
      </c>
      <c r="C45" s="16" t="str">
        <f t="array" ref="C45">IFERROR(
  LET(
    valor,
      INDEX(
        EneR!$A$1:$AT$48,
        MATCH(RIGHT($A45, LEN($A45)-4), EneR!$A$1:$A1065, 0),
        MATCH($A$1, EneR!$A$6:N$6, 0)
      ),
    IF(valor = "-", "", valor)      
  ),
"")</f>
        <v/>
      </c>
      <c r="D45" s="17" t="str">
        <f t="array" ref="D45">IFERROR(
  LET(
    valor,
      INDEX(
        FebR!$A$1:$AT$51,
        MATCH(RIGHT($A45, LEN($A45)-4), FebR!$A$1:$A1065, 0),
        MATCH($A$1, FebR!$A$6:N$6, 0)
      ),
    IF(valor = "-", "", valor)      
  ),
"")</f>
        <v/>
      </c>
      <c r="E45" s="16" t="str">
        <f t="array" ref="E45">IFERROR(
  LET(
    valor,
      INDEX(
        MarR!$A$1:$AT$48,
        MATCH(RIGHT($A45, LEN($A45)-4), MarR!$A$1:$A1065, 0),
        MATCH($A$1, MarR!$A$6:N$6, 0)
      ),
    IF(valor = "-", "", valor)      
  ),
"")</f>
        <v/>
      </c>
      <c r="F45" s="17" t="str">
        <f t="array" ref="F45">IFERROR(
  LET(
    valor,
      INDEX(
        AbrR!$A$1:$AT$48,
        MATCH(RIGHT($A45, LEN($A45)-4), AbrR!$A$1:$A1065, 0),
        MATCH($A$1, AbrR!$A$6:N$6, 0)
      ),
    IF(valor = "-", "", valor)      
  ),
"")</f>
        <v/>
      </c>
      <c r="G45" s="16" t="str">
        <f t="array" ref="G45">IFERROR(
  LET(
    valor,
      INDEX(
        MayR!$A$1:$AT$48,
        MATCH(RIGHT($A45, LEN($A45)-4), MayR!$A$1:$A1065, 0),
        MATCH($A$1, MayR!$A$6:N$6, 0)
      ),
    IF(valor = "-", "", valor)      
  ),
"")</f>
        <v/>
      </c>
      <c r="H45" s="17" t="str">
        <f t="array" ref="H45">IFERROR(
  LET(
    valor,
      INDEX(
        JunR!$A$1:$AT$48,
        MATCH(RIGHT($A45, LEN($A45)-4), JunR!$A$1:$A1065, 0),
        MATCH($A$1, JunR!$A$6:N$6, 0)
      ),
    IF(valor = "-", "", valor)      
  ),
"")</f>
        <v/>
      </c>
      <c r="I45" s="16" t="str">
        <f t="array" ref="I45">IFERROR(
  LET(
    valor,
      INDEX(
        JulR!$A$1:$AT$48,
        MATCH(RIGHT($A45, LEN($A45)-4), JulR!$A$1:$A1065, 0),
        MATCH($A$1, JulR!$A$6:N$6, 0)
      ),
    IF(valor = "-", "", valor)      
  ),
"")</f>
        <v/>
      </c>
      <c r="J45" s="17" t="str">
        <f t="array" ref="J45">IFERROR(
  LET(
    valor,
      INDEX(
        AgoR!$A$1:$AT$60,
        MATCH(RIGHT($A45, LEN($A45)-4), AgoR!$A$1:$A1065, 0),
        MATCH($A$1, AgoR!$A$6:N$6, 0)
      ),
    IF(valor = "-", "", valor)      
  ),
"")</f>
        <v/>
      </c>
      <c r="K45" s="16" t="str">
        <f t="array" ref="K45">IFERROR(
  LET(
    valor,
      INDEX(
        SepR!$A$1:$AT$60,
        MATCH(RIGHT($A45, LEN($A45)-4), SepR!$A$1:$A1065, 0),
        MATCH($A$1, SepR!$A$6:N$6, 0)
      ),
    IF(valor = "-", "", valor)      
  ),
"")</f>
        <v/>
      </c>
      <c r="L45" s="17" t="str">
        <f t="array" ref="L45">IFERROR(
  LET(
    valor,
      INDEX(
        OctR!$A$1:$AT$60,
        MATCH(RIGHT($A45, LEN($A45)-4), OctR!$A$1:$A1065, 0),
        MATCH($A$1, OctR!$A$6:N$6, 0)
      ),
    IF(valor = "-", "", valor)      
  ),
"")</f>
        <v/>
      </c>
      <c r="M45" s="16" t="str">
        <f t="array" ref="M45">IFERROR(
  LET(
    valor,
      INDEX(
        NovR!$A$1:$AT$60,
        MATCH(RIGHT($A45, LEN($A45)-4), NovR!$A$1:$A1065, 0),
        MATCH($A$1, NovR!$A$6:N$6, 0)
      ),
    IF(valor = "-", "", valor)      
  ),
"")</f>
        <v/>
      </c>
      <c r="N45" s="17" t="str">
        <f t="array" ref="N45">IFERROR(
  LET(
    valor,
      INDEX(
        DicR!$A$1:$AT$60,
        MATCH(RIGHT($A45, LEN($A45)-4), DicR!$A$1:$A1065, 0),
        MATCH($A$1, DicR!$A$6:N$6, 0)
      ),
    IF(valor = "-", "", valor)      
  ),
"")</f>
        <v/>
      </c>
    </row>
    <row r="46" ht="15.75" hidden="1" customHeight="1">
      <c r="A46" s="6" t="str">
        <f>Menus!B39</f>
        <v/>
      </c>
      <c r="B46" s="15">
        <f t="shared" si="5"/>
        <v>0</v>
      </c>
      <c r="C46" s="16" t="str">
        <f t="array" ref="C46">IFERROR(
  LET(
    valor,
      INDEX(
        EneR!$A$1:$AT$48,
        MATCH(RIGHT($A46, LEN($A46)-4), EneR!$A$1:$A1065, 0),
        MATCH($A$1, EneR!$A$6:N$6, 0)
      ),
    IF(valor = "-", "", valor)      
  ),
"")</f>
        <v/>
      </c>
      <c r="D46" s="17" t="str">
        <f t="array" ref="D46">IFERROR(
  LET(
    valor,
      INDEX(
        FebR!$A$1:$AT$51,
        MATCH(RIGHT($A46, LEN($A46)-4), FebR!$A$1:$A1065, 0),
        MATCH($A$1, FebR!$A$6:N$6, 0)
      ),
    IF(valor = "-", "", valor)      
  ),
"")</f>
        <v/>
      </c>
      <c r="E46" s="16" t="str">
        <f t="array" ref="E46">IFERROR(
  LET(
    valor,
      INDEX(
        MarR!$A$1:$AT$48,
        MATCH(RIGHT($A46, LEN($A46)-4), MarR!$A$1:$A1065, 0),
        MATCH($A$1, MarR!$A$6:N$6, 0)
      ),
    IF(valor = "-", "", valor)      
  ),
"")</f>
        <v/>
      </c>
      <c r="F46" s="17" t="str">
        <f t="array" ref="F46">IFERROR(
  LET(
    valor,
      INDEX(
        AbrR!$A$1:$AT$48,
        MATCH(RIGHT($A46, LEN($A46)-4), AbrR!$A$1:$A1065, 0),
        MATCH($A$1, AbrR!$A$6:N$6, 0)
      ),
    IF(valor = "-", "", valor)      
  ),
"")</f>
        <v/>
      </c>
      <c r="G46" s="16" t="str">
        <f t="array" ref="G46">IFERROR(
  LET(
    valor,
      INDEX(
        MayR!$A$1:$AT$48,
        MATCH(RIGHT($A46, LEN($A46)-4), MayR!$A$1:$A1065, 0),
        MATCH($A$1, MayR!$A$6:N$6, 0)
      ),
    IF(valor = "-", "", valor)      
  ),
"")</f>
        <v/>
      </c>
      <c r="H46" s="17" t="str">
        <f t="array" ref="H46">IFERROR(
  LET(
    valor,
      INDEX(
        JunR!$A$1:$AT$48,
        MATCH(RIGHT($A46, LEN($A46)-4), JunR!$A$1:$A1065, 0),
        MATCH($A$1, JunR!$A$6:N$6, 0)
      ),
    IF(valor = "-", "", valor)      
  ),
"")</f>
        <v/>
      </c>
      <c r="I46" s="16" t="str">
        <f t="array" ref="I46">IFERROR(
  LET(
    valor,
      INDEX(
        JulR!$A$1:$AT$48,
        MATCH(RIGHT($A46, LEN($A46)-4), JulR!$A$1:$A1065, 0),
        MATCH($A$1, JulR!$A$6:N$6, 0)
      ),
    IF(valor = "-", "", valor)      
  ),
"")</f>
        <v/>
      </c>
      <c r="J46" s="17" t="str">
        <f t="array" ref="J46">IFERROR(
  LET(
    valor,
      INDEX(
        AgoR!$A$1:$AT$60,
        MATCH(RIGHT($A46, LEN($A46)-4), AgoR!$A$1:$A1065, 0),
        MATCH($A$1, AgoR!$A$6:N$6, 0)
      ),
    IF(valor = "-", "", valor)      
  ),
"")</f>
        <v/>
      </c>
      <c r="K46" s="16" t="str">
        <f t="array" ref="K46">IFERROR(
  LET(
    valor,
      INDEX(
        SepR!$A$1:$AT$60,
        MATCH(RIGHT($A46, LEN($A46)-4), SepR!$A$1:$A1065, 0),
        MATCH($A$1, SepR!$A$6:N$6, 0)
      ),
    IF(valor = "-", "", valor)      
  ),
"")</f>
        <v/>
      </c>
      <c r="L46" s="17" t="str">
        <f t="array" ref="L46">IFERROR(
  LET(
    valor,
      INDEX(
        OctR!$A$1:$AT$60,
        MATCH(RIGHT($A46, LEN($A46)-4), OctR!$A$1:$A1065, 0),
        MATCH($A$1, OctR!$A$6:N$6, 0)
      ),
    IF(valor = "-", "", valor)      
  ),
"")</f>
        <v/>
      </c>
      <c r="M46" s="16" t="str">
        <f t="array" ref="M46">IFERROR(
  LET(
    valor,
      INDEX(
        NovR!$A$1:$AT$60,
        MATCH(RIGHT($A46, LEN($A46)-4), NovR!$A$1:$A1065, 0),
        MATCH($A$1, NovR!$A$6:N$6, 0)
      ),
    IF(valor = "-", "", valor)      
  ),
"")</f>
        <v/>
      </c>
      <c r="N46" s="17" t="str">
        <f t="array" ref="N46">IFERROR(
  LET(
    valor,
      INDEX(
        DicR!$A$1:$AT$60,
        MATCH(RIGHT($A46, LEN($A46)-4), DicR!$A$1:$A1065, 0),
        MATCH($A$1, DicR!$A$6:N$6, 0)
      ),
    IF(valor = "-", "", valor)      
  ),
"")</f>
        <v/>
      </c>
    </row>
    <row r="47" ht="15.75" hidden="1" customHeight="1">
      <c r="A47" s="6" t="str">
        <f>Menus!B40</f>
        <v/>
      </c>
      <c r="B47" s="15">
        <f t="shared" si="5"/>
        <v>0</v>
      </c>
      <c r="C47" s="16" t="str">
        <f t="array" ref="C47">IFERROR(
  LET(
    valor,
      INDEX(
        EneR!$A$1:$AT$48,
        MATCH(RIGHT($A47, LEN($A47)-4), EneR!$A$1:$A1065, 0),
        MATCH($A$1, EneR!$A$6:N$6, 0)
      ),
    IF(valor = "-", "", valor)      
  ),
"")</f>
        <v/>
      </c>
      <c r="D47" s="17" t="str">
        <f t="array" ref="D47">IFERROR(
  LET(
    valor,
      INDEX(
        FebR!$A$1:$AT$51,
        MATCH(RIGHT($A47, LEN($A47)-4), FebR!$A$1:$A1065, 0),
        MATCH($A$1, FebR!$A$6:N$6, 0)
      ),
    IF(valor = "-", "", valor)      
  ),
"")</f>
        <v/>
      </c>
      <c r="E47" s="16" t="str">
        <f t="array" ref="E47">IFERROR(
  LET(
    valor,
      INDEX(
        MarR!$A$1:$AT$48,
        MATCH(RIGHT($A47, LEN($A47)-4), MarR!$A$1:$A1065, 0),
        MATCH($A$1, MarR!$A$6:N$6, 0)
      ),
    IF(valor = "-", "", valor)      
  ),
"")</f>
        <v/>
      </c>
      <c r="F47" s="17" t="str">
        <f t="array" ref="F47">IFERROR(
  LET(
    valor,
      INDEX(
        AbrR!$A$1:$AT$48,
        MATCH(RIGHT($A47, LEN($A47)-4), AbrR!$A$1:$A1065, 0),
        MATCH($A$1, AbrR!$A$6:N$6, 0)
      ),
    IF(valor = "-", "", valor)      
  ),
"")</f>
        <v/>
      </c>
      <c r="G47" s="16" t="str">
        <f t="array" ref="G47">IFERROR(
  LET(
    valor,
      INDEX(
        MayR!$A$1:$AT$48,
        MATCH(RIGHT($A47, LEN($A47)-4), MayR!$A$1:$A1065, 0),
        MATCH($A$1, MayR!$A$6:N$6, 0)
      ),
    IF(valor = "-", "", valor)      
  ),
"")</f>
        <v/>
      </c>
      <c r="H47" s="17" t="str">
        <f t="array" ref="H47">IFERROR(
  LET(
    valor,
      INDEX(
        JunR!$A$1:$AT$48,
        MATCH(RIGHT($A47, LEN($A47)-4), JunR!$A$1:$A1065, 0),
        MATCH($A$1, JunR!$A$6:N$6, 0)
      ),
    IF(valor = "-", "", valor)      
  ),
"")</f>
        <v/>
      </c>
      <c r="I47" s="16" t="str">
        <f t="array" ref="I47">IFERROR(
  LET(
    valor,
      INDEX(
        JulR!$A$1:$AT$48,
        MATCH(RIGHT($A47, LEN($A47)-4), JulR!$A$1:$A1065, 0),
        MATCH($A$1, JulR!$A$6:N$6, 0)
      ),
    IF(valor = "-", "", valor)      
  ),
"")</f>
        <v/>
      </c>
      <c r="J47" s="17" t="str">
        <f t="array" ref="J47">IFERROR(
  LET(
    valor,
      INDEX(
        AgoR!$A$1:$AT$60,
        MATCH(RIGHT($A47, LEN($A47)-4), AgoR!$A$1:$A1065, 0),
        MATCH($A$1, AgoR!$A$6:N$6, 0)
      ),
    IF(valor = "-", "", valor)      
  ),
"")</f>
        <v/>
      </c>
      <c r="K47" s="16" t="str">
        <f t="array" ref="K47">IFERROR(
  LET(
    valor,
      INDEX(
        SepR!$A$1:$AT$60,
        MATCH(RIGHT($A47, LEN($A47)-4), SepR!$A$1:$A1065, 0),
        MATCH($A$1, SepR!$A$6:N$6, 0)
      ),
    IF(valor = "-", "", valor)      
  ),
"")</f>
        <v/>
      </c>
      <c r="L47" s="17" t="str">
        <f t="array" ref="L47">IFERROR(
  LET(
    valor,
      INDEX(
        OctR!$A$1:$AT$60,
        MATCH(RIGHT($A47, LEN($A47)-4), OctR!$A$1:$A1065, 0),
        MATCH($A$1, OctR!$A$6:N$6, 0)
      ),
    IF(valor = "-", "", valor)      
  ),
"")</f>
        <v/>
      </c>
      <c r="M47" s="16" t="str">
        <f t="array" ref="M47">IFERROR(
  LET(
    valor,
      INDEX(
        NovR!$A$1:$AT$60,
        MATCH(RIGHT($A47, LEN($A47)-4), NovR!$A$1:$A1065, 0),
        MATCH($A$1, NovR!$A$6:N$6, 0)
      ),
    IF(valor = "-", "", valor)      
  ),
"")</f>
        <v/>
      </c>
      <c r="N47" s="17" t="str">
        <f t="array" ref="N47">IFERROR(
  LET(
    valor,
      INDEX(
        DicR!$A$1:$AT$60,
        MATCH(RIGHT($A47, LEN($A47)-4), DicR!$A$1:$A1065, 0),
        MATCH($A$1, DicR!$A$6:N$6, 0)
      ),
    IF(valor = "-", "", valor)      
  ),
"")</f>
        <v/>
      </c>
    </row>
    <row r="48" ht="15.75" hidden="1" customHeight="1">
      <c r="A48" s="6" t="str">
        <f>Menus!B41</f>
        <v/>
      </c>
      <c r="B48" s="15">
        <f t="shared" si="5"/>
        <v>0</v>
      </c>
      <c r="C48" s="16" t="str">
        <f t="array" ref="C48">IFERROR(
  LET(
    valor,
      INDEX(
        EneR!$A$1:$AT$48,
        MATCH(RIGHT($A48, LEN($A48)-4), EneR!$A$1:$A1065, 0),
        MATCH($A$1, EneR!$A$6:N$6, 0)
      ),
    IF(valor = "-", "", valor)      
  ),
"")</f>
        <v/>
      </c>
      <c r="D48" s="17" t="str">
        <f t="array" ref="D48">IFERROR(
  LET(
    valor,
      INDEX(
        FebR!$A$1:$AT$51,
        MATCH(RIGHT($A48, LEN($A48)-4), FebR!$A$1:$A1065, 0),
        MATCH($A$1, FebR!$A$6:N$6, 0)
      ),
    IF(valor = "-", "", valor)      
  ),
"")</f>
        <v/>
      </c>
      <c r="E48" s="16" t="str">
        <f t="array" ref="E48">IFERROR(
  LET(
    valor,
      INDEX(
        MarR!$A$1:$AT$48,
        MATCH(RIGHT($A48, LEN($A48)-4), MarR!$A$1:$A1065, 0),
        MATCH($A$1, MarR!$A$6:N$6, 0)
      ),
    IF(valor = "-", "", valor)      
  ),
"")</f>
        <v/>
      </c>
      <c r="F48" s="17" t="str">
        <f t="array" ref="F48">IFERROR(
  LET(
    valor,
      INDEX(
        AbrR!$A$1:$AT$48,
        MATCH(RIGHT($A48, LEN($A48)-4), AbrR!$A$1:$A1065, 0),
        MATCH($A$1, AbrR!$A$6:N$6, 0)
      ),
    IF(valor = "-", "", valor)      
  ),
"")</f>
        <v/>
      </c>
      <c r="G48" s="16" t="str">
        <f t="array" ref="G48">IFERROR(
  LET(
    valor,
      INDEX(
        MayR!$A$1:$AT$48,
        MATCH(RIGHT($A48, LEN($A48)-4), MayR!$A$1:$A1065, 0),
        MATCH($A$1, MayR!$A$6:N$6, 0)
      ),
    IF(valor = "-", "", valor)      
  ),
"")</f>
        <v/>
      </c>
      <c r="H48" s="17" t="str">
        <f t="array" ref="H48">IFERROR(
  LET(
    valor,
      INDEX(
        JunR!$A$1:$AT$48,
        MATCH(RIGHT($A48, LEN($A48)-4), JunR!$A$1:$A1065, 0),
        MATCH($A$1, JunR!$A$6:N$6, 0)
      ),
    IF(valor = "-", "", valor)      
  ),
"")</f>
        <v/>
      </c>
      <c r="I48" s="16" t="str">
        <f t="array" ref="I48">IFERROR(
  LET(
    valor,
      INDEX(
        JulR!$A$1:$AT$48,
        MATCH(RIGHT($A48, LEN($A48)-4), JulR!$A$1:$A1065, 0),
        MATCH($A$1, JulR!$A$6:N$6, 0)
      ),
    IF(valor = "-", "", valor)      
  ),
"")</f>
        <v/>
      </c>
      <c r="J48" s="17" t="str">
        <f t="array" ref="J48">IFERROR(
  LET(
    valor,
      INDEX(
        AgoR!$A$1:$AT$60,
        MATCH(RIGHT($A48, LEN($A48)-4), AgoR!$A$1:$A1065, 0),
        MATCH($A$1, AgoR!$A$6:N$6, 0)
      ),
    IF(valor = "-", "", valor)      
  ),
"")</f>
        <v/>
      </c>
      <c r="K48" s="16" t="str">
        <f t="array" ref="K48">IFERROR(
  LET(
    valor,
      INDEX(
        SepR!$A$1:$AT$60,
        MATCH(RIGHT($A48, LEN($A48)-4), SepR!$A$1:$A1065, 0),
        MATCH($A$1, SepR!$A$6:N$6, 0)
      ),
    IF(valor = "-", "", valor)      
  ),
"")</f>
        <v/>
      </c>
      <c r="L48" s="17" t="str">
        <f t="array" ref="L48">IFERROR(
  LET(
    valor,
      INDEX(
        OctR!$A$1:$AT$60,
        MATCH(RIGHT($A48, LEN($A48)-4), OctR!$A$1:$A1065, 0),
        MATCH($A$1, OctR!$A$6:N$6, 0)
      ),
    IF(valor = "-", "", valor)      
  ),
"")</f>
        <v/>
      </c>
      <c r="M48" s="16" t="str">
        <f t="array" ref="M48">IFERROR(
  LET(
    valor,
      INDEX(
        NovR!$A$1:$AT$60,
        MATCH(RIGHT($A48, LEN($A48)-4), NovR!$A$1:$A1065, 0),
        MATCH($A$1, NovR!$A$6:N$6, 0)
      ),
    IF(valor = "-", "", valor)      
  ),
"")</f>
        <v/>
      </c>
      <c r="N48" s="17" t="str">
        <f t="array" ref="N48">IFERROR(
  LET(
    valor,
      INDEX(
        DicR!$A$1:$AT$60,
        MATCH(RIGHT($A48, LEN($A48)-4), DicR!$A$1:$A1065, 0),
        MATCH($A$1, DicR!$A$6:N$6, 0)
      ),
    IF(valor = "-", "", valor)      
  ),
"")</f>
        <v/>
      </c>
    </row>
    <row r="49" ht="15.75" hidden="1" customHeight="1">
      <c r="A49" s="6" t="str">
        <f>Menus!B42</f>
        <v/>
      </c>
      <c r="B49" s="15">
        <f t="shared" si="5"/>
        <v>0</v>
      </c>
      <c r="C49" s="16" t="str">
        <f t="array" ref="C49">IFERROR(
  LET(
    valor,
      INDEX(
        EneR!$A$1:$AT$48,
        MATCH(RIGHT($A49, LEN($A49)-4), EneR!$A$1:$A1065, 0),
        MATCH($A$1, EneR!$A$6:N$6, 0)
      ),
    IF(valor = "-", "", valor)      
  ),
"")</f>
        <v/>
      </c>
      <c r="D49" s="17" t="str">
        <f t="array" ref="D49">IFERROR(
  LET(
    valor,
      INDEX(
        FebR!$A$1:$AT$51,
        MATCH(RIGHT($A49, LEN($A49)-4), FebR!$A$1:$A1065, 0),
        MATCH($A$1, FebR!$A$6:N$6, 0)
      ),
    IF(valor = "-", "", valor)      
  ),
"")</f>
        <v/>
      </c>
      <c r="E49" s="16" t="str">
        <f t="array" ref="E49">IFERROR(
  LET(
    valor,
      INDEX(
        MarR!$A$1:$AT$48,
        MATCH(RIGHT($A49, LEN($A49)-4), MarR!$A$1:$A1065, 0),
        MATCH($A$1, MarR!$A$6:N$6, 0)
      ),
    IF(valor = "-", "", valor)      
  ),
"")</f>
        <v/>
      </c>
      <c r="F49" s="17" t="str">
        <f t="array" ref="F49">IFERROR(
  LET(
    valor,
      INDEX(
        AbrR!$A$1:$AT$48,
        MATCH(RIGHT($A49, LEN($A49)-4), AbrR!$A$1:$A1065, 0),
        MATCH($A$1, AbrR!$A$6:N$6, 0)
      ),
    IF(valor = "-", "", valor)      
  ),
"")</f>
        <v/>
      </c>
      <c r="G49" s="16" t="str">
        <f t="array" ref="G49">IFERROR(
  LET(
    valor,
      INDEX(
        MayR!$A$1:$AT$48,
        MATCH(RIGHT($A49, LEN($A49)-4), MayR!$A$1:$A1065, 0),
        MATCH($A$1, MayR!$A$6:N$6, 0)
      ),
    IF(valor = "-", "", valor)      
  ),
"")</f>
        <v/>
      </c>
      <c r="H49" s="17" t="str">
        <f t="array" ref="H49">IFERROR(
  LET(
    valor,
      INDEX(
        JunR!$A$1:$AT$48,
        MATCH(RIGHT($A49, LEN($A49)-4), JunR!$A$1:$A1065, 0),
        MATCH($A$1, JunR!$A$6:N$6, 0)
      ),
    IF(valor = "-", "", valor)      
  ),
"")</f>
        <v/>
      </c>
      <c r="I49" s="16" t="str">
        <f t="array" ref="I49">IFERROR(
  LET(
    valor,
      INDEX(
        JulR!$A$1:$AT$48,
        MATCH(RIGHT($A49, LEN($A49)-4), JulR!$A$1:$A1065, 0),
        MATCH($A$1, JulR!$A$6:N$6, 0)
      ),
    IF(valor = "-", "", valor)      
  ),
"")</f>
        <v/>
      </c>
      <c r="J49" s="17" t="str">
        <f t="array" ref="J49">IFERROR(
  LET(
    valor,
      INDEX(
        AgoR!$A$1:$AT$60,
        MATCH(RIGHT($A49, LEN($A49)-4), AgoR!$A$1:$A1065, 0),
        MATCH($A$1, AgoR!$A$6:N$6, 0)
      ),
    IF(valor = "-", "", valor)      
  ),
"")</f>
        <v/>
      </c>
      <c r="K49" s="16" t="str">
        <f t="array" ref="K49">IFERROR(
  LET(
    valor,
      INDEX(
        SepR!$A$1:$AT$60,
        MATCH(RIGHT($A49, LEN($A49)-4), SepR!$A$1:$A1065, 0),
        MATCH($A$1, SepR!$A$6:N$6, 0)
      ),
    IF(valor = "-", "", valor)      
  ),
"")</f>
        <v/>
      </c>
      <c r="L49" s="17" t="str">
        <f t="array" ref="L49">IFERROR(
  LET(
    valor,
      INDEX(
        OctR!$A$1:$AT$60,
        MATCH(RIGHT($A49, LEN($A49)-4), OctR!$A$1:$A1065, 0),
        MATCH($A$1, OctR!$A$6:N$6, 0)
      ),
    IF(valor = "-", "", valor)      
  ),
"")</f>
        <v/>
      </c>
      <c r="M49" s="16" t="str">
        <f t="array" ref="M49">IFERROR(
  LET(
    valor,
      INDEX(
        NovR!$A$1:$AT$60,
        MATCH(RIGHT($A49, LEN($A49)-4), NovR!$A$1:$A1065, 0),
        MATCH($A$1, NovR!$A$6:N$6, 0)
      ),
    IF(valor = "-", "", valor)      
  ),
"")</f>
        <v/>
      </c>
      <c r="N49" s="17" t="str">
        <f t="array" ref="N49">IFERROR(
  LET(
    valor,
      INDEX(
        DicR!$A$1:$AT$60,
        MATCH(RIGHT($A49, LEN($A49)-4), DicR!$A$1:$A1065, 0),
        MATCH($A$1, DicR!$A$6:N$6, 0)
      ),
    IF(valor = "-", "", valor)      
  ),
"")</f>
        <v/>
      </c>
    </row>
    <row r="50" ht="9.0" customHeight="1">
      <c r="A50" s="1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19" t="s">
        <v>19</v>
      </c>
      <c r="B51" s="12">
        <f t="shared" ref="B51:N51" si="6">SUM(B52:B54)</f>
        <v>0</v>
      </c>
      <c r="C51" s="13">
        <f t="shared" si="6"/>
        <v>0</v>
      </c>
      <c r="D51" s="14">
        <f t="shared" si="6"/>
        <v>0</v>
      </c>
      <c r="E51" s="13">
        <f t="shared" si="6"/>
        <v>0</v>
      </c>
      <c r="F51" s="14">
        <f t="shared" si="6"/>
        <v>0</v>
      </c>
      <c r="G51" s="13">
        <f t="shared" si="6"/>
        <v>0</v>
      </c>
      <c r="H51" s="14">
        <f t="shared" si="6"/>
        <v>0</v>
      </c>
      <c r="I51" s="13">
        <f t="shared" si="6"/>
        <v>0</v>
      </c>
      <c r="J51" s="14">
        <f t="shared" si="6"/>
        <v>0</v>
      </c>
      <c r="K51" s="13">
        <f t="shared" si="6"/>
        <v>0</v>
      </c>
      <c r="L51" s="14">
        <f t="shared" si="6"/>
        <v>0</v>
      </c>
      <c r="M51" s="13">
        <f t="shared" si="6"/>
        <v>0</v>
      </c>
      <c r="N51" s="14">
        <f t="shared" si="6"/>
        <v>0</v>
      </c>
    </row>
    <row r="52" ht="15.75" customHeight="1">
      <c r="A52" s="6" t="str">
        <f>Menus!Q2</f>
        <v/>
      </c>
      <c r="B52" s="15">
        <f t="shared" ref="B52:B54" si="7">C52+D52+E52+F52+G52+H52+I52+J52+K52+L52+M52+N52</f>
        <v>0</v>
      </c>
      <c r="C52" s="16">
        <f>SUMIFS(OtrosR!$E$3:$E1065,OtrosR!$C$3:$C1065,$A52,OtrosR!$B$3:$B1065,$A$1)</f>
        <v>0</v>
      </c>
      <c r="D52" s="17">
        <f>SUMIFS(OtrosR!$F$3:$F1065,OtrosR!$C$3:$C1065,$A52,OtrosR!$B$3:$B1065,$A$1)</f>
        <v>0</v>
      </c>
      <c r="E52" s="16">
        <f>SUMIFS(OtrosR!$G$3:$G1065,OtrosR!$C$3:$C1065,$A52,OtrosR!$B$3:$B1065,$A$1)</f>
        <v>0</v>
      </c>
      <c r="F52" s="17">
        <f>SUMIFS(OtrosR!$H$3:$H1065,OtrosR!$C$3:$C1065,$A52,OtrosR!$B$3:$B1065,$A$1)</f>
        <v>0</v>
      </c>
      <c r="G52" s="16">
        <f>SUMIFS(OtrosR!$I$3:$I1065,OtrosR!$C$3:$C1065,$A52,OtrosR!$B$3:$B1065,$A$1)</f>
        <v>0</v>
      </c>
      <c r="H52" s="17">
        <f>SUMIFS(OtrosR!$J$3:$J1065,OtrosR!$C$3:$C1065,$A52,OtrosR!$B$3:$B1065,$A$1)</f>
        <v>0</v>
      </c>
      <c r="I52" s="16">
        <f>SUMIFS(OtrosR!$K$3:$K1065,OtrosR!$C$3:$C1065,$A52,OtrosR!$B$3:$B1065,$A$1)</f>
        <v>0</v>
      </c>
      <c r="J52" s="17">
        <f>SUMIFS(OtrosR!$L$3:$L1065,OtrosR!$C$3:$C1065,$A52,OtrosR!$B$3:$B1065,$A$1)</f>
        <v>0</v>
      </c>
      <c r="K52" s="16">
        <f>SUMIFS(OtrosR!$M$3:$M1065,OtrosR!$C$3:$C1065,$A52,OtrosR!$B$3:$B1065,$A$1)</f>
        <v>0</v>
      </c>
      <c r="L52" s="17">
        <f>SUMIFS(OtrosR!$N$3:$N1065,OtrosR!$C$3:$C1065,$A52,OtrosR!$B$3:$B1065,$A$1)</f>
        <v>0</v>
      </c>
      <c r="M52" s="16">
        <f>SUMIFS(OtrosR!$O$3:$O1065,OtrosR!$C$3:$C1065,$A52,OtrosR!$B$3:$B1065,$A$1)</f>
        <v>0</v>
      </c>
      <c r="N52" s="17">
        <f>SUMIFS(OtrosR!$P$3:$P1065,OtrosR!$C$3:$C1065,$A52,OtrosR!$B$3:$B1065,$A$1)</f>
        <v>0</v>
      </c>
    </row>
    <row r="53" ht="15.75" hidden="1" customHeight="1">
      <c r="B53" s="15">
        <f t="shared" si="7"/>
        <v>0</v>
      </c>
      <c r="C53" s="16">
        <f>SUMIFS(OtrosR!$E$3:$E1065,OtrosR!$C$3:$C1065,$A53,OtrosR!$B$3:$B1065,$A$1)</f>
        <v>0</v>
      </c>
      <c r="D53" s="17">
        <f>SUMIFS(OtrosR!$F$3:$F1065,OtrosR!$C$3:$C1065,$A53,OtrosR!$B$3:$B1065,$A$1)</f>
        <v>0</v>
      </c>
      <c r="E53" s="16">
        <f>SUMIFS(OtrosR!$G$3:$G1065,OtrosR!$C$3:$C1065,$A53,OtrosR!$B$3:$B1065,$A$1)</f>
        <v>0</v>
      </c>
      <c r="F53" s="17">
        <f>SUMIFS(OtrosR!$H$3:$H1065,OtrosR!$C$3:$C1065,$A53,OtrosR!$B$3:$B1065,$A$1)</f>
        <v>0</v>
      </c>
      <c r="G53" s="16">
        <f>SUMIFS(OtrosR!$I$3:$I1065,OtrosR!$C$3:$C1065,$A53,OtrosR!$B$3:$B1065,$A$1)</f>
        <v>0</v>
      </c>
      <c r="H53" s="17">
        <f>SUMIFS(OtrosR!$J$3:$J1065,OtrosR!$C$3:$C1065,$A53,OtrosR!$B$3:$B1065,$A$1)</f>
        <v>0</v>
      </c>
      <c r="I53" s="16">
        <f>SUMIFS(OtrosR!$K$3:$K1065,OtrosR!$C$3:$C1065,$A53,OtrosR!$B$3:$B1065,$A$1)</f>
        <v>0</v>
      </c>
      <c r="J53" s="17">
        <f>SUMIFS(OtrosR!$L$3:$L1065,OtrosR!$C$3:$C1065,$A53,OtrosR!$B$3:$B1065,$A$1)</f>
        <v>0</v>
      </c>
      <c r="K53" s="16">
        <f>SUMIFS(OtrosR!$M$3:$M1065,OtrosR!$C$3:$C1065,$A53,OtrosR!$B$3:$B1065,$A$1)</f>
        <v>0</v>
      </c>
      <c r="L53" s="17">
        <f>SUMIFS(OtrosR!$N$3:$N1065,OtrosR!$C$3:$C1065,$A53,OtrosR!$B$3:$B1065,$A$1)</f>
        <v>0</v>
      </c>
      <c r="M53" s="16">
        <f>SUMIFS(OtrosR!$O$3:$O1065,OtrosR!$C$3:$C1065,$A53,OtrosR!$B$3:$B1065,$A$1)</f>
        <v>0</v>
      </c>
      <c r="N53" s="17">
        <f>SUMIFS(OtrosR!$P$3:$P1065,OtrosR!$C$3:$C1065,$A53,OtrosR!$B$3:$B1065,$A$1)</f>
        <v>0</v>
      </c>
    </row>
    <row r="54" ht="15.75" hidden="1" customHeight="1">
      <c r="B54" s="15">
        <f t="shared" si="7"/>
        <v>0</v>
      </c>
      <c r="C54" s="16">
        <f>SUMIFS(OtrosR!$E$3:$E1065,OtrosR!$C$3:$C1065,$A54,OtrosR!$B$3:$B1065,$A$1)</f>
        <v>0</v>
      </c>
      <c r="D54" s="17">
        <f>SUMIFS(OtrosR!$F$3:$F1065,OtrosR!$C$3:$C1065,$A54,OtrosR!$B$3:$B1065,$A$1)</f>
        <v>0</v>
      </c>
      <c r="E54" s="16">
        <f>SUMIFS(OtrosR!$G$3:$G1065,OtrosR!$C$3:$C1065,$A54,OtrosR!$B$3:$B1065,$A$1)</f>
        <v>0</v>
      </c>
      <c r="F54" s="17">
        <f>SUMIFS(OtrosR!$H$3:$H1065,OtrosR!$C$3:$C1065,$A54,OtrosR!$B$3:$B1065,$A$1)</f>
        <v>0</v>
      </c>
      <c r="G54" s="16">
        <f>SUMIFS(OtrosR!$I$3:$I1065,OtrosR!$C$3:$C1065,$A54,OtrosR!$B$3:$B1065,$A$1)</f>
        <v>0</v>
      </c>
      <c r="H54" s="17">
        <f>SUMIFS(OtrosR!$J$3:$J1065,OtrosR!$C$3:$C1065,$A54,OtrosR!$B$3:$B1065,$A$1)</f>
        <v>0</v>
      </c>
      <c r="I54" s="16">
        <f>SUMIFS(OtrosR!$K$3:$K1065,OtrosR!$C$3:$C1065,$A54,OtrosR!$B$3:$B1065,$A$1)</f>
        <v>0</v>
      </c>
      <c r="J54" s="17">
        <f>SUMIFS(OtrosR!$L$3:$L1065,OtrosR!$C$3:$C1065,$A54,OtrosR!$B$3:$B1065,$A$1)</f>
        <v>0</v>
      </c>
      <c r="K54" s="16">
        <f>SUMIFS(OtrosR!$M$3:$M1065,OtrosR!$C$3:$C1065,$A54,OtrosR!$B$3:$B1065,$A$1)</f>
        <v>0</v>
      </c>
      <c r="L54" s="17">
        <f>SUMIFS(OtrosR!$N$3:$N1065,OtrosR!$C$3:$C1065,$A54,OtrosR!$B$3:$B1065,$A$1)</f>
        <v>0</v>
      </c>
      <c r="M54" s="16">
        <f>SUMIFS(OtrosR!$O$3:$O1065,OtrosR!$C$3:$C1065,$A54,OtrosR!$B$3:$B1065,$A$1)</f>
        <v>0</v>
      </c>
      <c r="N54" s="17">
        <f>SUMIFS(OtrosR!$P$3:$P1065,OtrosR!$C$3:$C1065,$A54,OtrosR!$B$3:$B1065,$A$1)</f>
        <v>0</v>
      </c>
    </row>
    <row r="55" ht="9.0" customHeight="1">
      <c r="A55" s="1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19" t="s">
        <v>20</v>
      </c>
      <c r="B56" s="12">
        <f t="shared" ref="B56:N56" si="8">SUM(B57:B65)</f>
        <v>0</v>
      </c>
      <c r="C56" s="13">
        <f t="shared" si="8"/>
        <v>0</v>
      </c>
      <c r="D56" s="14">
        <f t="shared" si="8"/>
        <v>0</v>
      </c>
      <c r="E56" s="13">
        <f t="shared" si="8"/>
        <v>0</v>
      </c>
      <c r="F56" s="14">
        <f t="shared" si="8"/>
        <v>0</v>
      </c>
      <c r="G56" s="13">
        <f t="shared" si="8"/>
        <v>0</v>
      </c>
      <c r="H56" s="14">
        <f t="shared" si="8"/>
        <v>0</v>
      </c>
      <c r="I56" s="13">
        <f t="shared" si="8"/>
        <v>0</v>
      </c>
      <c r="J56" s="14">
        <f t="shared" si="8"/>
        <v>0</v>
      </c>
      <c r="K56" s="13">
        <f t="shared" si="8"/>
        <v>0</v>
      </c>
      <c r="L56" s="14">
        <f t="shared" si="8"/>
        <v>0</v>
      </c>
      <c r="M56" s="13">
        <f t="shared" si="8"/>
        <v>0</v>
      </c>
      <c r="N56" s="14">
        <f t="shared" si="8"/>
        <v>0</v>
      </c>
    </row>
    <row r="57" ht="15.75" customHeight="1">
      <c r="A57" s="6" t="str">
        <f>Menus!Q3</f>
        <v/>
      </c>
      <c r="B57" s="15">
        <f t="shared" ref="B57:B65" si="9">C57+D57+E57+F57+G57+H57+I57+J57+K57+L57+M57+N57</f>
        <v>0</v>
      </c>
      <c r="C57" s="16">
        <f>SUMIFS(OtrosR!$E$3:$E1065,OtrosR!$C$3:$C1065,$A57,OtrosR!$B$3:$B1065,$A$1)</f>
        <v>0</v>
      </c>
      <c r="D57" s="17">
        <f>SUMIFS(OtrosR!$F$3:$F1065,OtrosR!$C$3:$C1065,$A57,OtrosR!$B$3:$B1065,$A$1)</f>
        <v>0</v>
      </c>
      <c r="E57" s="16">
        <f>SUMIFS(OtrosR!$G$3:$G1065,OtrosR!$C$3:$C1065,$A57,OtrosR!$B$3:$B1065,$A$1)</f>
        <v>0</v>
      </c>
      <c r="F57" s="17">
        <f>SUMIFS(OtrosR!$H$3:$H1065,OtrosR!$C$3:$C1065,$A57,OtrosR!$B$3:$B1065,$A$1)</f>
        <v>0</v>
      </c>
      <c r="G57" s="16">
        <f>SUMIFS(OtrosR!$I$3:$I1065,OtrosR!$C$3:$C1065,$A57,OtrosR!$B$3:$B1065,$A$1)</f>
        <v>0</v>
      </c>
      <c r="H57" s="17">
        <f>SUMIFS(OtrosR!$J$3:$J1065,OtrosR!$C$3:$C1065,$A57,OtrosR!$B$3:$B1065,$A$1)</f>
        <v>0</v>
      </c>
      <c r="I57" s="16">
        <f>SUMIFS(OtrosR!$K$3:$K1065,OtrosR!$C$3:$C1065,$A57,OtrosR!$B$3:$B1065,$A$1)</f>
        <v>0</v>
      </c>
      <c r="J57" s="17">
        <f>SUMIFS(OtrosR!$L$3:$L1065,OtrosR!$C$3:$C1065,$A57,OtrosR!$B$3:$B1065,$A$1)</f>
        <v>0</v>
      </c>
      <c r="K57" s="16">
        <f>SUMIFS(OtrosR!$M$3:$M1065,OtrosR!$C$3:$C1065,$A57,OtrosR!$B$3:$B1065,$A$1)</f>
        <v>0</v>
      </c>
      <c r="L57" s="17">
        <f>SUMIFS(OtrosR!$N$3:$N1065,OtrosR!$C$3:$C1065,$A57,OtrosR!$B$3:$B1065,$A$1)</f>
        <v>0</v>
      </c>
      <c r="M57" s="16">
        <f>SUMIFS(OtrosR!$O$3:$O1065,OtrosR!$C$3:$C1065,$A57,OtrosR!$B$3:$B1065,$A$1)</f>
        <v>0</v>
      </c>
      <c r="N57" s="17">
        <f>SUMIFS(OtrosR!$P$3:$P1065,OtrosR!$C$3:$C1065,$A57,OtrosR!$B$3:$B1065,$A$1)</f>
        <v>0</v>
      </c>
    </row>
    <row r="58" ht="15.75" customHeight="1">
      <c r="A58" s="6" t="str">
        <f>Menus!Q4</f>
        <v/>
      </c>
      <c r="B58" s="15">
        <f t="shared" si="9"/>
        <v>0</v>
      </c>
      <c r="C58" s="16">
        <f>SUMIFS(OtrosR!$E$3:$E1065,OtrosR!$C$3:$C1065,$A58,OtrosR!$B$3:$B1065,$A$1)</f>
        <v>0</v>
      </c>
      <c r="D58" s="17">
        <f>SUMIFS(OtrosR!$F$3:$F1065,OtrosR!$C$3:$C1065,$A58,OtrosR!$B$3:$B1065,$A$1)</f>
        <v>0</v>
      </c>
      <c r="E58" s="16">
        <f>SUMIFS(OtrosR!$G$3:$G1065,OtrosR!$C$3:$C1065,$A58,OtrosR!$B$3:$B1065,$A$1)</f>
        <v>0</v>
      </c>
      <c r="F58" s="17">
        <f>SUMIFS(OtrosR!$H$3:$H1065,OtrosR!$C$3:$C1065,$A58,OtrosR!$B$3:$B1065,$A$1)</f>
        <v>0</v>
      </c>
      <c r="G58" s="16">
        <f>SUMIFS(OtrosR!$I$3:$I1065,OtrosR!$C$3:$C1065,$A58,OtrosR!$B$3:$B1065,$A$1)</f>
        <v>0</v>
      </c>
      <c r="H58" s="17">
        <f>SUMIFS(OtrosR!$J$3:$J1065,OtrosR!$C$3:$C1065,$A58,OtrosR!$B$3:$B1065,$A$1)</f>
        <v>0</v>
      </c>
      <c r="I58" s="16">
        <f>SUMIFS(OtrosR!$K$3:$K1065,OtrosR!$C$3:$C1065,$A58,OtrosR!$B$3:$B1065,$A$1)</f>
        <v>0</v>
      </c>
      <c r="J58" s="17">
        <f>SUMIFS(OtrosR!$L$3:$L1065,OtrosR!$C$3:$C1065,$A58,OtrosR!$B$3:$B1065,$A$1)</f>
        <v>0</v>
      </c>
      <c r="K58" s="16">
        <f>SUMIFS(OtrosR!$M$3:$M1065,OtrosR!$C$3:$C1065,$A58,OtrosR!$B$3:$B1065,$A$1)</f>
        <v>0</v>
      </c>
      <c r="L58" s="17">
        <f>SUMIFS(OtrosR!$N$3:$N1065,OtrosR!$C$3:$C1065,$A58,OtrosR!$B$3:$B1065,$A$1)</f>
        <v>0</v>
      </c>
      <c r="M58" s="16">
        <f>SUMIFS(OtrosR!$O$3:$O1065,OtrosR!$C$3:$C1065,$A58,OtrosR!$B$3:$B1065,$A$1)</f>
        <v>0</v>
      </c>
      <c r="N58" s="17">
        <f>SUMIFS(OtrosR!$P$3:$P1065,OtrosR!$C$3:$C1065,$A58,OtrosR!$B$3:$B1065,$A$1)</f>
        <v>0</v>
      </c>
    </row>
    <row r="59" ht="15.75" customHeight="1">
      <c r="A59" s="6" t="str">
        <f>Menus!Q5</f>
        <v/>
      </c>
      <c r="B59" s="15">
        <f t="shared" si="9"/>
        <v>0</v>
      </c>
      <c r="C59" s="16">
        <f>SUMIFS(OtrosR!$E$3:$E1065,OtrosR!$C$3:$C1065,$A59,OtrosR!$B$3:$B1065,$A$1)</f>
        <v>0</v>
      </c>
      <c r="D59" s="17">
        <f>SUMIFS(OtrosR!$F$3:$F1065,OtrosR!$C$3:$C1065,$A59,OtrosR!$B$3:$B1065,$A$1)</f>
        <v>0</v>
      </c>
      <c r="E59" s="16">
        <f>SUMIFS(OtrosR!$G$3:$G1065,OtrosR!$C$3:$C1065,$A59,OtrosR!$B$3:$B1065,$A$1)</f>
        <v>0</v>
      </c>
      <c r="F59" s="17">
        <f>SUMIFS(OtrosR!$H$3:$H1065,OtrosR!$C$3:$C1065,$A59,OtrosR!$B$3:$B1065,$A$1)</f>
        <v>0</v>
      </c>
      <c r="G59" s="16">
        <f>SUMIFS(OtrosR!$I$3:$I1065,OtrosR!$C$3:$C1065,$A59,OtrosR!$B$3:$B1065,$A$1)</f>
        <v>0</v>
      </c>
      <c r="H59" s="17">
        <f>SUMIFS(OtrosR!$J$3:$J1065,OtrosR!$C$3:$C1065,$A59,OtrosR!$B$3:$B1065,$A$1)</f>
        <v>0</v>
      </c>
      <c r="I59" s="16">
        <f>SUMIFS(OtrosR!$K$3:$K1065,OtrosR!$C$3:$C1065,$A59,OtrosR!$B$3:$B1065,$A$1)</f>
        <v>0</v>
      </c>
      <c r="J59" s="17">
        <f>SUMIFS(OtrosR!$L$3:$L1065,OtrosR!$C$3:$C1065,$A59,OtrosR!$B$3:$B1065,$A$1)</f>
        <v>0</v>
      </c>
      <c r="K59" s="16">
        <f>SUMIFS(OtrosR!$M$3:$M1065,OtrosR!$C$3:$C1065,$A59,OtrosR!$B$3:$B1065,$A$1)</f>
        <v>0</v>
      </c>
      <c r="L59" s="17">
        <f>SUMIFS(OtrosR!$N$3:$N1065,OtrosR!$C$3:$C1065,$A59,OtrosR!$B$3:$B1065,$A$1)</f>
        <v>0</v>
      </c>
      <c r="M59" s="16">
        <f>SUMIFS(OtrosR!$O$3:$O1065,OtrosR!$C$3:$C1065,$A59,OtrosR!$B$3:$B1065,$A$1)</f>
        <v>0</v>
      </c>
      <c r="N59" s="17">
        <f>SUMIFS(OtrosR!$P$3:$P1065,OtrosR!$C$3:$C1065,$A59,OtrosR!$B$3:$B1065,$A$1)</f>
        <v>0</v>
      </c>
    </row>
    <row r="60" ht="15.75" customHeight="1">
      <c r="A60" s="6" t="str">
        <f>Menus!Q6</f>
        <v/>
      </c>
      <c r="B60" s="15">
        <f t="shared" si="9"/>
        <v>0</v>
      </c>
      <c r="C60" s="16">
        <f>SUMIFS(OtrosR!$E$3:$E1065,OtrosR!$C$3:$C1065,$A60,OtrosR!$B$3:$B1065,$A$1)</f>
        <v>0</v>
      </c>
      <c r="D60" s="17">
        <f>SUMIFS(OtrosR!$F$3:$F1065,OtrosR!$C$3:$C1065,$A60,OtrosR!$B$3:$B1065,$A$1)</f>
        <v>0</v>
      </c>
      <c r="E60" s="16">
        <f>SUMIFS(OtrosR!$G$3:$G1065,OtrosR!$C$3:$C1065,$A60,OtrosR!$B$3:$B1065,$A$1)</f>
        <v>0</v>
      </c>
      <c r="F60" s="17">
        <f>SUMIFS(OtrosR!$H$3:$H1065,OtrosR!$C$3:$C1065,$A60,OtrosR!$B$3:$B1065,$A$1)</f>
        <v>0</v>
      </c>
      <c r="G60" s="16">
        <f>SUMIFS(OtrosR!$I$3:$I1065,OtrosR!$C$3:$C1065,$A60,OtrosR!$B$3:$B1065,$A$1)</f>
        <v>0</v>
      </c>
      <c r="H60" s="17">
        <f>SUMIFS(OtrosR!$J$3:$J1065,OtrosR!$C$3:$C1065,$A60,OtrosR!$B$3:$B1065,$A$1)</f>
        <v>0</v>
      </c>
      <c r="I60" s="16">
        <f>SUMIFS(OtrosR!$K$3:$K1065,OtrosR!$C$3:$C1065,$A60,OtrosR!$B$3:$B1065,$A$1)</f>
        <v>0</v>
      </c>
      <c r="J60" s="17">
        <f>SUMIFS(OtrosR!$L$3:$L1065,OtrosR!$C$3:$C1065,$A60,OtrosR!$B$3:$B1065,$A$1)</f>
        <v>0</v>
      </c>
      <c r="K60" s="16">
        <f>SUMIFS(OtrosR!$M$3:$M1065,OtrosR!$C$3:$C1065,$A60,OtrosR!$B$3:$B1065,$A$1)</f>
        <v>0</v>
      </c>
      <c r="L60" s="17">
        <f>SUMIFS(OtrosR!$N$3:$N1065,OtrosR!$C$3:$C1065,$A60,OtrosR!$B$3:$B1065,$A$1)</f>
        <v>0</v>
      </c>
      <c r="M60" s="16">
        <f>SUMIFS(OtrosR!$O$3:$O1065,OtrosR!$C$3:$C1065,$A60,OtrosR!$B$3:$B1065,$A$1)</f>
        <v>0</v>
      </c>
      <c r="N60" s="17">
        <f>SUMIFS(OtrosR!$P$3:$P1065,OtrosR!$C$3:$C1065,$A60,OtrosR!$B$3:$B1065,$A$1)</f>
        <v>0</v>
      </c>
    </row>
    <row r="61" ht="15.75" customHeight="1">
      <c r="A61" s="6" t="str">
        <f>Menus!Q7</f>
        <v/>
      </c>
      <c r="B61" s="15">
        <f t="shared" si="9"/>
        <v>0</v>
      </c>
      <c r="C61" s="16">
        <f>SUMIFS(OtrosR!$E$3:$E1065,OtrosR!$C$3:$C1065,$A61,OtrosR!$B$3:$B1065,$A$1)</f>
        <v>0</v>
      </c>
      <c r="D61" s="17">
        <f>SUMIFS(OtrosR!$F$3:$F1065,OtrosR!$C$3:$C1065,$A61,OtrosR!$B$3:$B1065,$A$1)</f>
        <v>0</v>
      </c>
      <c r="E61" s="16">
        <f>SUMIFS(OtrosR!$G$3:$G1065,OtrosR!$C$3:$C1065,$A61,OtrosR!$B$3:$B1065,$A$1)</f>
        <v>0</v>
      </c>
      <c r="F61" s="17">
        <f>SUMIFS(OtrosR!$H$3:$H1065,OtrosR!$C$3:$C1065,$A61,OtrosR!$B$3:$B1065,$A$1)</f>
        <v>0</v>
      </c>
      <c r="G61" s="16">
        <f>SUMIFS(OtrosR!$I$3:$I1065,OtrosR!$C$3:$C1065,$A61,OtrosR!$B$3:$B1065,$A$1)</f>
        <v>0</v>
      </c>
      <c r="H61" s="17">
        <f>SUMIFS(OtrosR!$J$3:$J1065,OtrosR!$C$3:$C1065,$A61,OtrosR!$B$3:$B1065,$A$1)</f>
        <v>0</v>
      </c>
      <c r="I61" s="16">
        <f>SUMIFS(OtrosR!$K$3:$K1065,OtrosR!$C$3:$C1065,$A61,OtrosR!$B$3:$B1065,$A$1)</f>
        <v>0</v>
      </c>
      <c r="J61" s="17">
        <f>SUMIFS(OtrosR!$L$3:$L1065,OtrosR!$C$3:$C1065,$A61,OtrosR!$B$3:$B1065,$A$1)</f>
        <v>0</v>
      </c>
      <c r="K61" s="16">
        <f>SUMIFS(OtrosR!$M$3:$M1065,OtrosR!$C$3:$C1065,$A61,OtrosR!$B$3:$B1065,$A$1)</f>
        <v>0</v>
      </c>
      <c r="L61" s="17">
        <f>SUMIFS(OtrosR!$N$3:$N1065,OtrosR!$C$3:$C1065,$A61,OtrosR!$B$3:$B1065,$A$1)</f>
        <v>0</v>
      </c>
      <c r="M61" s="16">
        <f>SUMIFS(OtrosR!$O$3:$O1065,OtrosR!$C$3:$C1065,$A61,OtrosR!$B$3:$B1065,$A$1)</f>
        <v>0</v>
      </c>
      <c r="N61" s="17">
        <f>SUMIFS(OtrosR!$P$3:$P1065,OtrosR!$C$3:$C1065,$A61,OtrosR!$B$3:$B1065,$A$1)</f>
        <v>0</v>
      </c>
    </row>
    <row r="62" ht="15.75" customHeight="1">
      <c r="A62" s="6" t="str">
        <f>Menus!Q8</f>
        <v/>
      </c>
      <c r="B62" s="15">
        <f t="shared" si="9"/>
        <v>0</v>
      </c>
      <c r="C62" s="16">
        <f>SUMIFS(OtrosR!$E$3:$E1065,OtrosR!$C$3:$C1065,$A62,OtrosR!$B$3:$B1065,$A$1)</f>
        <v>0</v>
      </c>
      <c r="D62" s="17">
        <f>SUMIFS(OtrosR!$F$3:$F1065,OtrosR!$C$3:$C1065,$A62,OtrosR!$B$3:$B1065,$A$1)</f>
        <v>0</v>
      </c>
      <c r="E62" s="16">
        <f>SUMIFS(OtrosR!$G$3:$G1065,OtrosR!$C$3:$C1065,$A62,OtrosR!$B$3:$B1065,$A$1)</f>
        <v>0</v>
      </c>
      <c r="F62" s="17">
        <f>SUMIFS(OtrosR!$H$3:$H1065,OtrosR!$C$3:$C1065,$A62,OtrosR!$B$3:$B1065,$A$1)</f>
        <v>0</v>
      </c>
      <c r="G62" s="16">
        <f>SUMIFS(OtrosR!$I$3:$I1065,OtrosR!$C$3:$C1065,$A62,OtrosR!$B$3:$B1065,$A$1)</f>
        <v>0</v>
      </c>
      <c r="H62" s="17">
        <f>SUMIFS(OtrosR!$J$3:$J1065,OtrosR!$C$3:$C1065,$A62,OtrosR!$B$3:$B1065,$A$1)</f>
        <v>0</v>
      </c>
      <c r="I62" s="16">
        <f>SUMIFS(OtrosR!$K$3:$K1065,OtrosR!$C$3:$C1065,$A62,OtrosR!$B$3:$B1065,$A$1)</f>
        <v>0</v>
      </c>
      <c r="J62" s="17">
        <f>SUMIFS(OtrosR!$L$3:$L1065,OtrosR!$C$3:$C1065,$A62,OtrosR!$B$3:$B1065,$A$1)</f>
        <v>0</v>
      </c>
      <c r="K62" s="16">
        <f>SUMIFS(OtrosR!$M$3:$M1065,OtrosR!$C$3:$C1065,$A62,OtrosR!$B$3:$B1065,$A$1)</f>
        <v>0</v>
      </c>
      <c r="L62" s="17">
        <f>SUMIFS(OtrosR!$N$3:$N1065,OtrosR!$C$3:$C1065,$A62,OtrosR!$B$3:$B1065,$A$1)</f>
        <v>0</v>
      </c>
      <c r="M62" s="16">
        <f>SUMIFS(OtrosR!$O$3:$O1065,OtrosR!$C$3:$C1065,$A62,OtrosR!$B$3:$B1065,$A$1)</f>
        <v>0</v>
      </c>
      <c r="N62" s="17">
        <f>SUMIFS(OtrosR!$P$3:$P1065,OtrosR!$C$3:$C1065,$A62,OtrosR!$B$3:$B1065,$A$1)</f>
        <v>0</v>
      </c>
    </row>
    <row r="63" ht="15.75" customHeight="1">
      <c r="A63" s="6" t="str">
        <f>Menus!Q9</f>
        <v/>
      </c>
      <c r="B63" s="15">
        <f t="shared" si="9"/>
        <v>0</v>
      </c>
      <c r="C63" s="16">
        <f>SUMIFS(OtrosR!$E$3:$E1065,OtrosR!$C$3:$C1065,$A63,OtrosR!$B$3:$B1065,$A$1)</f>
        <v>0</v>
      </c>
      <c r="D63" s="17">
        <f>SUMIFS(OtrosR!$F$3:$F1065,OtrosR!$C$3:$C1065,$A63,OtrosR!$B$3:$B1065,$A$1)</f>
        <v>0</v>
      </c>
      <c r="E63" s="16">
        <f>SUMIFS(OtrosR!$G$3:$G1065,OtrosR!$C$3:$C1065,$A63,OtrosR!$B$3:$B1065,$A$1)</f>
        <v>0</v>
      </c>
      <c r="F63" s="17">
        <f>SUMIFS(OtrosR!$H$3:$H1065,OtrosR!$C$3:$C1065,$A63,OtrosR!$B$3:$B1065,$A$1)</f>
        <v>0</v>
      </c>
      <c r="G63" s="16">
        <f>SUMIFS(OtrosR!$I$3:$I1065,OtrosR!$C$3:$C1065,$A63,OtrosR!$B$3:$B1065,$A$1)</f>
        <v>0</v>
      </c>
      <c r="H63" s="17">
        <f>SUMIFS(OtrosR!$J$3:$J1065,OtrosR!$C$3:$C1065,$A63,OtrosR!$B$3:$B1065,$A$1)</f>
        <v>0</v>
      </c>
      <c r="I63" s="16">
        <f>SUMIFS(OtrosR!$K$3:$K1065,OtrosR!$C$3:$C1065,$A63,OtrosR!$B$3:$B1065,$A$1)</f>
        <v>0</v>
      </c>
      <c r="J63" s="17">
        <f>SUMIFS(OtrosR!$L$3:$L1065,OtrosR!$C$3:$C1065,$A63,OtrosR!$B$3:$B1065,$A$1)</f>
        <v>0</v>
      </c>
      <c r="K63" s="16">
        <f>SUMIFS(OtrosR!$M$3:$M1065,OtrosR!$C$3:$C1065,$A63,OtrosR!$B$3:$B1065,$A$1)</f>
        <v>0</v>
      </c>
      <c r="L63" s="17">
        <f>SUMIFS(OtrosR!$N$3:$N1065,OtrosR!$C$3:$C1065,$A63,OtrosR!$B$3:$B1065,$A$1)</f>
        <v>0</v>
      </c>
      <c r="M63" s="16">
        <f>SUMIFS(OtrosR!$O$3:$O1065,OtrosR!$C$3:$C1065,$A63,OtrosR!$B$3:$B1065,$A$1)</f>
        <v>0</v>
      </c>
      <c r="N63" s="17">
        <f>SUMIFS(OtrosR!$P$3:$P1065,OtrosR!$C$3:$C1065,$A63,OtrosR!$B$3:$B1065,$A$1)</f>
        <v>0</v>
      </c>
    </row>
    <row r="64" ht="15.75" customHeight="1">
      <c r="A64" s="6" t="str">
        <f>Menus!Q10</f>
        <v/>
      </c>
      <c r="B64" s="15">
        <f t="shared" si="9"/>
        <v>0</v>
      </c>
      <c r="C64" s="16">
        <f>SUMIFS(OtrosR!$E$3:$E1065,OtrosR!$C$3:$C1065,$A64,OtrosR!$B$3:$B1065,$A$1)</f>
        <v>0</v>
      </c>
      <c r="D64" s="17">
        <f>SUMIFS(OtrosR!$F$3:$F1065,OtrosR!$C$3:$C1065,$A64,OtrosR!$B$3:$B1065,$A$1)</f>
        <v>0</v>
      </c>
      <c r="E64" s="16">
        <f>SUMIFS(OtrosR!$G$3:$G1065,OtrosR!$C$3:$C1065,$A64,OtrosR!$B$3:$B1065,$A$1)</f>
        <v>0</v>
      </c>
      <c r="F64" s="17">
        <f>SUMIFS(OtrosR!$H$3:$H1065,OtrosR!$C$3:$C1065,$A64,OtrosR!$B$3:$B1065,$A$1)</f>
        <v>0</v>
      </c>
      <c r="G64" s="16">
        <f>SUMIFS(OtrosR!$I$3:$I1065,OtrosR!$C$3:$C1065,$A64,OtrosR!$B$3:$B1065,$A$1)</f>
        <v>0</v>
      </c>
      <c r="H64" s="17">
        <f>SUMIFS(OtrosR!$J$3:$J1065,OtrosR!$C$3:$C1065,$A64,OtrosR!$B$3:$B1065,$A$1)</f>
        <v>0</v>
      </c>
      <c r="I64" s="16">
        <f>SUMIFS(OtrosR!$K$3:$K1065,OtrosR!$C$3:$C1065,$A64,OtrosR!$B$3:$B1065,$A$1)</f>
        <v>0</v>
      </c>
      <c r="J64" s="17">
        <f>SUMIFS(OtrosR!$L$3:$L1065,OtrosR!$C$3:$C1065,$A64,OtrosR!$B$3:$B1065,$A$1)</f>
        <v>0</v>
      </c>
      <c r="K64" s="16">
        <f>SUMIFS(OtrosR!$M$3:$M1065,OtrosR!$C$3:$C1065,$A64,OtrosR!$B$3:$B1065,$A$1)</f>
        <v>0</v>
      </c>
      <c r="L64" s="17">
        <f>SUMIFS(OtrosR!$N$3:$N1065,OtrosR!$C$3:$C1065,$A64,OtrosR!$B$3:$B1065,$A$1)</f>
        <v>0</v>
      </c>
      <c r="M64" s="16">
        <f>SUMIFS(OtrosR!$O$3:$O1065,OtrosR!$C$3:$C1065,$A64,OtrosR!$B$3:$B1065,$A$1)</f>
        <v>0</v>
      </c>
      <c r="N64" s="17">
        <f>SUMIFS(OtrosR!$P$3:$P1065,OtrosR!$C$3:$C1065,$A64,OtrosR!$B$3:$B1065,$A$1)</f>
        <v>0</v>
      </c>
    </row>
    <row r="65" ht="15.75" customHeight="1">
      <c r="A65" s="6" t="str">
        <f>Menus!Q11</f>
        <v/>
      </c>
      <c r="B65" s="15">
        <f t="shared" si="9"/>
        <v>0</v>
      </c>
      <c r="C65" s="16">
        <f>SUMIFS(OtrosR!$E$3:$E1065,OtrosR!$C$3:$C1065,$A65,OtrosR!$B$3:$B1065,$A$1)</f>
        <v>0</v>
      </c>
      <c r="D65" s="17">
        <f>SUMIFS(OtrosR!$F$3:$F1065,OtrosR!$C$3:$C1065,$A65,OtrosR!$B$3:$B1065,$A$1)</f>
        <v>0</v>
      </c>
      <c r="E65" s="16">
        <f>SUMIFS(OtrosR!$G$3:$G1065,OtrosR!$C$3:$C1065,$A65,OtrosR!$B$3:$B1065,$A$1)</f>
        <v>0</v>
      </c>
      <c r="F65" s="17">
        <f>SUMIFS(OtrosR!$H$3:$H1065,OtrosR!$C$3:$C1065,$A65,OtrosR!$B$3:$B1065,$A$1)</f>
        <v>0</v>
      </c>
      <c r="G65" s="16">
        <f>SUMIFS(OtrosR!$I$3:$I1065,OtrosR!$C$3:$C1065,$A65,OtrosR!$B$3:$B1065,$A$1)</f>
        <v>0</v>
      </c>
      <c r="H65" s="17">
        <f>SUMIFS(OtrosR!$J$3:$J1065,OtrosR!$C$3:$C1065,$A65,OtrosR!$B$3:$B1065,$A$1)</f>
        <v>0</v>
      </c>
      <c r="I65" s="16">
        <f>SUMIFS(OtrosR!$K$3:$K1065,OtrosR!$C$3:$C1065,$A65,OtrosR!$B$3:$B1065,$A$1)</f>
        <v>0</v>
      </c>
      <c r="J65" s="17">
        <f>SUMIFS(OtrosR!$L$3:$L1065,OtrosR!$C$3:$C1065,$A65,OtrosR!$B$3:$B1065,$A$1)</f>
        <v>0</v>
      </c>
      <c r="K65" s="16">
        <f>SUMIFS(OtrosR!$M$3:$M1065,OtrosR!$C$3:$C1065,$A65,OtrosR!$B$3:$B1065,$A$1)</f>
        <v>0</v>
      </c>
      <c r="L65" s="17">
        <f>SUMIFS(OtrosR!$N$3:$N1065,OtrosR!$C$3:$C1065,$A65,OtrosR!$B$3:$B1065,$A$1)</f>
        <v>0</v>
      </c>
      <c r="M65" s="16">
        <f>SUMIFS(OtrosR!$O$3:$O1065,OtrosR!$C$3:$C1065,$A65,OtrosR!$B$3:$B1065,$A$1)</f>
        <v>0</v>
      </c>
      <c r="N65" s="17">
        <f>SUMIFS(OtrosR!$P$3:$P1065,OtrosR!$C$3:$C1065,$A65,OtrosR!$B$3:$B1065,$A$1)</f>
        <v>0</v>
      </c>
    </row>
    <row r="66" ht="15.75" customHeight="1">
      <c r="A66" s="6"/>
      <c r="C66" s="16"/>
      <c r="D66" s="17"/>
      <c r="E66" s="16"/>
      <c r="F66" s="17"/>
      <c r="G66" s="16"/>
      <c r="H66" s="17"/>
      <c r="I66" s="16"/>
      <c r="J66" s="17"/>
      <c r="K66" s="16"/>
      <c r="L66" s="17"/>
      <c r="M66" s="16"/>
      <c r="N66" s="17"/>
    </row>
    <row r="67" ht="15.75" customHeight="1">
      <c r="A67" s="6"/>
      <c r="C67" s="16"/>
      <c r="D67" s="17"/>
      <c r="E67" s="16"/>
      <c r="F67" s="17"/>
      <c r="G67" s="16"/>
      <c r="H67" s="17"/>
      <c r="I67" s="16"/>
      <c r="J67" s="17"/>
      <c r="K67" s="16"/>
      <c r="L67" s="17"/>
      <c r="M67" s="16"/>
      <c r="N67" s="17"/>
    </row>
    <row r="68" ht="15.75" customHeight="1">
      <c r="A68" s="6"/>
      <c r="C68" s="16"/>
      <c r="D68" s="17"/>
      <c r="E68" s="16"/>
      <c r="F68" s="17"/>
      <c r="G68" s="16"/>
      <c r="H68" s="17"/>
      <c r="I68" s="16"/>
      <c r="J68" s="17"/>
      <c r="K68" s="16"/>
      <c r="L68" s="17"/>
      <c r="M68" s="16"/>
      <c r="N68" s="17"/>
    </row>
    <row r="69" ht="15.75" customHeight="1">
      <c r="A69" s="6"/>
      <c r="C69" s="16"/>
      <c r="D69" s="17"/>
      <c r="E69" s="16"/>
      <c r="F69" s="17"/>
      <c r="G69" s="16"/>
      <c r="H69" s="17"/>
      <c r="I69" s="16"/>
      <c r="J69" s="17"/>
      <c r="K69" s="16"/>
      <c r="L69" s="17"/>
      <c r="M69" s="16"/>
      <c r="N69" s="17"/>
    </row>
    <row r="70" ht="15.75" customHeight="1">
      <c r="A70" s="6"/>
      <c r="C70" s="16"/>
      <c r="D70" s="17"/>
      <c r="E70" s="16"/>
      <c r="F70" s="17"/>
      <c r="G70" s="16"/>
      <c r="H70" s="17"/>
      <c r="I70" s="16"/>
      <c r="J70" s="17"/>
      <c r="K70" s="16"/>
      <c r="L70" s="17"/>
      <c r="M70" s="16"/>
      <c r="N70" s="17"/>
    </row>
    <row r="71" ht="15.75" customHeight="1">
      <c r="A71" s="6"/>
      <c r="C71" s="16"/>
      <c r="D71" s="17"/>
      <c r="E71" s="16"/>
      <c r="F71" s="17"/>
      <c r="G71" s="16"/>
      <c r="H71" s="17"/>
      <c r="I71" s="16"/>
      <c r="J71" s="17"/>
      <c r="K71" s="16"/>
      <c r="L71" s="17"/>
      <c r="M71" s="16"/>
      <c r="N71" s="17"/>
    </row>
    <row r="72" ht="15.75" customHeight="1">
      <c r="A72" s="6"/>
      <c r="C72" s="16"/>
      <c r="D72" s="17"/>
      <c r="E72" s="16"/>
      <c r="F72" s="17"/>
      <c r="G72" s="16"/>
      <c r="H72" s="17"/>
      <c r="I72" s="16"/>
      <c r="J72" s="17"/>
      <c r="K72" s="16"/>
      <c r="L72" s="17"/>
      <c r="M72" s="16"/>
      <c r="N72" s="17"/>
    </row>
    <row r="73" ht="15.75" customHeight="1">
      <c r="A73" s="6"/>
      <c r="C73" s="16"/>
      <c r="D73" s="17"/>
      <c r="E73" s="16"/>
      <c r="F73" s="17"/>
      <c r="G73" s="16"/>
      <c r="H73" s="17"/>
      <c r="I73" s="16"/>
      <c r="J73" s="17"/>
      <c r="K73" s="16"/>
      <c r="L73" s="17"/>
      <c r="M73" s="16"/>
      <c r="N73" s="17"/>
    </row>
    <row r="74" ht="15.75" customHeight="1">
      <c r="A74" s="6"/>
      <c r="C74" s="16"/>
      <c r="D74" s="17"/>
      <c r="E74" s="16"/>
      <c r="F74" s="17"/>
      <c r="G74" s="16"/>
      <c r="H74" s="17"/>
      <c r="I74" s="16"/>
      <c r="J74" s="17"/>
      <c r="K74" s="16"/>
      <c r="L74" s="17"/>
      <c r="M74" s="16"/>
      <c r="N74" s="17"/>
    </row>
    <row r="75" ht="15.75" customHeight="1">
      <c r="A75" s="6"/>
      <c r="C75" s="16"/>
      <c r="D75" s="17"/>
      <c r="E75" s="16"/>
      <c r="F75" s="17"/>
      <c r="G75" s="16"/>
      <c r="H75" s="17"/>
      <c r="I75" s="16"/>
      <c r="J75" s="17"/>
      <c r="K75" s="16"/>
      <c r="L75" s="17"/>
      <c r="M75" s="16"/>
      <c r="N75" s="17"/>
    </row>
    <row r="76" ht="15.75" customHeight="1">
      <c r="A76" s="6"/>
      <c r="C76" s="16"/>
      <c r="D76" s="17"/>
      <c r="E76" s="16"/>
      <c r="F76" s="17"/>
      <c r="G76" s="16"/>
      <c r="H76" s="17"/>
      <c r="I76" s="16"/>
      <c r="J76" s="17"/>
      <c r="K76" s="16"/>
      <c r="L76" s="17"/>
      <c r="M76" s="16"/>
      <c r="N76" s="17"/>
    </row>
    <row r="77" ht="15.75" customHeight="1">
      <c r="A77" s="6"/>
      <c r="C77" s="16"/>
      <c r="D77" s="17"/>
      <c r="E77" s="16"/>
      <c r="F77" s="17"/>
      <c r="G77" s="16"/>
      <c r="H77" s="17"/>
      <c r="I77" s="16"/>
      <c r="J77" s="17"/>
      <c r="K77" s="16"/>
      <c r="L77" s="17"/>
      <c r="M77" s="16"/>
      <c r="N77" s="17"/>
    </row>
    <row r="78" ht="15.75" customHeight="1">
      <c r="A78" s="6"/>
      <c r="C78" s="16"/>
      <c r="D78" s="17"/>
      <c r="E78" s="16"/>
      <c r="F78" s="17"/>
      <c r="G78" s="16"/>
      <c r="H78" s="17"/>
      <c r="I78" s="16"/>
      <c r="J78" s="17"/>
      <c r="K78" s="16"/>
      <c r="L78" s="17"/>
      <c r="M78" s="16"/>
      <c r="N78" s="17"/>
    </row>
    <row r="79" ht="15.75" customHeight="1">
      <c r="A79" s="6"/>
      <c r="C79" s="16"/>
      <c r="D79" s="17"/>
      <c r="E79" s="16"/>
      <c r="F79" s="17"/>
      <c r="G79" s="16"/>
      <c r="H79" s="17"/>
      <c r="I79" s="16"/>
      <c r="J79" s="17"/>
      <c r="K79" s="16"/>
      <c r="L79" s="17"/>
      <c r="M79" s="16"/>
      <c r="N79" s="17"/>
    </row>
    <row r="80" ht="15.75" customHeight="1">
      <c r="A80" s="6"/>
      <c r="C80" s="16"/>
      <c r="D80" s="17"/>
      <c r="E80" s="16"/>
      <c r="F80" s="17"/>
      <c r="G80" s="16"/>
      <c r="H80" s="17"/>
      <c r="I80" s="16"/>
      <c r="J80" s="17"/>
      <c r="K80" s="16"/>
      <c r="L80" s="17"/>
      <c r="M80" s="16"/>
      <c r="N80" s="17"/>
    </row>
    <row r="81" ht="15.75" customHeight="1">
      <c r="A81" s="6"/>
      <c r="C81" s="16"/>
      <c r="D81" s="17"/>
      <c r="E81" s="16"/>
      <c r="F81" s="17"/>
      <c r="G81" s="16"/>
      <c r="H81" s="17"/>
      <c r="I81" s="16"/>
      <c r="J81" s="17"/>
      <c r="K81" s="16"/>
      <c r="L81" s="17"/>
      <c r="M81" s="16"/>
      <c r="N81" s="17"/>
    </row>
    <row r="82" ht="15.75" customHeight="1">
      <c r="A82" s="6"/>
      <c r="C82" s="16"/>
      <c r="D82" s="17"/>
      <c r="E82" s="16"/>
      <c r="F82" s="17"/>
      <c r="G82" s="16"/>
      <c r="H82" s="17"/>
      <c r="I82" s="16"/>
      <c r="J82" s="17"/>
      <c r="K82" s="16"/>
      <c r="L82" s="17"/>
      <c r="M82" s="16"/>
      <c r="N82" s="17"/>
    </row>
    <row r="83" ht="15.75" customHeight="1">
      <c r="A83" s="6"/>
      <c r="C83" s="16"/>
      <c r="D83" s="17"/>
      <c r="E83" s="16"/>
      <c r="F83" s="17"/>
      <c r="G83" s="16"/>
      <c r="H83" s="17"/>
      <c r="I83" s="16"/>
      <c r="J83" s="17"/>
      <c r="K83" s="16"/>
      <c r="L83" s="17"/>
      <c r="M83" s="16"/>
      <c r="N83" s="17"/>
    </row>
    <row r="84" ht="15.75" customHeight="1">
      <c r="A84" s="6"/>
      <c r="C84" s="16"/>
      <c r="D84" s="17"/>
      <c r="E84" s="16"/>
      <c r="F84" s="17"/>
      <c r="G84" s="16"/>
      <c r="H84" s="17"/>
      <c r="I84" s="16"/>
      <c r="J84" s="17"/>
      <c r="K84" s="16"/>
      <c r="L84" s="17"/>
      <c r="M84" s="16"/>
      <c r="N84" s="17"/>
    </row>
    <row r="85" ht="15.75" customHeight="1">
      <c r="A85" s="6"/>
      <c r="C85" s="16"/>
      <c r="D85" s="17"/>
      <c r="E85" s="16"/>
      <c r="F85" s="17"/>
      <c r="G85" s="16"/>
      <c r="H85" s="17"/>
      <c r="I85" s="16"/>
      <c r="J85" s="17"/>
      <c r="K85" s="16"/>
      <c r="L85" s="17"/>
      <c r="M85" s="16"/>
      <c r="N85" s="17"/>
    </row>
    <row r="86" ht="15.75" customHeight="1">
      <c r="A86" s="6"/>
      <c r="C86" s="16"/>
      <c r="D86" s="17"/>
      <c r="E86" s="16"/>
      <c r="F86" s="17"/>
      <c r="G86" s="16"/>
      <c r="H86" s="17"/>
      <c r="I86" s="16"/>
      <c r="J86" s="17"/>
      <c r="K86" s="16"/>
      <c r="L86" s="17"/>
      <c r="M86" s="16"/>
      <c r="N86" s="17"/>
    </row>
    <row r="87" ht="15.75" customHeight="1">
      <c r="A87" s="6"/>
      <c r="C87" s="16"/>
      <c r="D87" s="17"/>
      <c r="E87" s="16"/>
      <c r="F87" s="17"/>
      <c r="G87" s="16"/>
      <c r="H87" s="17"/>
      <c r="I87" s="16"/>
      <c r="J87" s="17"/>
      <c r="K87" s="16"/>
      <c r="L87" s="17"/>
      <c r="M87" s="16"/>
      <c r="N87" s="17"/>
    </row>
    <row r="88" ht="15.75" customHeight="1">
      <c r="A88" s="6"/>
      <c r="C88" s="16"/>
      <c r="D88" s="17"/>
      <c r="E88" s="16"/>
      <c r="F88" s="17"/>
      <c r="G88" s="16"/>
      <c r="H88" s="17"/>
      <c r="I88" s="16"/>
      <c r="J88" s="17"/>
      <c r="K88" s="16"/>
      <c r="L88" s="17"/>
      <c r="M88" s="16"/>
      <c r="N88" s="17"/>
    </row>
    <row r="89" ht="15.75" customHeight="1">
      <c r="A89" s="6"/>
      <c r="C89" s="16"/>
      <c r="D89" s="17"/>
      <c r="E89" s="16"/>
      <c r="F89" s="17"/>
      <c r="G89" s="16"/>
      <c r="H89" s="17"/>
      <c r="I89" s="16"/>
      <c r="J89" s="17"/>
      <c r="K89" s="16"/>
      <c r="L89" s="17"/>
      <c r="M89" s="16"/>
      <c r="N89" s="17"/>
    </row>
    <row r="90" ht="15.75" customHeight="1">
      <c r="A90" s="6"/>
      <c r="C90" s="16"/>
      <c r="D90" s="17"/>
      <c r="E90" s="16"/>
      <c r="F90" s="17"/>
      <c r="G90" s="16"/>
      <c r="H90" s="17"/>
      <c r="I90" s="16"/>
      <c r="J90" s="17"/>
      <c r="K90" s="16"/>
      <c r="L90" s="17"/>
      <c r="M90" s="16"/>
      <c r="N90" s="17"/>
    </row>
    <row r="91" ht="15.75" customHeight="1">
      <c r="A91" s="6"/>
      <c r="C91" s="16"/>
      <c r="D91" s="17"/>
      <c r="E91" s="16"/>
      <c r="F91" s="17"/>
      <c r="G91" s="16"/>
      <c r="H91" s="17"/>
      <c r="I91" s="16"/>
      <c r="J91" s="17"/>
      <c r="K91" s="16"/>
      <c r="L91" s="17"/>
      <c r="M91" s="16"/>
      <c r="N91" s="17"/>
    </row>
    <row r="92" ht="15.75" customHeight="1">
      <c r="A92" s="6"/>
      <c r="C92" s="16"/>
      <c r="D92" s="17"/>
      <c r="E92" s="16"/>
      <c r="F92" s="17"/>
      <c r="G92" s="16"/>
      <c r="H92" s="17"/>
      <c r="I92" s="16"/>
      <c r="J92" s="17"/>
      <c r="K92" s="16"/>
      <c r="L92" s="17"/>
      <c r="M92" s="16"/>
      <c r="N92" s="17"/>
    </row>
    <row r="93" ht="15.75" customHeight="1">
      <c r="A93" s="6"/>
      <c r="C93" s="16"/>
      <c r="D93" s="17"/>
      <c r="E93" s="16"/>
      <c r="F93" s="17"/>
      <c r="G93" s="16"/>
      <c r="H93" s="17"/>
      <c r="I93" s="16"/>
      <c r="J93" s="17"/>
      <c r="K93" s="16"/>
      <c r="L93" s="17"/>
      <c r="M93" s="16"/>
      <c r="N93" s="17"/>
    </row>
    <row r="94" ht="15.75" customHeight="1">
      <c r="A94" s="6"/>
      <c r="C94" s="16"/>
      <c r="D94" s="17"/>
      <c r="E94" s="16"/>
      <c r="F94" s="17"/>
      <c r="G94" s="16"/>
      <c r="H94" s="17"/>
      <c r="I94" s="16"/>
      <c r="J94" s="17"/>
      <c r="K94" s="16"/>
      <c r="L94" s="17"/>
      <c r="M94" s="16"/>
      <c r="N94" s="17"/>
    </row>
    <row r="95" ht="15.75" customHeight="1">
      <c r="A95" s="6"/>
      <c r="C95" s="16"/>
      <c r="D95" s="17"/>
      <c r="E95" s="16"/>
      <c r="F95" s="17"/>
      <c r="G95" s="16"/>
      <c r="H95" s="17"/>
      <c r="I95" s="16"/>
      <c r="J95" s="17"/>
      <c r="K95" s="16"/>
      <c r="L95" s="17"/>
      <c r="M95" s="16"/>
      <c r="N95" s="17"/>
    </row>
    <row r="96" ht="15.75" customHeight="1">
      <c r="A96" s="6"/>
      <c r="C96" s="16"/>
      <c r="D96" s="17"/>
      <c r="E96" s="16"/>
      <c r="F96" s="17"/>
      <c r="G96" s="16"/>
      <c r="H96" s="17"/>
      <c r="I96" s="16"/>
      <c r="J96" s="17"/>
      <c r="K96" s="16"/>
      <c r="L96" s="17"/>
      <c r="M96" s="16"/>
      <c r="N96" s="17"/>
    </row>
    <row r="97" ht="15.75" customHeight="1">
      <c r="A97" s="6"/>
      <c r="C97" s="16"/>
      <c r="D97" s="17"/>
      <c r="E97" s="16"/>
      <c r="F97" s="17"/>
      <c r="G97" s="16"/>
      <c r="H97" s="17"/>
      <c r="I97" s="16"/>
      <c r="J97" s="17"/>
      <c r="K97" s="16"/>
      <c r="L97" s="17"/>
      <c r="M97" s="16"/>
      <c r="N97" s="17"/>
    </row>
    <row r="98" ht="15.75" customHeight="1">
      <c r="A98" s="6"/>
      <c r="C98" s="16"/>
      <c r="D98" s="17"/>
      <c r="E98" s="16"/>
      <c r="F98" s="17"/>
      <c r="G98" s="16"/>
      <c r="H98" s="17"/>
      <c r="I98" s="16"/>
      <c r="J98" s="17"/>
      <c r="K98" s="16"/>
      <c r="L98" s="17"/>
      <c r="M98" s="16"/>
      <c r="N98" s="17"/>
    </row>
    <row r="99" ht="15.75" customHeight="1">
      <c r="A99" s="6"/>
      <c r="C99" s="16"/>
      <c r="D99" s="17"/>
      <c r="E99" s="16"/>
      <c r="F99" s="17"/>
      <c r="G99" s="16"/>
      <c r="H99" s="17"/>
      <c r="I99" s="16"/>
      <c r="J99" s="17"/>
      <c r="K99" s="16"/>
      <c r="L99" s="17"/>
      <c r="M99" s="16"/>
      <c r="N99" s="17"/>
    </row>
    <row r="100" ht="15.75" customHeight="1">
      <c r="A100" s="6"/>
      <c r="C100" s="16"/>
      <c r="D100" s="17"/>
      <c r="E100" s="16"/>
      <c r="F100" s="17"/>
      <c r="G100" s="16"/>
      <c r="H100" s="17"/>
      <c r="I100" s="16"/>
      <c r="J100" s="17"/>
      <c r="K100" s="16"/>
      <c r="L100" s="17"/>
      <c r="M100" s="16"/>
      <c r="N100" s="17"/>
    </row>
    <row r="101" ht="15.75" customHeight="1">
      <c r="A101" s="6"/>
      <c r="C101" s="16"/>
      <c r="D101" s="17"/>
      <c r="E101" s="16"/>
      <c r="F101" s="17"/>
      <c r="G101" s="16"/>
      <c r="H101" s="17"/>
      <c r="I101" s="16"/>
      <c r="J101" s="17"/>
      <c r="K101" s="16"/>
      <c r="L101" s="17"/>
      <c r="M101" s="16"/>
      <c r="N101" s="17"/>
    </row>
    <row r="102" ht="15.75" customHeight="1">
      <c r="A102" s="6"/>
      <c r="C102" s="16"/>
      <c r="D102" s="17"/>
      <c r="E102" s="16"/>
      <c r="F102" s="17"/>
      <c r="G102" s="16"/>
      <c r="H102" s="17"/>
      <c r="I102" s="16"/>
      <c r="J102" s="17"/>
      <c r="K102" s="16"/>
      <c r="L102" s="17"/>
      <c r="M102" s="16"/>
      <c r="N102" s="17"/>
    </row>
    <row r="103" ht="15.75" customHeight="1">
      <c r="A103" s="6"/>
      <c r="C103" s="16"/>
      <c r="D103" s="17"/>
      <c r="E103" s="16"/>
      <c r="F103" s="17"/>
      <c r="G103" s="16"/>
      <c r="H103" s="17"/>
      <c r="I103" s="16"/>
      <c r="J103" s="17"/>
      <c r="K103" s="16"/>
      <c r="L103" s="17"/>
      <c r="M103" s="16"/>
      <c r="N103" s="17"/>
    </row>
    <row r="104" ht="15.75" customHeight="1">
      <c r="A104" s="6"/>
      <c r="C104" s="16"/>
      <c r="D104" s="17"/>
      <c r="E104" s="16"/>
      <c r="F104" s="17"/>
      <c r="G104" s="16"/>
      <c r="H104" s="17"/>
      <c r="I104" s="16"/>
      <c r="J104" s="17"/>
      <c r="K104" s="16"/>
      <c r="L104" s="17"/>
      <c r="M104" s="16"/>
      <c r="N104" s="17"/>
    </row>
    <row r="105" ht="15.75" customHeight="1">
      <c r="A105" s="6"/>
      <c r="C105" s="16"/>
      <c r="D105" s="17"/>
      <c r="E105" s="16"/>
      <c r="F105" s="17"/>
      <c r="G105" s="16"/>
      <c r="H105" s="17"/>
      <c r="I105" s="16"/>
      <c r="J105" s="17"/>
      <c r="K105" s="16"/>
      <c r="L105" s="17"/>
      <c r="M105" s="16"/>
      <c r="N105" s="17"/>
    </row>
    <row r="106" ht="15.75" customHeight="1">
      <c r="A106" s="6"/>
      <c r="C106" s="16"/>
      <c r="D106" s="17"/>
      <c r="E106" s="16"/>
      <c r="F106" s="17"/>
      <c r="G106" s="16"/>
      <c r="H106" s="17"/>
      <c r="I106" s="16"/>
      <c r="J106" s="17"/>
      <c r="K106" s="16"/>
      <c r="L106" s="17"/>
      <c r="M106" s="16"/>
      <c r="N106" s="17"/>
    </row>
    <row r="107" ht="15.75" customHeight="1">
      <c r="A107" s="6"/>
      <c r="C107" s="16"/>
      <c r="D107" s="17"/>
      <c r="E107" s="16"/>
      <c r="F107" s="17"/>
      <c r="G107" s="16"/>
      <c r="H107" s="17"/>
      <c r="I107" s="16"/>
      <c r="J107" s="17"/>
      <c r="K107" s="16"/>
      <c r="L107" s="17"/>
      <c r="M107" s="16"/>
      <c r="N107" s="17"/>
    </row>
    <row r="108" ht="15.75" customHeight="1">
      <c r="A108" s="6"/>
      <c r="C108" s="16"/>
      <c r="D108" s="17"/>
      <c r="E108" s="16"/>
      <c r="F108" s="17"/>
      <c r="G108" s="16"/>
      <c r="H108" s="17"/>
      <c r="I108" s="16"/>
      <c r="J108" s="17"/>
      <c r="K108" s="16"/>
      <c r="L108" s="17"/>
      <c r="M108" s="16"/>
      <c r="N108" s="17"/>
    </row>
    <row r="109" ht="15.75" customHeight="1">
      <c r="A109" s="6"/>
      <c r="C109" s="16"/>
      <c r="D109" s="17"/>
      <c r="E109" s="16"/>
      <c r="F109" s="17"/>
      <c r="G109" s="16"/>
      <c r="H109" s="17"/>
      <c r="I109" s="16"/>
      <c r="J109" s="17"/>
      <c r="K109" s="16"/>
      <c r="L109" s="17"/>
      <c r="M109" s="16"/>
      <c r="N109" s="17"/>
    </row>
    <row r="110" ht="15.75" customHeight="1">
      <c r="A110" s="6"/>
      <c r="C110" s="16"/>
      <c r="D110" s="17"/>
      <c r="E110" s="16"/>
      <c r="F110" s="17"/>
      <c r="G110" s="16"/>
      <c r="H110" s="17"/>
      <c r="I110" s="16"/>
      <c r="J110" s="17"/>
      <c r="K110" s="16"/>
      <c r="L110" s="17"/>
      <c r="M110" s="16"/>
      <c r="N110" s="17"/>
    </row>
    <row r="111" ht="15.75" customHeight="1">
      <c r="A111" s="6"/>
      <c r="C111" s="16"/>
      <c r="D111" s="17"/>
      <c r="E111" s="16"/>
      <c r="F111" s="17"/>
      <c r="G111" s="16"/>
      <c r="H111" s="17"/>
      <c r="I111" s="16"/>
      <c r="J111" s="17"/>
      <c r="K111" s="16"/>
      <c r="L111" s="17"/>
      <c r="M111" s="16"/>
      <c r="N111" s="17"/>
    </row>
    <row r="112" ht="15.75" customHeight="1">
      <c r="A112" s="6"/>
      <c r="C112" s="16"/>
      <c r="D112" s="17"/>
      <c r="E112" s="16"/>
      <c r="F112" s="17"/>
      <c r="G112" s="16"/>
      <c r="H112" s="17"/>
      <c r="I112" s="16"/>
      <c r="J112" s="17"/>
      <c r="K112" s="16"/>
      <c r="L112" s="17"/>
      <c r="M112" s="16"/>
      <c r="N112" s="17"/>
    </row>
    <row r="113" ht="15.75" customHeight="1">
      <c r="A113" s="6"/>
      <c r="C113" s="16"/>
      <c r="D113" s="17"/>
      <c r="E113" s="16"/>
      <c r="F113" s="17"/>
      <c r="G113" s="16"/>
      <c r="H113" s="17"/>
      <c r="I113" s="16"/>
      <c r="J113" s="17"/>
      <c r="K113" s="16"/>
      <c r="L113" s="17"/>
      <c r="M113" s="16"/>
      <c r="N113" s="17"/>
    </row>
    <row r="114" ht="15.75" customHeight="1">
      <c r="A114" s="6"/>
      <c r="C114" s="16"/>
      <c r="D114" s="17"/>
      <c r="E114" s="16"/>
      <c r="F114" s="17"/>
      <c r="G114" s="16"/>
      <c r="H114" s="17"/>
      <c r="I114" s="16"/>
      <c r="J114" s="17"/>
      <c r="K114" s="16"/>
      <c r="L114" s="17"/>
      <c r="M114" s="16"/>
      <c r="N114" s="17"/>
    </row>
    <row r="115" ht="15.75" customHeight="1">
      <c r="A115" s="6"/>
      <c r="C115" s="16"/>
      <c r="D115" s="17"/>
      <c r="E115" s="16"/>
      <c r="F115" s="17"/>
      <c r="G115" s="16"/>
      <c r="H115" s="17"/>
      <c r="I115" s="16"/>
      <c r="J115" s="17"/>
      <c r="K115" s="16"/>
      <c r="L115" s="17"/>
      <c r="M115" s="16"/>
      <c r="N115" s="17"/>
    </row>
    <row r="116" ht="15.75" customHeight="1">
      <c r="A116" s="6"/>
      <c r="C116" s="16"/>
      <c r="D116" s="17"/>
      <c r="E116" s="16"/>
      <c r="F116" s="17"/>
      <c r="G116" s="16"/>
      <c r="H116" s="17"/>
      <c r="I116" s="16"/>
      <c r="J116" s="17"/>
      <c r="K116" s="16"/>
      <c r="L116" s="17"/>
      <c r="M116" s="16"/>
      <c r="N116" s="17"/>
    </row>
    <row r="117" ht="15.75" customHeight="1">
      <c r="A117" s="6"/>
      <c r="C117" s="16"/>
      <c r="D117" s="17"/>
      <c r="E117" s="16"/>
      <c r="F117" s="17"/>
      <c r="G117" s="16"/>
      <c r="H117" s="17"/>
      <c r="I117" s="16"/>
      <c r="J117" s="17"/>
      <c r="K117" s="16"/>
      <c r="L117" s="17"/>
      <c r="M117" s="16"/>
      <c r="N117" s="17"/>
    </row>
    <row r="118" ht="15.75" customHeight="1">
      <c r="A118" s="6"/>
      <c r="C118" s="16"/>
      <c r="D118" s="17"/>
      <c r="E118" s="16"/>
      <c r="F118" s="17"/>
      <c r="G118" s="16"/>
      <c r="H118" s="17"/>
      <c r="I118" s="16"/>
      <c r="J118" s="17"/>
      <c r="K118" s="16"/>
      <c r="L118" s="17"/>
      <c r="M118" s="16"/>
      <c r="N118" s="17"/>
    </row>
    <row r="119" ht="15.75" customHeight="1">
      <c r="A119" s="6"/>
      <c r="C119" s="16"/>
      <c r="D119" s="17"/>
      <c r="E119" s="16"/>
      <c r="F119" s="17"/>
      <c r="G119" s="16"/>
      <c r="H119" s="17"/>
      <c r="I119" s="16"/>
      <c r="J119" s="17"/>
      <c r="K119" s="16"/>
      <c r="L119" s="17"/>
      <c r="M119" s="16"/>
      <c r="N119" s="17"/>
    </row>
    <row r="120" ht="15.75" customHeight="1">
      <c r="A120" s="6"/>
      <c r="C120" s="16"/>
      <c r="D120" s="17"/>
      <c r="E120" s="16"/>
      <c r="F120" s="17"/>
      <c r="G120" s="16"/>
      <c r="H120" s="17"/>
      <c r="I120" s="16"/>
      <c r="J120" s="17"/>
      <c r="K120" s="16"/>
      <c r="L120" s="17"/>
      <c r="M120" s="16"/>
      <c r="N120" s="17"/>
    </row>
    <row r="121" ht="15.75" customHeight="1">
      <c r="A121" s="6"/>
      <c r="C121" s="16"/>
      <c r="D121" s="17"/>
      <c r="E121" s="16"/>
      <c r="F121" s="17"/>
      <c r="G121" s="16"/>
      <c r="H121" s="17"/>
      <c r="I121" s="16"/>
      <c r="J121" s="17"/>
      <c r="K121" s="16"/>
      <c r="L121" s="17"/>
      <c r="M121" s="16"/>
      <c r="N121" s="17"/>
    </row>
    <row r="122" ht="15.75" customHeight="1">
      <c r="A122" s="6"/>
      <c r="C122" s="16"/>
      <c r="D122" s="17"/>
      <c r="E122" s="16"/>
      <c r="F122" s="17"/>
      <c r="G122" s="16"/>
      <c r="H122" s="17"/>
      <c r="I122" s="16"/>
      <c r="J122" s="17"/>
      <c r="K122" s="16"/>
      <c r="L122" s="17"/>
      <c r="M122" s="16"/>
      <c r="N122" s="17"/>
    </row>
    <row r="123" ht="15.75" customHeight="1">
      <c r="A123" s="6"/>
      <c r="C123" s="16"/>
      <c r="D123" s="17"/>
      <c r="E123" s="16"/>
      <c r="F123" s="17"/>
      <c r="G123" s="16"/>
      <c r="H123" s="17"/>
      <c r="I123" s="16"/>
      <c r="J123" s="17"/>
      <c r="K123" s="16"/>
      <c r="L123" s="17"/>
      <c r="M123" s="16"/>
      <c r="N123" s="17"/>
    </row>
    <row r="124" ht="15.75" customHeight="1">
      <c r="A124" s="6"/>
      <c r="C124" s="16"/>
      <c r="D124" s="17"/>
      <c r="E124" s="16"/>
      <c r="F124" s="17"/>
      <c r="G124" s="16"/>
      <c r="H124" s="17"/>
      <c r="I124" s="16"/>
      <c r="J124" s="17"/>
      <c r="K124" s="16"/>
      <c r="L124" s="17"/>
      <c r="M124" s="16"/>
      <c r="N124" s="17"/>
    </row>
    <row r="125" ht="15.75" customHeight="1">
      <c r="A125" s="6"/>
      <c r="C125" s="16"/>
      <c r="D125" s="17"/>
      <c r="E125" s="16"/>
      <c r="F125" s="17"/>
      <c r="G125" s="16"/>
      <c r="H125" s="17"/>
      <c r="I125" s="16"/>
      <c r="J125" s="17"/>
      <c r="K125" s="16"/>
      <c r="L125" s="17"/>
      <c r="M125" s="16"/>
      <c r="N125" s="17"/>
    </row>
    <row r="126" ht="15.75" customHeight="1">
      <c r="A126" s="6"/>
      <c r="C126" s="16"/>
      <c r="D126" s="17"/>
      <c r="E126" s="16"/>
      <c r="F126" s="17"/>
      <c r="G126" s="16"/>
      <c r="H126" s="17"/>
      <c r="I126" s="16"/>
      <c r="J126" s="17"/>
      <c r="K126" s="16"/>
      <c r="L126" s="17"/>
      <c r="M126" s="16"/>
      <c r="N126" s="17"/>
    </row>
    <row r="127" ht="15.75" customHeight="1">
      <c r="A127" s="6"/>
      <c r="C127" s="16"/>
      <c r="D127" s="17"/>
      <c r="E127" s="16"/>
      <c r="F127" s="17"/>
      <c r="G127" s="16"/>
      <c r="H127" s="17"/>
      <c r="I127" s="16"/>
      <c r="J127" s="17"/>
      <c r="K127" s="16"/>
      <c r="L127" s="17"/>
      <c r="M127" s="16"/>
      <c r="N127" s="17"/>
    </row>
    <row r="128" ht="15.75" customHeight="1">
      <c r="A128" s="6"/>
      <c r="C128" s="16"/>
      <c r="D128" s="17"/>
      <c r="E128" s="16"/>
      <c r="F128" s="17"/>
      <c r="G128" s="16"/>
      <c r="H128" s="17"/>
      <c r="I128" s="16"/>
      <c r="J128" s="17"/>
      <c r="K128" s="16"/>
      <c r="L128" s="17"/>
      <c r="M128" s="16"/>
      <c r="N128" s="17"/>
    </row>
    <row r="129" ht="15.75" customHeight="1">
      <c r="A129" s="6"/>
      <c r="C129" s="16"/>
      <c r="D129" s="17"/>
      <c r="E129" s="16"/>
      <c r="F129" s="17"/>
      <c r="G129" s="16"/>
      <c r="H129" s="17"/>
      <c r="I129" s="16"/>
      <c r="J129" s="17"/>
      <c r="K129" s="16"/>
      <c r="L129" s="17"/>
      <c r="M129" s="16"/>
      <c r="N129" s="17"/>
    </row>
    <row r="130" ht="15.75" customHeight="1">
      <c r="A130" s="6"/>
      <c r="C130" s="16"/>
      <c r="D130" s="17"/>
      <c r="E130" s="16"/>
      <c r="F130" s="17"/>
      <c r="G130" s="16"/>
      <c r="H130" s="17"/>
      <c r="I130" s="16"/>
      <c r="J130" s="17"/>
      <c r="K130" s="16"/>
      <c r="L130" s="17"/>
      <c r="M130" s="16"/>
      <c r="N130" s="17"/>
    </row>
    <row r="131" ht="15.75" customHeight="1">
      <c r="A131" s="6"/>
      <c r="C131" s="16"/>
      <c r="D131" s="17"/>
      <c r="E131" s="16"/>
      <c r="F131" s="17"/>
      <c r="G131" s="16"/>
      <c r="H131" s="17"/>
      <c r="I131" s="16"/>
      <c r="J131" s="17"/>
      <c r="K131" s="16"/>
      <c r="L131" s="17"/>
      <c r="M131" s="16"/>
      <c r="N131" s="17"/>
    </row>
    <row r="132" ht="15.75" customHeight="1">
      <c r="A132" s="6"/>
      <c r="C132" s="16"/>
      <c r="D132" s="17"/>
      <c r="E132" s="16"/>
      <c r="F132" s="17"/>
      <c r="G132" s="16"/>
      <c r="H132" s="17"/>
      <c r="I132" s="16"/>
      <c r="J132" s="17"/>
      <c r="K132" s="16"/>
      <c r="L132" s="17"/>
      <c r="M132" s="16"/>
      <c r="N132" s="17"/>
    </row>
    <row r="133" ht="15.75" customHeight="1">
      <c r="A133" s="6"/>
      <c r="C133" s="16"/>
      <c r="D133" s="17"/>
      <c r="E133" s="16"/>
      <c r="F133" s="17"/>
      <c r="G133" s="16"/>
      <c r="H133" s="17"/>
      <c r="I133" s="16"/>
      <c r="J133" s="17"/>
      <c r="K133" s="16"/>
      <c r="L133" s="17"/>
      <c r="M133" s="16"/>
      <c r="N133" s="17"/>
    </row>
    <row r="134" ht="15.75" customHeight="1">
      <c r="A134" s="6"/>
      <c r="C134" s="16"/>
      <c r="D134" s="17"/>
      <c r="E134" s="16"/>
      <c r="F134" s="17"/>
      <c r="G134" s="16"/>
      <c r="H134" s="17"/>
      <c r="I134" s="16"/>
      <c r="J134" s="17"/>
      <c r="K134" s="16"/>
      <c r="L134" s="17"/>
      <c r="M134" s="16"/>
      <c r="N134" s="17"/>
    </row>
    <row r="135" ht="15.75" customHeight="1">
      <c r="A135" s="6"/>
      <c r="C135" s="16"/>
      <c r="D135" s="17"/>
      <c r="E135" s="16"/>
      <c r="F135" s="17"/>
      <c r="G135" s="16"/>
      <c r="H135" s="17"/>
      <c r="I135" s="16"/>
      <c r="J135" s="17"/>
      <c r="K135" s="16"/>
      <c r="L135" s="17"/>
      <c r="M135" s="16"/>
      <c r="N135" s="17"/>
    </row>
    <row r="136" ht="15.75" customHeight="1">
      <c r="A136" s="6"/>
      <c r="C136" s="16"/>
      <c r="D136" s="17"/>
      <c r="E136" s="16"/>
      <c r="F136" s="17"/>
      <c r="G136" s="16"/>
      <c r="H136" s="17"/>
      <c r="I136" s="16"/>
      <c r="J136" s="17"/>
      <c r="K136" s="16"/>
      <c r="L136" s="17"/>
      <c r="M136" s="16"/>
      <c r="N136" s="17"/>
    </row>
    <row r="137" ht="15.75" customHeight="1">
      <c r="A137" s="6"/>
      <c r="C137" s="16"/>
      <c r="D137" s="17"/>
      <c r="E137" s="16"/>
      <c r="F137" s="17"/>
      <c r="G137" s="16"/>
      <c r="H137" s="17"/>
      <c r="I137" s="16"/>
      <c r="J137" s="17"/>
      <c r="K137" s="16"/>
      <c r="L137" s="17"/>
      <c r="M137" s="16"/>
      <c r="N137" s="17"/>
    </row>
    <row r="138" ht="15.75" customHeight="1">
      <c r="A138" s="6"/>
      <c r="C138" s="16"/>
      <c r="D138" s="17"/>
      <c r="E138" s="16"/>
      <c r="F138" s="17"/>
      <c r="G138" s="16"/>
      <c r="H138" s="17"/>
      <c r="I138" s="16"/>
      <c r="J138" s="17"/>
      <c r="K138" s="16"/>
      <c r="L138" s="17"/>
      <c r="M138" s="16"/>
      <c r="N138" s="17"/>
    </row>
    <row r="139" ht="15.75" customHeight="1">
      <c r="A139" s="6"/>
      <c r="C139" s="16"/>
      <c r="D139" s="17"/>
      <c r="E139" s="16"/>
      <c r="F139" s="17"/>
      <c r="G139" s="16"/>
      <c r="H139" s="17"/>
      <c r="I139" s="16"/>
      <c r="J139" s="17"/>
      <c r="K139" s="16"/>
      <c r="L139" s="17"/>
      <c r="M139" s="16"/>
      <c r="N139" s="17"/>
    </row>
    <row r="140" ht="15.75" customHeight="1">
      <c r="A140" s="6"/>
      <c r="C140" s="16"/>
      <c r="D140" s="17"/>
      <c r="E140" s="16"/>
      <c r="F140" s="17"/>
      <c r="G140" s="16"/>
      <c r="H140" s="17"/>
      <c r="I140" s="16"/>
      <c r="J140" s="17"/>
      <c r="K140" s="16"/>
      <c r="L140" s="17"/>
      <c r="M140" s="16"/>
      <c r="N140" s="17"/>
    </row>
    <row r="141" ht="15.75" customHeight="1">
      <c r="A141" s="6"/>
      <c r="C141" s="16"/>
      <c r="D141" s="17"/>
      <c r="E141" s="16"/>
      <c r="F141" s="17"/>
      <c r="G141" s="16"/>
      <c r="H141" s="17"/>
      <c r="I141" s="16"/>
      <c r="J141" s="17"/>
      <c r="K141" s="16"/>
      <c r="L141" s="17"/>
      <c r="M141" s="16"/>
      <c r="N141" s="17"/>
    </row>
    <row r="142" ht="15.75" customHeight="1">
      <c r="A142" s="6"/>
      <c r="C142" s="16"/>
      <c r="D142" s="17"/>
      <c r="E142" s="16"/>
      <c r="F142" s="17"/>
      <c r="G142" s="16"/>
      <c r="H142" s="17"/>
      <c r="I142" s="16"/>
      <c r="J142" s="17"/>
      <c r="K142" s="16"/>
      <c r="L142" s="17"/>
      <c r="M142" s="16"/>
      <c r="N142" s="17"/>
    </row>
    <row r="143" ht="15.75" customHeight="1">
      <c r="A143" s="6"/>
      <c r="C143" s="16"/>
      <c r="D143" s="17"/>
      <c r="E143" s="16"/>
      <c r="F143" s="17"/>
      <c r="G143" s="16"/>
      <c r="H143" s="17"/>
      <c r="I143" s="16"/>
      <c r="J143" s="17"/>
      <c r="K143" s="16"/>
      <c r="L143" s="17"/>
      <c r="M143" s="16"/>
      <c r="N143" s="17"/>
    </row>
    <row r="144" ht="15.75" customHeight="1">
      <c r="A144" s="6"/>
      <c r="C144" s="16"/>
      <c r="D144" s="17"/>
      <c r="E144" s="16"/>
      <c r="F144" s="17"/>
      <c r="G144" s="16"/>
      <c r="H144" s="17"/>
      <c r="I144" s="16"/>
      <c r="J144" s="17"/>
      <c r="K144" s="16"/>
      <c r="L144" s="17"/>
      <c r="M144" s="16"/>
      <c r="N144" s="17"/>
    </row>
    <row r="145" ht="15.75" customHeight="1">
      <c r="A145" s="6"/>
      <c r="C145" s="16"/>
      <c r="D145" s="17"/>
      <c r="E145" s="16"/>
      <c r="F145" s="17"/>
      <c r="G145" s="16"/>
      <c r="H145" s="17"/>
      <c r="I145" s="16"/>
      <c r="J145" s="17"/>
      <c r="K145" s="16"/>
      <c r="L145" s="17"/>
      <c r="M145" s="16"/>
      <c r="N145" s="17"/>
    </row>
    <row r="146" ht="15.75" customHeight="1">
      <c r="A146" s="6"/>
      <c r="C146" s="16"/>
      <c r="D146" s="17"/>
      <c r="E146" s="16"/>
      <c r="F146" s="17"/>
      <c r="G146" s="16"/>
      <c r="H146" s="17"/>
      <c r="I146" s="16"/>
      <c r="J146" s="17"/>
      <c r="K146" s="16"/>
      <c r="L146" s="17"/>
      <c r="M146" s="16"/>
      <c r="N146" s="17"/>
    </row>
    <row r="147" ht="15.75" customHeight="1">
      <c r="A147" s="6"/>
      <c r="C147" s="16"/>
      <c r="D147" s="17"/>
      <c r="E147" s="16"/>
      <c r="F147" s="17"/>
      <c r="G147" s="16"/>
      <c r="H147" s="17"/>
      <c r="I147" s="16"/>
      <c r="J147" s="17"/>
      <c r="K147" s="16"/>
      <c r="L147" s="17"/>
      <c r="M147" s="16"/>
      <c r="N147" s="17"/>
    </row>
    <row r="148" ht="15.75" customHeight="1">
      <c r="A148" s="6"/>
      <c r="C148" s="16"/>
      <c r="D148" s="17"/>
      <c r="E148" s="16"/>
      <c r="F148" s="17"/>
      <c r="G148" s="16"/>
      <c r="H148" s="17"/>
      <c r="I148" s="16"/>
      <c r="J148" s="17"/>
      <c r="K148" s="16"/>
      <c r="L148" s="17"/>
      <c r="M148" s="16"/>
      <c r="N148" s="17"/>
    </row>
    <row r="149" ht="15.75" customHeight="1">
      <c r="A149" s="6"/>
      <c r="C149" s="16"/>
      <c r="D149" s="17"/>
      <c r="E149" s="16"/>
      <c r="F149" s="17"/>
      <c r="G149" s="16"/>
      <c r="H149" s="17"/>
      <c r="I149" s="16"/>
      <c r="J149" s="17"/>
      <c r="K149" s="16"/>
      <c r="L149" s="17"/>
      <c r="M149" s="16"/>
      <c r="N149" s="17"/>
    </row>
    <row r="150" ht="15.75" customHeight="1">
      <c r="A150" s="6"/>
      <c r="C150" s="16"/>
      <c r="D150" s="17"/>
      <c r="E150" s="16"/>
      <c r="F150" s="17"/>
      <c r="G150" s="16"/>
      <c r="H150" s="17"/>
      <c r="I150" s="16"/>
      <c r="J150" s="17"/>
      <c r="K150" s="16"/>
      <c r="L150" s="17"/>
      <c r="M150" s="16"/>
      <c r="N150" s="17"/>
    </row>
    <row r="151" ht="15.75" customHeight="1">
      <c r="A151" s="6"/>
      <c r="C151" s="16"/>
      <c r="D151" s="17"/>
      <c r="E151" s="16"/>
      <c r="F151" s="17"/>
      <c r="G151" s="16"/>
      <c r="H151" s="17"/>
      <c r="I151" s="16"/>
      <c r="J151" s="17"/>
      <c r="K151" s="16"/>
      <c r="L151" s="17"/>
      <c r="M151" s="16"/>
      <c r="N151" s="17"/>
    </row>
    <row r="152" ht="15.75" customHeight="1">
      <c r="A152" s="6"/>
      <c r="C152" s="16"/>
      <c r="D152" s="17"/>
      <c r="E152" s="16"/>
      <c r="F152" s="17"/>
      <c r="G152" s="16"/>
      <c r="H152" s="17"/>
      <c r="I152" s="16"/>
      <c r="J152" s="17"/>
      <c r="K152" s="16"/>
      <c r="L152" s="17"/>
      <c r="M152" s="16"/>
      <c r="N152" s="17"/>
    </row>
    <row r="153" ht="15.75" customHeight="1">
      <c r="A153" s="6"/>
      <c r="C153" s="16"/>
      <c r="D153" s="17"/>
      <c r="E153" s="16"/>
      <c r="F153" s="17"/>
      <c r="G153" s="16"/>
      <c r="H153" s="17"/>
      <c r="I153" s="16"/>
      <c r="J153" s="17"/>
      <c r="K153" s="16"/>
      <c r="L153" s="17"/>
      <c r="M153" s="16"/>
      <c r="N153" s="17"/>
    </row>
    <row r="154" ht="15.75" customHeight="1">
      <c r="A154" s="6"/>
      <c r="C154" s="16"/>
      <c r="D154" s="17"/>
      <c r="E154" s="16"/>
      <c r="F154" s="17"/>
      <c r="G154" s="16"/>
      <c r="H154" s="17"/>
      <c r="I154" s="16"/>
      <c r="J154" s="17"/>
      <c r="K154" s="16"/>
      <c r="L154" s="17"/>
      <c r="M154" s="16"/>
      <c r="N154" s="17"/>
    </row>
    <row r="155" ht="15.75" customHeight="1">
      <c r="A155" s="6"/>
      <c r="C155" s="16"/>
      <c r="D155" s="17"/>
      <c r="E155" s="16"/>
      <c r="F155" s="17"/>
      <c r="G155" s="16"/>
      <c r="H155" s="17"/>
      <c r="I155" s="16"/>
      <c r="J155" s="17"/>
      <c r="K155" s="16"/>
      <c r="L155" s="17"/>
      <c r="M155" s="16"/>
      <c r="N155" s="17"/>
    </row>
    <row r="156" ht="15.75" customHeight="1">
      <c r="A156" s="6"/>
      <c r="C156" s="16"/>
      <c r="D156" s="17"/>
      <c r="E156" s="16"/>
      <c r="F156" s="17"/>
      <c r="G156" s="16"/>
      <c r="H156" s="17"/>
      <c r="I156" s="16"/>
      <c r="J156" s="17"/>
      <c r="K156" s="16"/>
      <c r="L156" s="17"/>
      <c r="M156" s="16"/>
      <c r="N156" s="17"/>
    </row>
    <row r="157" ht="15.75" customHeight="1">
      <c r="A157" s="6"/>
      <c r="C157" s="16"/>
      <c r="D157" s="17"/>
      <c r="E157" s="16"/>
      <c r="F157" s="17"/>
      <c r="G157" s="16"/>
      <c r="H157" s="17"/>
      <c r="I157" s="16"/>
      <c r="J157" s="17"/>
      <c r="K157" s="16"/>
      <c r="L157" s="17"/>
      <c r="M157" s="16"/>
      <c r="N157" s="17"/>
    </row>
    <row r="158" ht="15.75" customHeight="1">
      <c r="A158" s="6"/>
      <c r="C158" s="16"/>
      <c r="D158" s="17"/>
      <c r="E158" s="16"/>
      <c r="F158" s="17"/>
      <c r="G158" s="16"/>
      <c r="H158" s="17"/>
      <c r="I158" s="16"/>
      <c r="J158" s="17"/>
      <c r="K158" s="16"/>
      <c r="L158" s="17"/>
      <c r="M158" s="16"/>
      <c r="N158" s="17"/>
    </row>
    <row r="159" ht="15.75" customHeight="1">
      <c r="A159" s="6"/>
      <c r="C159" s="16"/>
      <c r="D159" s="17"/>
      <c r="E159" s="16"/>
      <c r="F159" s="17"/>
      <c r="G159" s="16"/>
      <c r="H159" s="17"/>
      <c r="I159" s="16"/>
      <c r="J159" s="17"/>
      <c r="K159" s="16"/>
      <c r="L159" s="17"/>
      <c r="M159" s="16"/>
      <c r="N159" s="17"/>
    </row>
    <row r="160" ht="15.75" customHeight="1">
      <c r="A160" s="6"/>
      <c r="C160" s="16"/>
      <c r="D160" s="17"/>
      <c r="E160" s="16"/>
      <c r="F160" s="17"/>
      <c r="G160" s="16"/>
      <c r="H160" s="17"/>
      <c r="I160" s="16"/>
      <c r="J160" s="17"/>
      <c r="K160" s="16"/>
      <c r="L160" s="17"/>
      <c r="M160" s="16"/>
      <c r="N160" s="17"/>
    </row>
    <row r="161" ht="15.75" customHeight="1">
      <c r="A161" s="6"/>
      <c r="C161" s="16"/>
      <c r="D161" s="17"/>
      <c r="E161" s="16"/>
      <c r="F161" s="17"/>
      <c r="G161" s="16"/>
      <c r="H161" s="17"/>
      <c r="I161" s="16"/>
      <c r="J161" s="17"/>
      <c r="K161" s="16"/>
      <c r="L161" s="17"/>
      <c r="M161" s="16"/>
      <c r="N161" s="17"/>
    </row>
    <row r="162" ht="15.75" customHeight="1">
      <c r="A162" s="6"/>
      <c r="C162" s="16"/>
      <c r="D162" s="17"/>
      <c r="E162" s="16"/>
      <c r="F162" s="17"/>
      <c r="G162" s="16"/>
      <c r="H162" s="17"/>
      <c r="I162" s="16"/>
      <c r="J162" s="17"/>
      <c r="K162" s="16"/>
      <c r="L162" s="17"/>
      <c r="M162" s="16"/>
      <c r="N162" s="17"/>
    </row>
    <row r="163" ht="15.75" customHeight="1">
      <c r="A163" s="6"/>
      <c r="C163" s="16"/>
      <c r="D163" s="17"/>
      <c r="E163" s="16"/>
      <c r="F163" s="17"/>
      <c r="G163" s="16"/>
      <c r="H163" s="17"/>
      <c r="I163" s="16"/>
      <c r="J163" s="17"/>
      <c r="K163" s="16"/>
      <c r="L163" s="17"/>
      <c r="M163" s="16"/>
      <c r="N163" s="17"/>
    </row>
    <row r="164" ht="15.75" customHeight="1">
      <c r="A164" s="6"/>
      <c r="C164" s="16"/>
      <c r="D164" s="17"/>
      <c r="E164" s="16"/>
      <c r="F164" s="17"/>
      <c r="G164" s="16"/>
      <c r="H164" s="17"/>
      <c r="I164" s="16"/>
      <c r="J164" s="17"/>
      <c r="K164" s="16"/>
      <c r="L164" s="17"/>
      <c r="M164" s="16"/>
      <c r="N164" s="17"/>
    </row>
    <row r="165" ht="15.75" customHeight="1">
      <c r="A165" s="6"/>
      <c r="C165" s="16"/>
      <c r="D165" s="17"/>
      <c r="E165" s="16"/>
      <c r="F165" s="17"/>
      <c r="G165" s="16"/>
      <c r="H165" s="17"/>
      <c r="I165" s="16"/>
      <c r="J165" s="17"/>
      <c r="K165" s="16"/>
      <c r="L165" s="17"/>
      <c r="M165" s="16"/>
      <c r="N165" s="17"/>
    </row>
    <row r="166" ht="15.75" customHeight="1">
      <c r="A166" s="6"/>
      <c r="C166" s="16"/>
      <c r="D166" s="17"/>
      <c r="E166" s="16"/>
      <c r="F166" s="17"/>
      <c r="G166" s="16"/>
      <c r="H166" s="17"/>
      <c r="I166" s="16"/>
      <c r="J166" s="17"/>
      <c r="K166" s="16"/>
      <c r="L166" s="17"/>
      <c r="M166" s="16"/>
      <c r="N166" s="17"/>
    </row>
    <row r="167" ht="15.75" customHeight="1">
      <c r="A167" s="6"/>
      <c r="C167" s="16"/>
      <c r="D167" s="17"/>
      <c r="E167" s="16"/>
      <c r="F167" s="17"/>
      <c r="G167" s="16"/>
      <c r="H167" s="17"/>
      <c r="I167" s="16"/>
      <c r="J167" s="17"/>
      <c r="K167" s="16"/>
      <c r="L167" s="17"/>
      <c r="M167" s="16"/>
      <c r="N167" s="17"/>
    </row>
    <row r="168" ht="15.75" customHeight="1">
      <c r="A168" s="6"/>
      <c r="C168" s="16"/>
      <c r="D168" s="17"/>
      <c r="E168" s="16"/>
      <c r="F168" s="17"/>
      <c r="G168" s="16"/>
      <c r="H168" s="17"/>
      <c r="I168" s="16"/>
      <c r="J168" s="17"/>
      <c r="K168" s="16"/>
      <c r="L168" s="17"/>
      <c r="M168" s="16"/>
      <c r="N168" s="17"/>
    </row>
    <row r="169" ht="15.75" customHeight="1">
      <c r="A169" s="6"/>
      <c r="C169" s="16"/>
      <c r="D169" s="17"/>
      <c r="E169" s="16"/>
      <c r="F169" s="17"/>
      <c r="G169" s="16"/>
      <c r="H169" s="17"/>
      <c r="I169" s="16"/>
      <c r="J169" s="17"/>
      <c r="K169" s="16"/>
      <c r="L169" s="17"/>
      <c r="M169" s="16"/>
      <c r="N169" s="17"/>
    </row>
    <row r="170" ht="15.75" customHeight="1">
      <c r="A170" s="6"/>
      <c r="C170" s="16"/>
      <c r="D170" s="17"/>
      <c r="E170" s="16"/>
      <c r="F170" s="17"/>
      <c r="G170" s="16"/>
      <c r="H170" s="17"/>
      <c r="I170" s="16"/>
      <c r="J170" s="17"/>
      <c r="K170" s="16"/>
      <c r="L170" s="17"/>
      <c r="M170" s="16"/>
      <c r="N170" s="17"/>
    </row>
    <row r="171" ht="15.75" customHeight="1">
      <c r="A171" s="6"/>
      <c r="C171" s="16"/>
      <c r="D171" s="17"/>
      <c r="E171" s="16"/>
      <c r="F171" s="17"/>
      <c r="G171" s="16"/>
      <c r="H171" s="17"/>
      <c r="I171" s="16"/>
      <c r="J171" s="17"/>
      <c r="K171" s="16"/>
      <c r="L171" s="17"/>
      <c r="M171" s="16"/>
      <c r="N171" s="17"/>
    </row>
    <row r="172" ht="15.75" customHeight="1">
      <c r="A172" s="6"/>
      <c r="C172" s="16"/>
      <c r="D172" s="17"/>
      <c r="E172" s="16"/>
      <c r="F172" s="17"/>
      <c r="G172" s="16"/>
      <c r="H172" s="17"/>
      <c r="I172" s="16"/>
      <c r="J172" s="17"/>
      <c r="K172" s="16"/>
      <c r="L172" s="17"/>
      <c r="M172" s="16"/>
      <c r="N172" s="17"/>
    </row>
    <row r="173" ht="15.75" customHeight="1">
      <c r="A173" s="6"/>
      <c r="C173" s="16"/>
      <c r="D173" s="17"/>
      <c r="E173" s="16"/>
      <c r="F173" s="17"/>
      <c r="G173" s="16"/>
      <c r="H173" s="17"/>
      <c r="I173" s="16"/>
      <c r="J173" s="17"/>
      <c r="K173" s="16"/>
      <c r="L173" s="17"/>
      <c r="M173" s="16"/>
      <c r="N173" s="17"/>
    </row>
    <row r="174" ht="15.75" customHeight="1">
      <c r="A174" s="6"/>
      <c r="C174" s="16"/>
      <c r="D174" s="17"/>
      <c r="E174" s="16"/>
      <c r="F174" s="17"/>
      <c r="G174" s="16"/>
      <c r="H174" s="17"/>
      <c r="I174" s="16"/>
      <c r="J174" s="17"/>
      <c r="K174" s="16"/>
      <c r="L174" s="17"/>
      <c r="M174" s="16"/>
      <c r="N174" s="17"/>
    </row>
    <row r="175" ht="15.75" customHeight="1">
      <c r="A175" s="6"/>
      <c r="C175" s="16"/>
      <c r="D175" s="17"/>
      <c r="E175" s="16"/>
      <c r="F175" s="17"/>
      <c r="G175" s="16"/>
      <c r="H175" s="17"/>
      <c r="I175" s="16"/>
      <c r="J175" s="17"/>
      <c r="K175" s="16"/>
      <c r="L175" s="17"/>
      <c r="M175" s="16"/>
      <c r="N175" s="17"/>
    </row>
    <row r="176" ht="15.75" customHeight="1">
      <c r="A176" s="6"/>
      <c r="C176" s="16"/>
      <c r="D176" s="17"/>
      <c r="E176" s="16"/>
      <c r="F176" s="17"/>
      <c r="G176" s="16"/>
      <c r="H176" s="17"/>
      <c r="I176" s="16"/>
      <c r="J176" s="17"/>
      <c r="K176" s="16"/>
      <c r="L176" s="17"/>
      <c r="M176" s="16"/>
      <c r="N176" s="17"/>
    </row>
    <row r="177" ht="15.75" customHeight="1">
      <c r="A177" s="6"/>
      <c r="C177" s="16"/>
      <c r="D177" s="17"/>
      <c r="E177" s="16"/>
      <c r="F177" s="17"/>
      <c r="G177" s="16"/>
      <c r="H177" s="17"/>
      <c r="I177" s="16"/>
      <c r="J177" s="17"/>
      <c r="K177" s="16"/>
      <c r="L177" s="17"/>
      <c r="M177" s="16"/>
      <c r="N177" s="17"/>
    </row>
    <row r="178" ht="15.75" customHeight="1">
      <c r="A178" s="6"/>
      <c r="C178" s="16"/>
      <c r="D178" s="17"/>
      <c r="E178" s="16"/>
      <c r="F178" s="17"/>
      <c r="G178" s="16"/>
      <c r="H178" s="17"/>
      <c r="I178" s="16"/>
      <c r="J178" s="17"/>
      <c r="K178" s="16"/>
      <c r="L178" s="17"/>
      <c r="M178" s="16"/>
      <c r="N178" s="17"/>
    </row>
    <row r="179" ht="15.75" customHeight="1">
      <c r="A179" s="6"/>
      <c r="C179" s="16"/>
      <c r="D179" s="17"/>
      <c r="E179" s="16"/>
      <c r="F179" s="17"/>
      <c r="G179" s="16"/>
      <c r="H179" s="17"/>
      <c r="I179" s="16"/>
      <c r="J179" s="17"/>
      <c r="K179" s="16"/>
      <c r="L179" s="17"/>
      <c r="M179" s="16"/>
      <c r="N179" s="17"/>
    </row>
    <row r="180" ht="15.75" customHeight="1">
      <c r="A180" s="6"/>
      <c r="C180" s="16"/>
      <c r="D180" s="17"/>
      <c r="E180" s="16"/>
      <c r="F180" s="17"/>
      <c r="G180" s="16"/>
      <c r="H180" s="17"/>
      <c r="I180" s="16"/>
      <c r="J180" s="17"/>
      <c r="K180" s="16"/>
      <c r="L180" s="17"/>
      <c r="M180" s="16"/>
      <c r="N180" s="17"/>
    </row>
    <row r="181" ht="15.75" customHeight="1">
      <c r="A181" s="6"/>
      <c r="C181" s="16"/>
      <c r="D181" s="17"/>
      <c r="E181" s="16"/>
      <c r="F181" s="17"/>
      <c r="G181" s="16"/>
      <c r="H181" s="17"/>
      <c r="I181" s="16"/>
      <c r="J181" s="17"/>
      <c r="K181" s="16"/>
      <c r="L181" s="17"/>
      <c r="M181" s="16"/>
      <c r="N181" s="17"/>
    </row>
    <row r="182" ht="15.75" customHeight="1">
      <c r="A182" s="6"/>
      <c r="C182" s="16"/>
      <c r="D182" s="17"/>
      <c r="E182" s="16"/>
      <c r="F182" s="17"/>
      <c r="G182" s="16"/>
      <c r="H182" s="17"/>
      <c r="I182" s="16"/>
      <c r="J182" s="17"/>
      <c r="K182" s="16"/>
      <c r="L182" s="17"/>
      <c r="M182" s="16"/>
      <c r="N182" s="17"/>
    </row>
    <row r="183" ht="15.75" customHeight="1">
      <c r="A183" s="6"/>
      <c r="C183" s="16"/>
      <c r="D183" s="17"/>
      <c r="E183" s="16"/>
      <c r="F183" s="17"/>
      <c r="G183" s="16"/>
      <c r="H183" s="17"/>
      <c r="I183" s="16"/>
      <c r="J183" s="17"/>
      <c r="K183" s="16"/>
      <c r="L183" s="17"/>
      <c r="M183" s="16"/>
      <c r="N183" s="17"/>
    </row>
    <row r="184" ht="15.75" customHeight="1">
      <c r="A184" s="6"/>
      <c r="C184" s="16"/>
      <c r="D184" s="17"/>
      <c r="E184" s="16"/>
      <c r="F184" s="17"/>
      <c r="G184" s="16"/>
      <c r="H184" s="17"/>
      <c r="I184" s="16"/>
      <c r="J184" s="17"/>
      <c r="K184" s="16"/>
      <c r="L184" s="17"/>
      <c r="M184" s="16"/>
      <c r="N184" s="17"/>
    </row>
    <row r="185" ht="15.75" customHeight="1">
      <c r="A185" s="6"/>
      <c r="C185" s="16"/>
      <c r="D185" s="17"/>
      <c r="E185" s="16"/>
      <c r="F185" s="17"/>
      <c r="G185" s="16"/>
      <c r="H185" s="17"/>
      <c r="I185" s="16"/>
      <c r="J185" s="17"/>
      <c r="K185" s="16"/>
      <c r="L185" s="17"/>
      <c r="M185" s="16"/>
      <c r="N185" s="17"/>
    </row>
    <row r="186" ht="15.75" customHeight="1">
      <c r="A186" s="6"/>
      <c r="C186" s="16"/>
      <c r="D186" s="17"/>
      <c r="E186" s="16"/>
      <c r="F186" s="17"/>
      <c r="G186" s="16"/>
      <c r="H186" s="17"/>
      <c r="I186" s="16"/>
      <c r="J186" s="17"/>
      <c r="K186" s="16"/>
      <c r="L186" s="17"/>
      <c r="M186" s="16"/>
      <c r="N186" s="17"/>
    </row>
    <row r="187" ht="15.75" customHeight="1">
      <c r="A187" s="6"/>
      <c r="C187" s="16"/>
      <c r="D187" s="17"/>
      <c r="E187" s="16"/>
      <c r="F187" s="17"/>
      <c r="G187" s="16"/>
      <c r="H187" s="17"/>
      <c r="I187" s="16"/>
      <c r="J187" s="17"/>
      <c r="K187" s="16"/>
      <c r="L187" s="17"/>
      <c r="M187" s="16"/>
      <c r="N187" s="17"/>
    </row>
    <row r="188" ht="15.75" customHeight="1">
      <c r="A188" s="6"/>
      <c r="C188" s="16"/>
      <c r="D188" s="17"/>
      <c r="E188" s="16"/>
      <c r="F188" s="17"/>
      <c r="G188" s="16"/>
      <c r="H188" s="17"/>
      <c r="I188" s="16"/>
      <c r="J188" s="17"/>
      <c r="K188" s="16"/>
      <c r="L188" s="17"/>
      <c r="M188" s="16"/>
      <c r="N188" s="17"/>
    </row>
    <row r="189" ht="15.75" customHeight="1">
      <c r="A189" s="6"/>
      <c r="C189" s="16"/>
      <c r="D189" s="17"/>
      <c r="E189" s="16"/>
      <c r="F189" s="17"/>
      <c r="G189" s="16"/>
      <c r="H189" s="17"/>
      <c r="I189" s="16"/>
      <c r="J189" s="17"/>
      <c r="K189" s="16"/>
      <c r="L189" s="17"/>
      <c r="M189" s="16"/>
      <c r="N189" s="17"/>
    </row>
    <row r="190" ht="15.75" customHeight="1">
      <c r="A190" s="6"/>
      <c r="C190" s="16"/>
      <c r="D190" s="17"/>
      <c r="E190" s="16"/>
      <c r="F190" s="17"/>
      <c r="G190" s="16"/>
      <c r="H190" s="17"/>
      <c r="I190" s="16"/>
      <c r="J190" s="17"/>
      <c r="K190" s="16"/>
      <c r="L190" s="17"/>
      <c r="M190" s="16"/>
      <c r="N190" s="17"/>
    </row>
    <row r="191" ht="15.75" customHeight="1">
      <c r="A191" s="6"/>
      <c r="C191" s="16"/>
      <c r="D191" s="17"/>
      <c r="E191" s="16"/>
      <c r="F191" s="17"/>
      <c r="G191" s="16"/>
      <c r="H191" s="17"/>
      <c r="I191" s="16"/>
      <c r="J191" s="17"/>
      <c r="K191" s="16"/>
      <c r="L191" s="17"/>
      <c r="M191" s="16"/>
      <c r="N191" s="17"/>
    </row>
    <row r="192" ht="15.75" customHeight="1">
      <c r="A192" s="6"/>
      <c r="C192" s="16"/>
      <c r="D192" s="17"/>
      <c r="E192" s="16"/>
      <c r="F192" s="17"/>
      <c r="G192" s="16"/>
      <c r="H192" s="17"/>
      <c r="I192" s="16"/>
      <c r="J192" s="17"/>
      <c r="K192" s="16"/>
      <c r="L192" s="17"/>
      <c r="M192" s="16"/>
      <c r="N192" s="17"/>
    </row>
    <row r="193" ht="15.75" customHeight="1">
      <c r="A193" s="6"/>
      <c r="C193" s="16"/>
      <c r="D193" s="17"/>
      <c r="E193" s="16"/>
      <c r="F193" s="17"/>
      <c r="G193" s="16"/>
      <c r="H193" s="17"/>
      <c r="I193" s="16"/>
      <c r="J193" s="17"/>
      <c r="K193" s="16"/>
      <c r="L193" s="17"/>
      <c r="M193" s="16"/>
      <c r="N193" s="17"/>
    </row>
    <row r="194" ht="15.75" customHeight="1">
      <c r="A194" s="6"/>
      <c r="C194" s="16"/>
      <c r="D194" s="17"/>
      <c r="E194" s="16"/>
      <c r="F194" s="17"/>
      <c r="G194" s="16"/>
      <c r="H194" s="17"/>
      <c r="I194" s="16"/>
      <c r="J194" s="17"/>
      <c r="K194" s="16"/>
      <c r="L194" s="17"/>
      <c r="M194" s="16"/>
      <c r="N194" s="17"/>
    </row>
    <row r="195" ht="15.75" customHeight="1">
      <c r="A195" s="6"/>
      <c r="C195" s="16"/>
      <c r="D195" s="17"/>
      <c r="E195" s="16"/>
      <c r="F195" s="17"/>
      <c r="G195" s="16"/>
      <c r="H195" s="17"/>
      <c r="I195" s="16"/>
      <c r="J195" s="17"/>
      <c r="K195" s="16"/>
      <c r="L195" s="17"/>
      <c r="M195" s="16"/>
      <c r="N195" s="17"/>
    </row>
    <row r="196" ht="15.75" customHeight="1">
      <c r="A196" s="6"/>
      <c r="C196" s="16"/>
      <c r="D196" s="17"/>
      <c r="E196" s="16"/>
      <c r="F196" s="17"/>
      <c r="G196" s="16"/>
      <c r="H196" s="17"/>
      <c r="I196" s="16"/>
      <c r="J196" s="17"/>
      <c r="K196" s="16"/>
      <c r="L196" s="17"/>
      <c r="M196" s="16"/>
      <c r="N196" s="17"/>
    </row>
    <row r="197" ht="15.75" customHeight="1">
      <c r="A197" s="6"/>
      <c r="C197" s="16"/>
      <c r="D197" s="17"/>
      <c r="E197" s="16"/>
      <c r="F197" s="17"/>
      <c r="G197" s="16"/>
      <c r="H197" s="17"/>
      <c r="I197" s="16"/>
      <c r="J197" s="17"/>
      <c r="K197" s="16"/>
      <c r="L197" s="17"/>
      <c r="M197" s="16"/>
      <c r="N197" s="17"/>
    </row>
    <row r="198" ht="15.75" customHeight="1">
      <c r="A198" s="6"/>
      <c r="C198" s="16"/>
      <c r="D198" s="17"/>
      <c r="E198" s="16"/>
      <c r="F198" s="17"/>
      <c r="G198" s="16"/>
      <c r="H198" s="17"/>
      <c r="I198" s="16"/>
      <c r="J198" s="17"/>
      <c r="K198" s="16"/>
      <c r="L198" s="17"/>
      <c r="M198" s="16"/>
      <c r="N198" s="17"/>
    </row>
    <row r="199" ht="15.75" customHeight="1">
      <c r="A199" s="6"/>
      <c r="C199" s="16"/>
      <c r="D199" s="17"/>
      <c r="E199" s="16"/>
      <c r="F199" s="17"/>
      <c r="G199" s="16"/>
      <c r="H199" s="17"/>
      <c r="I199" s="16"/>
      <c r="J199" s="17"/>
      <c r="K199" s="16"/>
      <c r="L199" s="17"/>
      <c r="M199" s="16"/>
      <c r="N199" s="17"/>
    </row>
    <row r="200" ht="15.75" customHeight="1">
      <c r="A200" s="6"/>
      <c r="C200" s="16"/>
      <c r="D200" s="17"/>
      <c r="E200" s="16"/>
      <c r="F200" s="17"/>
      <c r="G200" s="16"/>
      <c r="H200" s="17"/>
      <c r="I200" s="16"/>
      <c r="J200" s="17"/>
      <c r="K200" s="16"/>
      <c r="L200" s="17"/>
      <c r="M200" s="16"/>
      <c r="N200" s="17"/>
    </row>
    <row r="201" ht="15.75" customHeight="1">
      <c r="A201" s="6"/>
      <c r="C201" s="16"/>
      <c r="D201" s="17"/>
      <c r="E201" s="16"/>
      <c r="F201" s="17"/>
      <c r="G201" s="16"/>
      <c r="H201" s="17"/>
      <c r="I201" s="16"/>
      <c r="J201" s="17"/>
      <c r="K201" s="16"/>
      <c r="L201" s="17"/>
      <c r="M201" s="16"/>
      <c r="N201" s="17"/>
    </row>
    <row r="202" ht="15.75" customHeight="1">
      <c r="A202" s="6"/>
      <c r="C202" s="16"/>
      <c r="D202" s="17"/>
      <c r="E202" s="16"/>
      <c r="F202" s="17"/>
      <c r="G202" s="16"/>
      <c r="H202" s="17"/>
      <c r="I202" s="16"/>
      <c r="J202" s="17"/>
      <c r="K202" s="16"/>
      <c r="L202" s="17"/>
      <c r="M202" s="16"/>
      <c r="N202" s="17"/>
    </row>
    <row r="203" ht="15.75" customHeight="1">
      <c r="A203" s="6"/>
      <c r="C203" s="16"/>
      <c r="D203" s="17"/>
      <c r="E203" s="16"/>
      <c r="F203" s="17"/>
      <c r="G203" s="16"/>
      <c r="H203" s="17"/>
      <c r="I203" s="16"/>
      <c r="J203" s="17"/>
      <c r="K203" s="16"/>
      <c r="L203" s="17"/>
      <c r="M203" s="16"/>
      <c r="N203" s="17"/>
    </row>
    <row r="204" ht="15.75" customHeight="1">
      <c r="A204" s="6"/>
      <c r="C204" s="16"/>
      <c r="D204" s="17"/>
      <c r="E204" s="16"/>
      <c r="F204" s="17"/>
      <c r="G204" s="16"/>
      <c r="H204" s="17"/>
      <c r="I204" s="16"/>
      <c r="J204" s="17"/>
      <c r="K204" s="16"/>
      <c r="L204" s="17"/>
      <c r="M204" s="16"/>
      <c r="N204" s="17"/>
    </row>
    <row r="205" ht="15.75" customHeight="1">
      <c r="A205" s="6"/>
      <c r="C205" s="16"/>
      <c r="D205" s="17"/>
      <c r="E205" s="16"/>
      <c r="F205" s="17"/>
      <c r="G205" s="16"/>
      <c r="H205" s="17"/>
      <c r="I205" s="16"/>
      <c r="J205" s="17"/>
      <c r="K205" s="16"/>
      <c r="L205" s="17"/>
      <c r="M205" s="16"/>
      <c r="N205" s="17"/>
    </row>
    <row r="206" ht="15.75" customHeight="1">
      <c r="A206" s="6"/>
      <c r="C206" s="16"/>
      <c r="D206" s="17"/>
      <c r="E206" s="16"/>
      <c r="F206" s="17"/>
      <c r="G206" s="16"/>
      <c r="H206" s="17"/>
      <c r="I206" s="16"/>
      <c r="J206" s="17"/>
      <c r="K206" s="16"/>
      <c r="L206" s="17"/>
      <c r="M206" s="16"/>
      <c r="N206" s="17"/>
    </row>
    <row r="207" ht="15.75" customHeight="1">
      <c r="A207" s="6"/>
      <c r="C207" s="16"/>
      <c r="D207" s="17"/>
      <c r="E207" s="16"/>
      <c r="F207" s="17"/>
      <c r="G207" s="16"/>
      <c r="H207" s="17"/>
      <c r="I207" s="16"/>
      <c r="J207" s="17"/>
      <c r="K207" s="16"/>
      <c r="L207" s="17"/>
      <c r="M207" s="16"/>
      <c r="N207" s="17"/>
    </row>
    <row r="208" ht="15.75" customHeight="1">
      <c r="A208" s="6"/>
      <c r="C208" s="16"/>
      <c r="D208" s="17"/>
      <c r="E208" s="16"/>
      <c r="F208" s="17"/>
      <c r="G208" s="16"/>
      <c r="H208" s="17"/>
      <c r="I208" s="16"/>
      <c r="J208" s="17"/>
      <c r="K208" s="16"/>
      <c r="L208" s="17"/>
      <c r="M208" s="16"/>
      <c r="N208" s="17"/>
    </row>
    <row r="209" ht="15.75" customHeight="1">
      <c r="A209" s="6"/>
      <c r="C209" s="16"/>
      <c r="D209" s="17"/>
      <c r="E209" s="16"/>
      <c r="F209" s="17"/>
      <c r="G209" s="16"/>
      <c r="H209" s="17"/>
      <c r="I209" s="16"/>
      <c r="J209" s="17"/>
      <c r="K209" s="16"/>
      <c r="L209" s="17"/>
      <c r="M209" s="16"/>
      <c r="N209" s="17"/>
    </row>
    <row r="210" ht="15.75" customHeight="1">
      <c r="A210" s="6"/>
      <c r="C210" s="16"/>
      <c r="D210" s="17"/>
      <c r="E210" s="16"/>
      <c r="F210" s="17"/>
      <c r="G210" s="16"/>
      <c r="H210" s="17"/>
      <c r="I210" s="16"/>
      <c r="J210" s="17"/>
      <c r="K210" s="16"/>
      <c r="L210" s="17"/>
      <c r="M210" s="16"/>
      <c r="N210" s="17"/>
    </row>
    <row r="211" ht="15.75" customHeight="1">
      <c r="A211" s="6"/>
      <c r="C211" s="16"/>
      <c r="D211" s="17"/>
      <c r="E211" s="16"/>
      <c r="F211" s="17"/>
      <c r="G211" s="16"/>
      <c r="H211" s="17"/>
      <c r="I211" s="16"/>
      <c r="J211" s="17"/>
      <c r="K211" s="16"/>
      <c r="L211" s="17"/>
      <c r="M211" s="16"/>
      <c r="N211" s="17"/>
    </row>
    <row r="212" ht="15.75" customHeight="1">
      <c r="A212" s="6"/>
      <c r="C212" s="16"/>
      <c r="D212" s="17"/>
      <c r="E212" s="16"/>
      <c r="F212" s="17"/>
      <c r="G212" s="16"/>
      <c r="H212" s="17"/>
      <c r="I212" s="16"/>
      <c r="J212" s="17"/>
      <c r="K212" s="16"/>
      <c r="L212" s="17"/>
      <c r="M212" s="16"/>
      <c r="N212" s="17"/>
    </row>
    <row r="213" ht="15.75" customHeight="1">
      <c r="A213" s="6"/>
      <c r="C213" s="16"/>
      <c r="D213" s="17"/>
      <c r="E213" s="16"/>
      <c r="F213" s="17"/>
      <c r="G213" s="16"/>
      <c r="H213" s="17"/>
      <c r="I213" s="16"/>
      <c r="J213" s="17"/>
      <c r="K213" s="16"/>
      <c r="L213" s="17"/>
      <c r="M213" s="16"/>
      <c r="N213" s="17"/>
    </row>
    <row r="214" ht="15.75" customHeight="1">
      <c r="A214" s="6"/>
      <c r="C214" s="16"/>
      <c r="D214" s="17"/>
      <c r="E214" s="16"/>
      <c r="F214" s="17"/>
      <c r="G214" s="16"/>
      <c r="H214" s="17"/>
      <c r="I214" s="16"/>
      <c r="J214" s="17"/>
      <c r="K214" s="16"/>
      <c r="L214" s="17"/>
      <c r="M214" s="16"/>
      <c r="N214" s="17"/>
    </row>
    <row r="215" ht="15.75" customHeight="1">
      <c r="A215" s="6"/>
      <c r="C215" s="16"/>
      <c r="D215" s="17"/>
      <c r="E215" s="16"/>
      <c r="F215" s="17"/>
      <c r="G215" s="16"/>
      <c r="H215" s="17"/>
      <c r="I215" s="16"/>
      <c r="J215" s="17"/>
      <c r="K215" s="16"/>
      <c r="L215" s="17"/>
      <c r="M215" s="16"/>
      <c r="N215" s="17"/>
    </row>
    <row r="216" ht="15.75" customHeight="1">
      <c r="A216" s="6"/>
      <c r="C216" s="16"/>
      <c r="D216" s="17"/>
      <c r="E216" s="16"/>
      <c r="F216" s="17"/>
      <c r="G216" s="16"/>
      <c r="H216" s="17"/>
      <c r="I216" s="16"/>
      <c r="J216" s="17"/>
      <c r="K216" s="16"/>
      <c r="L216" s="17"/>
      <c r="M216" s="16"/>
      <c r="N216" s="17"/>
    </row>
    <row r="217" ht="15.75" customHeight="1">
      <c r="A217" s="6"/>
      <c r="C217" s="16"/>
      <c r="D217" s="17"/>
      <c r="E217" s="16"/>
      <c r="F217" s="17"/>
      <c r="G217" s="16"/>
      <c r="H217" s="17"/>
      <c r="I217" s="16"/>
      <c r="J217" s="17"/>
      <c r="K217" s="16"/>
      <c r="L217" s="17"/>
      <c r="M217" s="16"/>
      <c r="N217" s="17"/>
    </row>
    <row r="218" ht="15.75" customHeight="1">
      <c r="A218" s="6"/>
      <c r="C218" s="16"/>
      <c r="D218" s="17"/>
      <c r="E218" s="16"/>
      <c r="F218" s="17"/>
      <c r="G218" s="16"/>
      <c r="H218" s="17"/>
      <c r="I218" s="16"/>
      <c r="J218" s="17"/>
      <c r="K218" s="16"/>
      <c r="L218" s="17"/>
      <c r="M218" s="16"/>
      <c r="N218" s="17"/>
    </row>
    <row r="219" ht="15.75" customHeight="1">
      <c r="A219" s="6"/>
      <c r="C219" s="16"/>
      <c r="D219" s="17"/>
      <c r="E219" s="16"/>
      <c r="F219" s="17"/>
      <c r="G219" s="16"/>
      <c r="H219" s="17"/>
      <c r="I219" s="16"/>
      <c r="J219" s="17"/>
      <c r="K219" s="16"/>
      <c r="L219" s="17"/>
      <c r="M219" s="16"/>
      <c r="N219" s="17"/>
    </row>
    <row r="220" ht="15.75" customHeight="1">
      <c r="A220" s="6"/>
      <c r="C220" s="16"/>
      <c r="D220" s="17"/>
      <c r="E220" s="16"/>
      <c r="F220" s="17"/>
      <c r="G220" s="16"/>
      <c r="H220" s="17"/>
      <c r="I220" s="16"/>
      <c r="J220" s="17"/>
      <c r="K220" s="16"/>
      <c r="L220" s="17"/>
      <c r="M220" s="16"/>
      <c r="N220" s="17"/>
    </row>
    <row r="221" ht="15.75" customHeight="1">
      <c r="A221" s="6"/>
      <c r="C221" s="16"/>
      <c r="D221" s="17"/>
      <c r="E221" s="16"/>
      <c r="F221" s="17"/>
      <c r="G221" s="16"/>
      <c r="H221" s="17"/>
      <c r="I221" s="16"/>
      <c r="J221" s="17"/>
      <c r="K221" s="16"/>
      <c r="L221" s="17"/>
      <c r="M221" s="16"/>
      <c r="N221" s="17"/>
    </row>
    <row r="222" ht="15.75" customHeight="1">
      <c r="A222" s="6"/>
      <c r="C222" s="16"/>
      <c r="D222" s="17"/>
      <c r="E222" s="16"/>
      <c r="F222" s="17"/>
      <c r="G222" s="16"/>
      <c r="H222" s="17"/>
      <c r="I222" s="16"/>
      <c r="J222" s="17"/>
      <c r="K222" s="16"/>
      <c r="L222" s="17"/>
      <c r="M222" s="16"/>
      <c r="N222" s="17"/>
    </row>
    <row r="223" ht="15.75" customHeight="1">
      <c r="A223" s="6"/>
      <c r="C223" s="16"/>
      <c r="D223" s="17"/>
      <c r="E223" s="16"/>
      <c r="F223" s="17"/>
      <c r="G223" s="16"/>
      <c r="H223" s="17"/>
      <c r="I223" s="16"/>
      <c r="J223" s="17"/>
      <c r="K223" s="16"/>
      <c r="L223" s="17"/>
      <c r="M223" s="16"/>
      <c r="N223" s="17"/>
    </row>
    <row r="224" ht="15.75" customHeight="1">
      <c r="A224" s="6"/>
      <c r="C224" s="16"/>
      <c r="D224" s="17"/>
      <c r="E224" s="16"/>
      <c r="F224" s="17"/>
      <c r="G224" s="16"/>
      <c r="H224" s="17"/>
      <c r="I224" s="16"/>
      <c r="J224" s="17"/>
      <c r="K224" s="16"/>
      <c r="L224" s="17"/>
      <c r="M224" s="16"/>
      <c r="N224" s="17"/>
    </row>
    <row r="225" ht="15.75" customHeight="1">
      <c r="A225" s="6"/>
      <c r="C225" s="16"/>
      <c r="D225" s="17"/>
      <c r="E225" s="16"/>
      <c r="F225" s="17"/>
      <c r="G225" s="16"/>
      <c r="H225" s="17"/>
      <c r="I225" s="16"/>
      <c r="J225" s="17"/>
      <c r="K225" s="16"/>
      <c r="L225" s="17"/>
      <c r="M225" s="16"/>
      <c r="N225" s="17"/>
    </row>
    <row r="226" ht="15.75" customHeight="1">
      <c r="A226" s="6"/>
      <c r="C226" s="16"/>
      <c r="D226" s="17"/>
      <c r="E226" s="16"/>
      <c r="F226" s="17"/>
      <c r="G226" s="16"/>
      <c r="H226" s="17"/>
      <c r="I226" s="16"/>
      <c r="J226" s="17"/>
      <c r="K226" s="16"/>
      <c r="L226" s="17"/>
      <c r="M226" s="16"/>
      <c r="N226" s="17"/>
    </row>
    <row r="227" ht="15.75" customHeight="1">
      <c r="A227" s="6"/>
      <c r="C227" s="16"/>
      <c r="D227" s="17"/>
      <c r="E227" s="16"/>
      <c r="F227" s="17"/>
      <c r="G227" s="16"/>
      <c r="H227" s="17"/>
      <c r="I227" s="16"/>
      <c r="J227" s="17"/>
      <c r="K227" s="16"/>
      <c r="L227" s="17"/>
      <c r="M227" s="16"/>
      <c r="N227" s="17"/>
    </row>
    <row r="228" ht="15.75" customHeight="1">
      <c r="A228" s="6"/>
      <c r="C228" s="16"/>
      <c r="D228" s="17"/>
      <c r="E228" s="16"/>
      <c r="F228" s="17"/>
      <c r="G228" s="16"/>
      <c r="H228" s="17"/>
      <c r="I228" s="16"/>
      <c r="J228" s="17"/>
      <c r="K228" s="16"/>
      <c r="L228" s="17"/>
      <c r="M228" s="16"/>
      <c r="N228" s="17"/>
    </row>
    <row r="229" ht="15.75" customHeight="1">
      <c r="A229" s="6"/>
      <c r="C229" s="16"/>
      <c r="D229" s="17"/>
      <c r="E229" s="16"/>
      <c r="F229" s="17"/>
      <c r="G229" s="16"/>
      <c r="H229" s="17"/>
      <c r="I229" s="16"/>
      <c r="J229" s="17"/>
      <c r="K229" s="16"/>
      <c r="L229" s="17"/>
      <c r="M229" s="16"/>
      <c r="N229" s="17"/>
    </row>
    <row r="230" ht="15.75" customHeight="1">
      <c r="A230" s="6"/>
      <c r="C230" s="16"/>
      <c r="D230" s="17"/>
      <c r="E230" s="16"/>
      <c r="F230" s="17"/>
      <c r="G230" s="16"/>
      <c r="H230" s="17"/>
      <c r="I230" s="16"/>
      <c r="J230" s="17"/>
      <c r="K230" s="16"/>
      <c r="L230" s="17"/>
      <c r="M230" s="16"/>
      <c r="N230" s="17"/>
    </row>
    <row r="231" ht="15.75" customHeight="1">
      <c r="A231" s="6"/>
      <c r="C231" s="16"/>
      <c r="D231" s="17"/>
      <c r="E231" s="16"/>
      <c r="F231" s="17"/>
      <c r="G231" s="16"/>
      <c r="H231" s="17"/>
      <c r="I231" s="16"/>
      <c r="J231" s="17"/>
      <c r="K231" s="16"/>
      <c r="L231" s="17"/>
      <c r="M231" s="16"/>
      <c r="N231" s="17"/>
    </row>
    <row r="232" ht="15.75" customHeight="1">
      <c r="A232" s="6"/>
      <c r="C232" s="16"/>
      <c r="D232" s="17"/>
      <c r="E232" s="16"/>
      <c r="F232" s="17"/>
      <c r="G232" s="16"/>
      <c r="H232" s="17"/>
      <c r="I232" s="16"/>
      <c r="J232" s="17"/>
      <c r="K232" s="16"/>
      <c r="L232" s="17"/>
      <c r="M232" s="16"/>
      <c r="N232" s="17"/>
    </row>
    <row r="233" ht="15.75" customHeight="1">
      <c r="A233" s="6"/>
      <c r="C233" s="16"/>
      <c r="D233" s="17"/>
      <c r="E233" s="16"/>
      <c r="F233" s="17"/>
      <c r="G233" s="16"/>
      <c r="H233" s="17"/>
      <c r="I233" s="16"/>
      <c r="J233" s="17"/>
      <c r="K233" s="16"/>
      <c r="L233" s="17"/>
      <c r="M233" s="16"/>
      <c r="N233" s="17"/>
    </row>
    <row r="234" ht="15.75" customHeight="1">
      <c r="A234" s="6"/>
      <c r="C234" s="16"/>
      <c r="D234" s="17"/>
      <c r="E234" s="16"/>
      <c r="F234" s="17"/>
      <c r="G234" s="16"/>
      <c r="H234" s="17"/>
      <c r="I234" s="16"/>
      <c r="J234" s="17"/>
      <c r="K234" s="16"/>
      <c r="L234" s="17"/>
      <c r="M234" s="16"/>
      <c r="N234" s="17"/>
    </row>
    <row r="235" ht="15.75" customHeight="1">
      <c r="A235" s="6"/>
      <c r="C235" s="16"/>
      <c r="D235" s="17"/>
      <c r="E235" s="16"/>
      <c r="F235" s="17"/>
      <c r="G235" s="16"/>
      <c r="H235" s="17"/>
      <c r="I235" s="16"/>
      <c r="J235" s="17"/>
      <c r="K235" s="16"/>
      <c r="L235" s="17"/>
      <c r="M235" s="16"/>
      <c r="N235" s="17"/>
    </row>
    <row r="236" ht="15.75" customHeight="1">
      <c r="A236" s="6"/>
      <c r="C236" s="16"/>
      <c r="D236" s="17"/>
      <c r="E236" s="16"/>
      <c r="F236" s="17"/>
      <c r="G236" s="16"/>
      <c r="H236" s="17"/>
      <c r="I236" s="16"/>
      <c r="J236" s="17"/>
      <c r="K236" s="16"/>
      <c r="L236" s="17"/>
      <c r="M236" s="16"/>
      <c r="N236" s="17"/>
    </row>
    <row r="237" ht="15.75" customHeight="1">
      <c r="A237" s="6"/>
      <c r="C237" s="16"/>
      <c r="D237" s="17"/>
      <c r="E237" s="16"/>
      <c r="F237" s="17"/>
      <c r="G237" s="16"/>
      <c r="H237" s="17"/>
      <c r="I237" s="16"/>
      <c r="J237" s="17"/>
      <c r="K237" s="16"/>
      <c r="L237" s="17"/>
      <c r="M237" s="16"/>
      <c r="N237" s="17"/>
    </row>
    <row r="238" ht="15.75" customHeight="1">
      <c r="A238" s="6"/>
      <c r="C238" s="16"/>
      <c r="D238" s="17"/>
      <c r="E238" s="16"/>
      <c r="F238" s="17"/>
      <c r="G238" s="16"/>
      <c r="H238" s="17"/>
      <c r="I238" s="16"/>
      <c r="J238" s="17"/>
      <c r="K238" s="16"/>
      <c r="L238" s="17"/>
      <c r="M238" s="16"/>
      <c r="N238" s="17"/>
    </row>
    <row r="239" ht="15.75" customHeight="1">
      <c r="A239" s="6"/>
      <c r="C239" s="16"/>
      <c r="D239" s="17"/>
      <c r="E239" s="16"/>
      <c r="F239" s="17"/>
      <c r="G239" s="16"/>
      <c r="H239" s="17"/>
      <c r="I239" s="16"/>
      <c r="J239" s="17"/>
      <c r="K239" s="16"/>
      <c r="L239" s="17"/>
      <c r="M239" s="16"/>
      <c r="N239" s="17"/>
    </row>
    <row r="240" ht="15.75" customHeight="1">
      <c r="A240" s="6"/>
      <c r="C240" s="16"/>
      <c r="D240" s="17"/>
      <c r="E240" s="16"/>
      <c r="F240" s="17"/>
      <c r="G240" s="16"/>
      <c r="H240" s="17"/>
      <c r="I240" s="16"/>
      <c r="J240" s="17"/>
      <c r="K240" s="16"/>
      <c r="L240" s="17"/>
      <c r="M240" s="16"/>
      <c r="N240" s="17"/>
    </row>
    <row r="241" ht="15.75" customHeight="1">
      <c r="A241" s="6"/>
      <c r="C241" s="16"/>
      <c r="D241" s="17"/>
      <c r="E241" s="16"/>
      <c r="F241" s="17"/>
      <c r="G241" s="16"/>
      <c r="H241" s="17"/>
      <c r="I241" s="16"/>
      <c r="J241" s="17"/>
      <c r="K241" s="16"/>
      <c r="L241" s="17"/>
      <c r="M241" s="16"/>
      <c r="N241" s="17"/>
    </row>
    <row r="242" ht="15.75" customHeight="1">
      <c r="A242" s="6"/>
      <c r="C242" s="16"/>
      <c r="D242" s="17"/>
      <c r="E242" s="16"/>
      <c r="F242" s="17"/>
      <c r="G242" s="16"/>
      <c r="H242" s="17"/>
      <c r="I242" s="16"/>
      <c r="J242" s="17"/>
      <c r="K242" s="16"/>
      <c r="L242" s="17"/>
      <c r="M242" s="16"/>
      <c r="N242" s="17"/>
    </row>
    <row r="243" ht="15.75" customHeight="1">
      <c r="A243" s="6"/>
      <c r="C243" s="16"/>
      <c r="D243" s="17"/>
      <c r="E243" s="16"/>
      <c r="F243" s="17"/>
      <c r="G243" s="16"/>
      <c r="H243" s="17"/>
      <c r="I243" s="16"/>
      <c r="J243" s="17"/>
      <c r="K243" s="16"/>
      <c r="L243" s="17"/>
      <c r="M243" s="16"/>
      <c r="N243" s="17"/>
    </row>
    <row r="244" ht="15.75" customHeight="1">
      <c r="A244" s="6"/>
      <c r="C244" s="16"/>
      <c r="D244" s="17"/>
      <c r="E244" s="16"/>
      <c r="F244" s="17"/>
      <c r="G244" s="16"/>
      <c r="H244" s="17"/>
      <c r="I244" s="16"/>
      <c r="J244" s="17"/>
      <c r="K244" s="16"/>
      <c r="L244" s="17"/>
      <c r="M244" s="16"/>
      <c r="N244" s="17"/>
    </row>
    <row r="245" ht="15.75" customHeight="1">
      <c r="A245" s="6"/>
      <c r="C245" s="16"/>
      <c r="D245" s="17"/>
      <c r="E245" s="16"/>
      <c r="F245" s="17"/>
      <c r="G245" s="16"/>
      <c r="H245" s="17"/>
      <c r="I245" s="16"/>
      <c r="J245" s="17"/>
      <c r="K245" s="16"/>
      <c r="L245" s="17"/>
      <c r="M245" s="16"/>
      <c r="N245" s="17"/>
    </row>
    <row r="246" ht="15.75" customHeight="1">
      <c r="A246" s="6"/>
      <c r="C246" s="16"/>
      <c r="D246" s="17"/>
      <c r="E246" s="16"/>
      <c r="F246" s="17"/>
      <c r="G246" s="16"/>
      <c r="H246" s="17"/>
      <c r="I246" s="16"/>
      <c r="J246" s="17"/>
      <c r="K246" s="16"/>
      <c r="L246" s="17"/>
      <c r="M246" s="16"/>
      <c r="N246" s="17"/>
    </row>
    <row r="247" ht="15.75" customHeight="1">
      <c r="A247" s="6"/>
      <c r="C247" s="16"/>
      <c r="D247" s="17"/>
      <c r="E247" s="16"/>
      <c r="F247" s="17"/>
      <c r="G247" s="16"/>
      <c r="H247" s="17"/>
      <c r="I247" s="16"/>
      <c r="J247" s="17"/>
      <c r="K247" s="16"/>
      <c r="L247" s="17"/>
      <c r="M247" s="16"/>
      <c r="N247" s="17"/>
    </row>
    <row r="248" ht="15.75" customHeight="1">
      <c r="A248" s="6"/>
      <c r="C248" s="16"/>
      <c r="D248" s="17"/>
      <c r="E248" s="16"/>
      <c r="F248" s="17"/>
      <c r="G248" s="16"/>
      <c r="H248" s="17"/>
      <c r="I248" s="16"/>
      <c r="J248" s="17"/>
      <c r="K248" s="16"/>
      <c r="L248" s="17"/>
      <c r="M248" s="16"/>
      <c r="N248" s="17"/>
    </row>
    <row r="249" ht="15.75" customHeight="1">
      <c r="A249" s="6"/>
      <c r="C249" s="16"/>
      <c r="D249" s="17"/>
      <c r="E249" s="16"/>
      <c r="F249" s="17"/>
      <c r="G249" s="16"/>
      <c r="H249" s="17"/>
      <c r="I249" s="16"/>
      <c r="J249" s="17"/>
      <c r="K249" s="16"/>
      <c r="L249" s="17"/>
      <c r="M249" s="16"/>
      <c r="N249" s="17"/>
    </row>
    <row r="250" ht="15.75" customHeight="1">
      <c r="A250" s="6"/>
      <c r="C250" s="16"/>
      <c r="D250" s="17"/>
      <c r="E250" s="16"/>
      <c r="F250" s="17"/>
      <c r="G250" s="16"/>
      <c r="H250" s="17"/>
      <c r="I250" s="16"/>
      <c r="J250" s="17"/>
      <c r="K250" s="16"/>
      <c r="L250" s="17"/>
      <c r="M250" s="16"/>
      <c r="N250" s="17"/>
    </row>
    <row r="251" ht="15.75" customHeight="1">
      <c r="A251" s="6"/>
      <c r="C251" s="16"/>
      <c r="D251" s="17"/>
      <c r="E251" s="16"/>
      <c r="F251" s="17"/>
      <c r="G251" s="16"/>
      <c r="H251" s="17"/>
      <c r="I251" s="16"/>
      <c r="J251" s="17"/>
      <c r="K251" s="16"/>
      <c r="L251" s="17"/>
      <c r="M251" s="16"/>
      <c r="N251" s="17"/>
    </row>
    <row r="252" ht="15.75" customHeight="1">
      <c r="A252" s="6"/>
      <c r="C252" s="16"/>
      <c r="D252" s="17"/>
      <c r="E252" s="16"/>
      <c r="F252" s="17"/>
      <c r="G252" s="16"/>
      <c r="H252" s="17"/>
      <c r="I252" s="16"/>
      <c r="J252" s="17"/>
      <c r="K252" s="16"/>
      <c r="L252" s="17"/>
      <c r="M252" s="16"/>
      <c r="N252" s="17"/>
    </row>
    <row r="253" ht="15.75" customHeight="1">
      <c r="A253" s="6"/>
      <c r="C253" s="16"/>
      <c r="D253" s="17"/>
      <c r="E253" s="16"/>
      <c r="F253" s="17"/>
      <c r="G253" s="16"/>
      <c r="H253" s="17"/>
      <c r="I253" s="16"/>
      <c r="J253" s="17"/>
      <c r="K253" s="16"/>
      <c r="L253" s="17"/>
      <c r="M253" s="16"/>
      <c r="N253" s="17"/>
    </row>
    <row r="254" ht="15.75" customHeight="1">
      <c r="A254" s="6"/>
      <c r="C254" s="16"/>
      <c r="D254" s="17"/>
      <c r="E254" s="16"/>
      <c r="F254" s="17"/>
      <c r="G254" s="16"/>
      <c r="H254" s="17"/>
      <c r="I254" s="16"/>
      <c r="J254" s="17"/>
      <c r="K254" s="16"/>
      <c r="L254" s="17"/>
      <c r="M254" s="16"/>
      <c r="N254" s="17"/>
    </row>
    <row r="255" ht="15.75" customHeight="1">
      <c r="A255" s="6"/>
      <c r="C255" s="16"/>
      <c r="D255" s="17"/>
      <c r="E255" s="16"/>
      <c r="F255" s="17"/>
      <c r="G255" s="16"/>
      <c r="H255" s="17"/>
      <c r="I255" s="16"/>
      <c r="J255" s="17"/>
      <c r="K255" s="16"/>
      <c r="L255" s="17"/>
      <c r="M255" s="16"/>
      <c r="N255" s="17"/>
    </row>
    <row r="256" ht="15.75" customHeight="1">
      <c r="A256" s="6"/>
      <c r="C256" s="16"/>
      <c r="D256" s="17"/>
      <c r="E256" s="16"/>
      <c r="F256" s="17"/>
      <c r="G256" s="16"/>
      <c r="H256" s="17"/>
      <c r="I256" s="16"/>
      <c r="J256" s="17"/>
      <c r="K256" s="16"/>
      <c r="L256" s="17"/>
      <c r="M256" s="16"/>
      <c r="N256" s="17"/>
    </row>
    <row r="257" ht="15.75" customHeight="1">
      <c r="A257" s="6"/>
      <c r="C257" s="16"/>
      <c r="D257" s="17"/>
      <c r="E257" s="16"/>
      <c r="F257" s="17"/>
      <c r="G257" s="16"/>
      <c r="H257" s="17"/>
      <c r="I257" s="16"/>
      <c r="J257" s="17"/>
      <c r="K257" s="16"/>
      <c r="L257" s="17"/>
      <c r="M257" s="16"/>
      <c r="N257" s="17"/>
    </row>
    <row r="258" ht="15.75" customHeight="1">
      <c r="A258" s="6"/>
      <c r="C258" s="16"/>
      <c r="D258" s="17"/>
      <c r="E258" s="16"/>
      <c r="F258" s="17"/>
      <c r="G258" s="16"/>
      <c r="H258" s="17"/>
      <c r="I258" s="16"/>
      <c r="J258" s="17"/>
      <c r="K258" s="16"/>
      <c r="L258" s="17"/>
      <c r="M258" s="16"/>
      <c r="N258" s="17"/>
    </row>
    <row r="259" ht="15.75" customHeight="1">
      <c r="A259" s="6"/>
      <c r="C259" s="16"/>
      <c r="D259" s="17"/>
      <c r="E259" s="16"/>
      <c r="F259" s="17"/>
      <c r="G259" s="16"/>
      <c r="H259" s="17"/>
      <c r="I259" s="16"/>
      <c r="J259" s="17"/>
      <c r="K259" s="16"/>
      <c r="L259" s="17"/>
      <c r="M259" s="16"/>
      <c r="N259" s="17"/>
    </row>
    <row r="260" ht="15.75" customHeight="1">
      <c r="A260" s="6"/>
      <c r="C260" s="16"/>
      <c r="D260" s="17"/>
      <c r="E260" s="16"/>
      <c r="F260" s="17"/>
      <c r="G260" s="16"/>
      <c r="H260" s="17"/>
      <c r="I260" s="16"/>
      <c r="J260" s="17"/>
      <c r="K260" s="16"/>
      <c r="L260" s="17"/>
      <c r="M260" s="16"/>
      <c r="N260" s="17"/>
    </row>
    <row r="261" ht="15.75" customHeight="1">
      <c r="A261" s="6"/>
      <c r="C261" s="16"/>
      <c r="D261" s="17"/>
      <c r="E261" s="16"/>
      <c r="F261" s="17"/>
      <c r="G261" s="16"/>
      <c r="H261" s="17"/>
      <c r="I261" s="16"/>
      <c r="J261" s="17"/>
      <c r="K261" s="16"/>
      <c r="L261" s="17"/>
      <c r="M261" s="16"/>
      <c r="N261" s="17"/>
    </row>
    <row r="262" ht="15.75" customHeight="1">
      <c r="A262" s="6"/>
      <c r="C262" s="16"/>
      <c r="D262" s="17"/>
      <c r="E262" s="16"/>
      <c r="F262" s="17"/>
      <c r="G262" s="16"/>
      <c r="H262" s="17"/>
      <c r="I262" s="16"/>
      <c r="J262" s="17"/>
      <c r="K262" s="16"/>
      <c r="L262" s="17"/>
      <c r="M262" s="16"/>
      <c r="N262" s="17"/>
    </row>
    <row r="263" ht="15.75" customHeight="1">
      <c r="A263" s="6"/>
      <c r="C263" s="16"/>
      <c r="D263" s="17"/>
      <c r="E263" s="16"/>
      <c r="F263" s="17"/>
      <c r="G263" s="16"/>
      <c r="H263" s="17"/>
      <c r="I263" s="16"/>
      <c r="J263" s="17"/>
      <c r="K263" s="16"/>
      <c r="L263" s="17"/>
      <c r="M263" s="16"/>
      <c r="N263" s="17"/>
    </row>
    <row r="264" ht="15.75" customHeight="1">
      <c r="A264" s="6"/>
      <c r="C264" s="16"/>
      <c r="D264" s="17"/>
      <c r="E264" s="16"/>
      <c r="F264" s="17"/>
      <c r="G264" s="16"/>
      <c r="H264" s="17"/>
      <c r="I264" s="16"/>
      <c r="J264" s="17"/>
      <c r="K264" s="16"/>
      <c r="L264" s="17"/>
      <c r="M264" s="16"/>
      <c r="N264" s="17"/>
    </row>
    <row r="265" ht="15.75" customHeight="1">
      <c r="A265" s="6"/>
      <c r="C265" s="16"/>
      <c r="D265" s="17"/>
      <c r="E265" s="16"/>
      <c r="F265" s="17"/>
      <c r="G265" s="16"/>
      <c r="H265" s="17"/>
      <c r="I265" s="16"/>
      <c r="J265" s="17"/>
      <c r="K265" s="16"/>
      <c r="L265" s="17"/>
      <c r="M265" s="16"/>
      <c r="N265" s="17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1">
      <formula1>Menus!$A$2:$A1065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 outlineLevelCol="1"/>
  <cols>
    <col customWidth="1" min="1" max="1" width="30.88"/>
    <col customWidth="1" min="2" max="3" width="17.25"/>
    <col customWidth="1" min="4" max="4" width="15.5"/>
    <col customWidth="1" min="5" max="5" width="21.88"/>
    <col customWidth="1" min="6" max="6" width="10.75"/>
    <col customWidth="1" min="7" max="7" width="12.75"/>
    <col customWidth="1" min="8" max="8" width="21.25" outlineLevel="1"/>
    <col customWidth="1" min="9" max="9" width="13.75" outlineLevel="1"/>
    <col customWidth="1" min="10" max="10" width="12.75" outlineLevel="1"/>
    <col customWidth="1" min="11" max="11" width="16.63" outlineLevel="1"/>
    <col customWidth="1" min="12" max="12" width="13.75" outlineLevel="1"/>
    <col customWidth="1" min="13" max="13" width="12.75" outlineLevel="1"/>
    <col customWidth="1" min="14" max="15" width="13.75" outlineLevel="1"/>
    <col customWidth="1" min="16" max="16" width="12.75" outlineLevel="1"/>
    <col customWidth="1" min="17" max="17" width="15.25" outlineLevel="1"/>
    <col customWidth="1" min="18" max="18" width="13.75" outlineLevel="1"/>
    <col customWidth="1" min="19" max="19" width="12.75" outlineLevel="1"/>
    <col customWidth="1" min="20" max="20" width="15.0" outlineLevel="1"/>
    <col customWidth="1" min="21" max="21" width="13.75" outlineLevel="1"/>
    <col customWidth="1" min="22" max="22" width="12.75" outlineLevel="1"/>
    <col customWidth="1" min="23" max="23" width="16.25" outlineLevel="1"/>
    <col customWidth="1" min="24" max="24" width="13.75" outlineLevel="1"/>
    <col customWidth="1" min="25" max="25" width="12.75" outlineLevel="1"/>
    <col customWidth="1" min="26" max="26" width="17.0" outlineLevel="1"/>
    <col customWidth="1" min="27" max="27" width="13.75" outlineLevel="1"/>
    <col customWidth="1" min="28" max="28" width="12.75" outlineLevel="1"/>
    <col customWidth="1" min="29" max="29" width="16.75" outlineLevel="1"/>
    <col customWidth="1" min="30" max="30" width="13.75" outlineLevel="1"/>
    <col customWidth="1" min="31" max="31" width="12.75" outlineLevel="1"/>
    <col customWidth="1" min="32" max="32" width="15.0" outlineLevel="1"/>
    <col customWidth="1" min="33" max="33" width="13.75" outlineLevel="1"/>
    <col customWidth="1" min="34" max="34" width="12.75" outlineLevel="1"/>
    <col customWidth="1" min="35" max="35" width="15.75" outlineLevel="1"/>
    <col customWidth="1" min="36" max="36" width="13.75" outlineLevel="1"/>
    <col customWidth="1" min="37" max="37" width="12.75" outlineLevel="1"/>
    <col customWidth="1" min="38" max="38" width="16.25" outlineLevel="1"/>
    <col customWidth="1" min="39" max="39" width="13.75" outlineLevel="1"/>
    <col customWidth="1" min="40" max="40" width="12.75" outlineLevel="1"/>
    <col customWidth="1" min="41" max="41" width="19.25" outlineLevel="1"/>
    <col customWidth="1" min="42" max="42" width="13.75" outlineLevel="1"/>
    <col customWidth="1" min="43" max="43" width="12.75" outlineLevel="1"/>
    <col customWidth="1" min="44" max="44" width="29.0" outlineLevel="1"/>
    <col customWidth="1" min="45" max="45" width="13.75" outlineLevel="1"/>
    <col customWidth="1" min="46" max="46" width="12.75" outlineLevel="1"/>
    <col customWidth="1" min="47" max="48" width="13.75" outlineLevel="1"/>
    <col customWidth="1" min="49" max="49" width="12.75" outlineLevel="1"/>
    <col customWidth="1" min="50" max="51" width="13.75" outlineLevel="1"/>
    <col customWidth="1" min="52" max="52" width="12.75" outlineLevel="1"/>
    <col customWidth="1" min="53" max="53" width="17.88" outlineLevel="1"/>
    <col customWidth="1" min="54" max="54" width="13.75" outlineLevel="1"/>
    <col customWidth="1" min="55" max="55" width="12.75" outlineLevel="1"/>
    <col customWidth="1" min="56" max="56" width="22.25" outlineLevel="1"/>
    <col customWidth="1" min="57" max="57" width="13.75" outlineLevel="1"/>
    <col customWidth="1" min="58" max="58" width="12.75" outlineLevel="1"/>
    <col customWidth="1" min="59" max="59" width="18.38" outlineLevel="1"/>
    <col customWidth="1" min="60" max="60" width="13.75" outlineLevel="1"/>
    <col customWidth="1" min="61" max="61" width="12.75" outlineLevel="1"/>
    <col customWidth="1" min="62" max="62" width="10.0" outlineLevel="1"/>
    <col customWidth="1" min="63" max="63" width="6.5" outlineLevel="1"/>
    <col customWidth="1" min="64" max="64" width="6.0" outlineLevel="1"/>
    <col customWidth="1" min="65" max="65" width="10.0" outlineLevel="1"/>
    <col customWidth="1" min="66" max="66" width="6.5" outlineLevel="1"/>
    <col customWidth="1" min="67" max="67" width="6.0" outlineLevel="1"/>
    <col customWidth="1" min="68" max="68" width="22.63" outlineLevel="1"/>
    <col customWidth="1" min="69" max="69" width="13.75" outlineLevel="1"/>
    <col customWidth="1" min="70" max="70" width="12.75" outlineLevel="1"/>
    <col customWidth="1" min="71" max="71" width="27.25" outlineLevel="1"/>
    <col customWidth="1" min="72" max="72" width="13.75" outlineLevel="1"/>
    <col customWidth="1" min="73" max="73" width="12.75" outlineLevel="1"/>
    <col customWidth="1" min="74" max="74" width="23.38" outlineLevel="1"/>
    <col customWidth="1" min="75" max="75" width="13.75" outlineLevel="1"/>
    <col customWidth="1" min="76" max="76" width="12.75" outlineLevel="1"/>
    <col customWidth="1" min="77" max="77" width="20.0" outlineLevel="1"/>
    <col customWidth="1" min="78" max="78" width="13.75" outlineLevel="1"/>
    <col customWidth="1" min="79" max="79" width="12.75" outlineLevel="1"/>
    <col customWidth="1" min="80" max="80" width="28.75" outlineLevel="1"/>
    <col customWidth="1" min="81" max="81" width="13.75" outlineLevel="1"/>
    <col customWidth="1" min="82" max="82" width="12.75" outlineLevel="1"/>
    <col customWidth="1" min="83" max="84" width="13.75" outlineLevel="1"/>
    <col customWidth="1" min="85" max="85" width="12.75" outlineLevel="1"/>
    <col customWidth="1" min="86" max="86" width="12.13" outlineLevel="1"/>
    <col customWidth="1" min="87" max="87" width="6.5" outlineLevel="1"/>
    <col customWidth="1" min="88" max="88" width="6.0" outlineLevel="1"/>
    <col customWidth="1" min="89" max="89" width="13.25" outlineLevel="1"/>
    <col customWidth="1" min="90" max="90" width="6.5" outlineLevel="1"/>
    <col customWidth="1" min="91" max="91" width="6.0" outlineLevel="1"/>
    <col customWidth="1" min="92" max="92" width="18.5" outlineLevel="1"/>
    <col customWidth="1" min="93" max="93" width="13.75" outlineLevel="1"/>
    <col customWidth="1" min="94" max="94" width="12.75" outlineLevel="1"/>
    <col customWidth="1" min="95" max="95" width="14.88" outlineLevel="1"/>
    <col customWidth="1" min="96" max="96" width="13.75" outlineLevel="1"/>
    <col customWidth="1" min="97" max="97" width="12.75" outlineLevel="1"/>
    <col customWidth="1" min="98" max="98" width="25.25" outlineLevel="1"/>
    <col customWidth="1" min="99" max="99" width="13.75" outlineLevel="1"/>
    <col customWidth="1" min="100" max="100" width="12.75" outlineLevel="1"/>
    <col customWidth="1" min="101" max="102" width="13.75" outlineLevel="1"/>
    <col customWidth="1" min="103" max="103" width="12.75" outlineLevel="1"/>
    <col customWidth="1" min="104" max="104" width="19.75" outlineLevel="1"/>
    <col customWidth="1" min="105" max="105" width="13.75" outlineLevel="1"/>
    <col customWidth="1" min="106" max="106" width="12.75" outlineLevel="1"/>
    <col customWidth="1" min="107" max="108" width="13.75" outlineLevel="1"/>
    <col customWidth="1" min="109" max="109" width="12.75" outlineLevel="1"/>
    <col customWidth="1" min="110" max="110" width="24.5" outlineLevel="1"/>
    <col customWidth="1" min="111" max="111" width="13.75" outlineLevel="1"/>
    <col customWidth="1" min="112" max="112" width="12.75" outlineLevel="1"/>
    <col customWidth="1" min="113" max="113" width="14.5" outlineLevel="1"/>
    <col customWidth="1" min="114" max="114" width="13.75" outlineLevel="1"/>
    <col customWidth="1" min="115" max="115" width="12.75" outlineLevel="1"/>
    <col customWidth="1" min="116" max="116" width="19.13" outlineLevel="1"/>
    <col customWidth="1" min="117" max="117" width="13.75" outlineLevel="1"/>
    <col customWidth="1" min="118" max="118" width="12.75" outlineLevel="1"/>
    <col customWidth="1" min="119" max="119" width="13.88" outlineLevel="1"/>
    <col customWidth="1" min="120" max="120" width="13.75" outlineLevel="1"/>
    <col customWidth="1" min="121" max="121" width="12.75" outlineLevel="1"/>
    <col customWidth="1" min="122" max="122" width="10.0" outlineLevel="1"/>
    <col customWidth="1" min="123" max="123" width="6.5" outlineLevel="1"/>
    <col customWidth="1" min="124" max="124" width="6.0" outlineLevel="1"/>
    <col customWidth="1" min="125" max="125" width="10.0" outlineLevel="1"/>
    <col customWidth="1" min="126" max="126" width="6.5" outlineLevel="1"/>
    <col customWidth="1" min="127" max="127" width="6.0" outlineLevel="1"/>
    <col customWidth="1" min="128" max="129" width="13.75" outlineLevel="1"/>
    <col customWidth="1" min="130" max="130" width="12.75" outlineLevel="1"/>
    <col customWidth="1" min="131" max="132" width="13.75" outlineLevel="1"/>
    <col customWidth="1" min="133" max="133" width="12.75" outlineLevel="1"/>
    <col customWidth="1" min="134" max="135" width="13.75" outlineLevel="1"/>
    <col customWidth="1" min="136" max="136" width="12.75" outlineLevel="1"/>
    <col customWidth="1" min="137" max="138" width="13.75" outlineLevel="1"/>
    <col customWidth="1" min="139" max="139" width="12.75" outlineLevel="1"/>
    <col customWidth="1" min="140" max="141" width="13.75" outlineLevel="1"/>
    <col customWidth="1" min="142" max="142" width="12.75" outlineLevel="1"/>
    <col customWidth="1" min="143" max="144" width="13.75" outlineLevel="1"/>
    <col customWidth="1" min="145" max="145" width="12.75" outlineLevel="1"/>
    <col customWidth="1" min="146" max="147" width="13.75" outlineLevel="1"/>
    <col customWidth="1" min="148" max="148" width="12.75" outlineLevel="1"/>
    <col customWidth="1" min="149" max="150" width="13.75" outlineLevel="1"/>
    <col customWidth="1" min="151" max="151" width="12.75" outlineLevel="1"/>
    <col customWidth="1" min="152" max="153" width="13.75" outlineLevel="1"/>
    <col customWidth="1" min="154" max="154" width="12.75" outlineLevel="1"/>
    <col customWidth="1" min="155" max="156" width="13.75" outlineLevel="1"/>
    <col customWidth="1" min="157" max="157" width="12.75" outlineLevel="1"/>
    <col customWidth="1" min="158" max="159" width="13.75" outlineLevel="1"/>
    <col customWidth="1" min="160" max="160" width="12.75" outlineLevel="1"/>
    <col customWidth="1" min="161" max="162" width="13.75" outlineLevel="1"/>
    <col customWidth="1" min="163" max="163" width="12.75" outlineLevel="1"/>
    <col customWidth="1" min="164" max="165" width="13.75" outlineLevel="1"/>
    <col customWidth="1" min="166" max="166" width="12.75" outlineLevel="1"/>
  </cols>
  <sheetData>
    <row r="1" ht="15.75" customHeight="1">
      <c r="A1" s="18" t="s">
        <v>24</v>
      </c>
      <c r="B1" s="60" t="str">
        <f>VLOOKUP(A1,Menus!E2:L13,6)</f>
        <v>#N/A</v>
      </c>
      <c r="C1" s="60" t="str">
        <f>VLOOKUP(A1,Menus!E2:L13,7)</f>
        <v>#N/A</v>
      </c>
      <c r="D1" s="60" t="str">
        <f>VLOOKUP(A1,Menus!E2:L13,8)</f>
        <v>#N/A</v>
      </c>
      <c r="E1" s="61" t="s">
        <v>21</v>
      </c>
      <c r="G1" s="62"/>
      <c r="H1" s="24" t="str">
        <f>Menus!A2</f>
        <v/>
      </c>
      <c r="J1" s="62"/>
      <c r="K1" s="4" t="str">
        <f>Menus!A3</f>
        <v/>
      </c>
      <c r="M1" s="62"/>
      <c r="N1" s="3" t="str">
        <f>Menus!A4</f>
        <v/>
      </c>
      <c r="P1" s="62"/>
      <c r="Q1" s="4" t="str">
        <f>Menus!A5</f>
        <v/>
      </c>
      <c r="S1" s="62"/>
      <c r="T1" s="3" t="str">
        <f>Menus!A6</f>
        <v/>
      </c>
      <c r="V1" s="62"/>
      <c r="W1" s="4" t="str">
        <f>Menus!A7</f>
        <v/>
      </c>
      <c r="Y1" s="62"/>
      <c r="Z1" s="3" t="str">
        <f>Menus!A8</f>
        <v/>
      </c>
      <c r="AB1" s="62"/>
      <c r="AC1" s="4" t="str">
        <f>Menus!A9</f>
        <v/>
      </c>
      <c r="AE1" s="62"/>
      <c r="AF1" s="3" t="str">
        <f>Menus!A10</f>
        <v/>
      </c>
      <c r="AH1" s="62"/>
      <c r="AI1" s="4" t="str">
        <f>Menus!A11</f>
        <v/>
      </c>
      <c r="AK1" s="62"/>
      <c r="AL1" s="3" t="str">
        <f>Menus!A12</f>
        <v/>
      </c>
      <c r="AN1" s="62"/>
      <c r="AO1" s="4" t="str">
        <f>Menus!A13</f>
        <v/>
      </c>
      <c r="AQ1" s="62"/>
      <c r="AR1" s="3" t="str">
        <f>Menus!A14</f>
        <v/>
      </c>
      <c r="AT1" s="62"/>
      <c r="AU1" s="4" t="str">
        <f>Menus!A15</f>
        <v/>
      </c>
      <c r="AW1" s="62"/>
      <c r="AX1" s="3" t="str">
        <f>Menus!A16</f>
        <v/>
      </c>
      <c r="AZ1" s="62"/>
      <c r="BA1" s="4" t="str">
        <f>Menus!A17</f>
        <v/>
      </c>
      <c r="BC1" s="62"/>
      <c r="BD1" s="3" t="str">
        <f>Menus!A18</f>
        <v/>
      </c>
      <c r="BF1" s="62"/>
      <c r="BG1" s="4" t="str">
        <f>Menus!A19</f>
        <v/>
      </c>
      <c r="BI1" s="62"/>
      <c r="BJ1" s="3" t="str">
        <f>Menus!A20</f>
        <v/>
      </c>
      <c r="BL1" s="62"/>
      <c r="BM1" s="4" t="str">
        <f>Menus!A21</f>
        <v/>
      </c>
      <c r="BO1" s="62"/>
      <c r="BP1" s="3" t="str">
        <f>Menus!A22</f>
        <v/>
      </c>
      <c r="BR1" s="62"/>
      <c r="BS1" s="4" t="str">
        <f>Menus!A23</f>
        <v/>
      </c>
      <c r="BU1" s="62"/>
      <c r="BV1" s="3" t="str">
        <f>Menus!A24</f>
        <v/>
      </c>
      <c r="BX1" s="62"/>
      <c r="BY1" s="4" t="str">
        <f>Menus!A25</f>
        <v/>
      </c>
      <c r="CA1" s="62"/>
      <c r="CB1" s="3" t="str">
        <f>Menus!A26</f>
        <v/>
      </c>
      <c r="CD1" s="62"/>
      <c r="CE1" s="4" t="str">
        <f>Menus!A27</f>
        <v/>
      </c>
      <c r="CG1" s="62"/>
      <c r="CH1" s="3" t="str">
        <f>Menus!A28</f>
        <v/>
      </c>
      <c r="CJ1" s="62"/>
      <c r="CK1" s="4" t="str">
        <f>Menus!A29</f>
        <v/>
      </c>
      <c r="CM1" s="62"/>
      <c r="CN1" s="3" t="str">
        <f>Menus!A30</f>
        <v/>
      </c>
      <c r="CP1" s="62"/>
      <c r="CQ1" s="4" t="str">
        <f>Menus!A31</f>
        <v/>
      </c>
      <c r="CS1" s="62"/>
      <c r="CT1" s="3" t="str">
        <f>Menus!A32</f>
        <v/>
      </c>
      <c r="CV1" s="62"/>
      <c r="CW1" s="4" t="str">
        <f>Menus!A33</f>
        <v/>
      </c>
      <c r="CY1" s="62"/>
      <c r="CZ1" s="3" t="str">
        <f>Menus!A34</f>
        <v/>
      </c>
      <c r="DB1" s="62"/>
      <c r="DC1" s="4" t="str">
        <f>Menus!A35</f>
        <v/>
      </c>
      <c r="DE1" s="62"/>
      <c r="DF1" s="3" t="str">
        <f>Menus!A36</f>
        <v/>
      </c>
      <c r="DH1" s="62"/>
      <c r="DI1" s="4" t="str">
        <f>Menus!A37</f>
        <v/>
      </c>
      <c r="DK1" s="62"/>
      <c r="DL1" s="3" t="str">
        <f>Menus!A38</f>
        <v/>
      </c>
      <c r="DN1" s="62"/>
      <c r="DO1" s="4" t="str">
        <f>Menus!A39</f>
        <v/>
      </c>
      <c r="DQ1" s="62"/>
      <c r="DR1" s="3" t="str">
        <f>Menus!A40</f>
        <v/>
      </c>
      <c r="DT1" s="62"/>
      <c r="DU1" s="4" t="str">
        <f>Menus!A41</f>
        <v/>
      </c>
      <c r="DW1" s="62"/>
      <c r="DX1" s="3" t="str">
        <f>Menus!A42</f>
        <v/>
      </c>
      <c r="DZ1" s="62"/>
      <c r="EA1" s="4" t="str">
        <f>Menus!A43</f>
        <v/>
      </c>
      <c r="EC1" s="62"/>
      <c r="ED1" s="63" t="str">
        <f>Menus!A44</f>
        <v/>
      </c>
      <c r="EF1" s="62"/>
      <c r="EG1" s="4" t="str">
        <f>Menus!A45</f>
        <v/>
      </c>
      <c r="EI1" s="62"/>
      <c r="EJ1" s="63" t="str">
        <f>Menus!A46</f>
        <v/>
      </c>
      <c r="EL1" s="62"/>
      <c r="EM1" s="4" t="str">
        <f>Menus!A47</f>
        <v/>
      </c>
      <c r="EO1" s="62"/>
      <c r="EP1" s="63" t="str">
        <f>Menus!A48</f>
        <v/>
      </c>
      <c r="ER1" s="62"/>
      <c r="ES1" s="4" t="str">
        <f>Menus!A49</f>
        <v/>
      </c>
      <c r="EU1" s="62"/>
      <c r="EV1" s="63" t="str">
        <f>Menus!A50</f>
        <v/>
      </c>
      <c r="EX1" s="62"/>
      <c r="EY1" s="4" t="str">
        <f>Menus!A51</f>
        <v/>
      </c>
      <c r="FA1" s="62"/>
      <c r="FB1" s="63" t="str">
        <f>Menus!A52</f>
        <v/>
      </c>
      <c r="FD1" s="62"/>
      <c r="FE1" s="4" t="str">
        <f>Menus!A53</f>
        <v/>
      </c>
      <c r="FG1" s="62"/>
      <c r="FH1" s="63" t="str">
        <f>Menus!A54</f>
        <v/>
      </c>
      <c r="FJ1" s="62"/>
    </row>
    <row r="2" ht="15.75" customHeight="1">
      <c r="A2" s="18" t="s">
        <v>25</v>
      </c>
      <c r="B2" s="35" t="str">
        <f>$H$2</f>
        <v>#N/A</v>
      </c>
      <c r="C2" s="35" t="str">
        <f>$I$2</f>
        <v>#N/A</v>
      </c>
      <c r="D2" s="35" t="str">
        <f>$J$2</f>
        <v>Dif</v>
      </c>
      <c r="E2" s="64" t="str">
        <f>VLOOKUP(A1,Menus!E2:H13,3)</f>
        <v>#N/A</v>
      </c>
      <c r="F2" s="65" t="str">
        <f>VLOOKUP(A2,Menus!E2:H13,3)</f>
        <v>#N/A</v>
      </c>
      <c r="G2" s="65" t="s">
        <v>26</v>
      </c>
      <c r="H2" s="66" t="str">
        <f t="shared" ref="H2:J2" si="1">E2</f>
        <v>#N/A</v>
      </c>
      <c r="I2" s="67" t="str">
        <f t="shared" si="1"/>
        <v>#N/A</v>
      </c>
      <c r="J2" s="68" t="str">
        <f t="shared" si="1"/>
        <v>Dif</v>
      </c>
      <c r="K2" s="69" t="str">
        <f>$H$2</f>
        <v>#N/A</v>
      </c>
      <c r="L2" s="34" t="str">
        <f>$I$2</f>
        <v>#N/A</v>
      </c>
      <c r="M2" s="70" t="str">
        <f>$J$2</f>
        <v>Dif</v>
      </c>
      <c r="N2" s="71" t="str">
        <f t="shared" ref="N2:P2" si="2">K2</f>
        <v>#N/A</v>
      </c>
      <c r="O2" s="35" t="str">
        <f t="shared" si="2"/>
        <v>#N/A</v>
      </c>
      <c r="P2" s="72" t="str">
        <f t="shared" si="2"/>
        <v>Dif</v>
      </c>
      <c r="Q2" s="69" t="str">
        <f>$H$2</f>
        <v>#N/A</v>
      </c>
      <c r="R2" s="34" t="str">
        <f>$I$2</f>
        <v>#N/A</v>
      </c>
      <c r="S2" s="70" t="str">
        <f>$J$2</f>
        <v>Dif</v>
      </c>
      <c r="T2" s="71" t="str">
        <f t="shared" ref="T2:V2" si="3">Q2</f>
        <v>#N/A</v>
      </c>
      <c r="U2" s="35" t="str">
        <f t="shared" si="3"/>
        <v>#N/A</v>
      </c>
      <c r="V2" s="72" t="str">
        <f t="shared" si="3"/>
        <v>Dif</v>
      </c>
      <c r="W2" s="69" t="str">
        <f>$H$2</f>
        <v>#N/A</v>
      </c>
      <c r="X2" s="34" t="str">
        <f>$I$2</f>
        <v>#N/A</v>
      </c>
      <c r="Y2" s="70" t="str">
        <f>$J$2</f>
        <v>Dif</v>
      </c>
      <c r="Z2" s="71" t="str">
        <f t="shared" ref="Z2:AB2" si="4">W2</f>
        <v>#N/A</v>
      </c>
      <c r="AA2" s="35" t="str">
        <f t="shared" si="4"/>
        <v>#N/A</v>
      </c>
      <c r="AB2" s="72" t="str">
        <f t="shared" si="4"/>
        <v>Dif</v>
      </c>
      <c r="AC2" s="69" t="str">
        <f>$H$2</f>
        <v>#N/A</v>
      </c>
      <c r="AD2" s="34" t="str">
        <f>$I$2</f>
        <v>#N/A</v>
      </c>
      <c r="AE2" s="70" t="str">
        <f>$J$2</f>
        <v>Dif</v>
      </c>
      <c r="AF2" s="71" t="str">
        <f t="shared" ref="AF2:AH2" si="5">AC2</f>
        <v>#N/A</v>
      </c>
      <c r="AG2" s="35" t="str">
        <f t="shared" si="5"/>
        <v>#N/A</v>
      </c>
      <c r="AH2" s="72" t="str">
        <f t="shared" si="5"/>
        <v>Dif</v>
      </c>
      <c r="AI2" s="69" t="str">
        <f>$H$2</f>
        <v>#N/A</v>
      </c>
      <c r="AJ2" s="34" t="str">
        <f>$I$2</f>
        <v>#N/A</v>
      </c>
      <c r="AK2" s="70" t="str">
        <f>$J$2</f>
        <v>Dif</v>
      </c>
      <c r="AL2" s="71" t="str">
        <f t="shared" ref="AL2:AN2" si="6">AI2</f>
        <v>#N/A</v>
      </c>
      <c r="AM2" s="35" t="str">
        <f t="shared" si="6"/>
        <v>#N/A</v>
      </c>
      <c r="AN2" s="72" t="str">
        <f t="shared" si="6"/>
        <v>Dif</v>
      </c>
      <c r="AO2" s="69" t="str">
        <f>$H$2</f>
        <v>#N/A</v>
      </c>
      <c r="AP2" s="34" t="str">
        <f>$I$2</f>
        <v>#N/A</v>
      </c>
      <c r="AQ2" s="70" t="str">
        <f>$J$2</f>
        <v>Dif</v>
      </c>
      <c r="AR2" s="71" t="str">
        <f t="shared" ref="AR2:AT2" si="7">AO2</f>
        <v>#N/A</v>
      </c>
      <c r="AS2" s="35" t="str">
        <f t="shared" si="7"/>
        <v>#N/A</v>
      </c>
      <c r="AT2" s="72" t="str">
        <f t="shared" si="7"/>
        <v>Dif</v>
      </c>
      <c r="AU2" s="69" t="str">
        <f>$H$2</f>
        <v>#N/A</v>
      </c>
      <c r="AV2" s="34" t="str">
        <f>$I$2</f>
        <v>#N/A</v>
      </c>
      <c r="AW2" s="70" t="str">
        <f>$J$2</f>
        <v>Dif</v>
      </c>
      <c r="AX2" s="71" t="str">
        <f t="shared" ref="AX2:AZ2" si="8">AU2</f>
        <v>#N/A</v>
      </c>
      <c r="AY2" s="35" t="str">
        <f t="shared" si="8"/>
        <v>#N/A</v>
      </c>
      <c r="AZ2" s="72" t="str">
        <f t="shared" si="8"/>
        <v>Dif</v>
      </c>
      <c r="BA2" s="69" t="str">
        <f>$H$2</f>
        <v>#N/A</v>
      </c>
      <c r="BB2" s="34" t="str">
        <f>$I$2</f>
        <v>#N/A</v>
      </c>
      <c r="BC2" s="70" t="str">
        <f>$J$2</f>
        <v>Dif</v>
      </c>
      <c r="BD2" s="71" t="str">
        <f t="shared" ref="BD2:BF2" si="9">BA2</f>
        <v>#N/A</v>
      </c>
      <c r="BE2" s="35" t="str">
        <f t="shared" si="9"/>
        <v>#N/A</v>
      </c>
      <c r="BF2" s="72" t="str">
        <f t="shared" si="9"/>
        <v>Dif</v>
      </c>
      <c r="BG2" s="69" t="str">
        <f>$H$2</f>
        <v>#N/A</v>
      </c>
      <c r="BH2" s="34" t="str">
        <f>$I$2</f>
        <v>#N/A</v>
      </c>
      <c r="BI2" s="70" t="str">
        <f>$J$2</f>
        <v>Dif</v>
      </c>
      <c r="BJ2" s="71" t="str">
        <f t="shared" ref="BJ2:BL2" si="10">BG2</f>
        <v>#N/A</v>
      </c>
      <c r="BK2" s="35" t="str">
        <f t="shared" si="10"/>
        <v>#N/A</v>
      </c>
      <c r="BL2" s="72" t="str">
        <f t="shared" si="10"/>
        <v>Dif</v>
      </c>
      <c r="BM2" s="69" t="str">
        <f>$H$2</f>
        <v>#N/A</v>
      </c>
      <c r="BN2" s="34" t="str">
        <f>$I$2</f>
        <v>#N/A</v>
      </c>
      <c r="BO2" s="70" t="str">
        <f>$J$2</f>
        <v>Dif</v>
      </c>
      <c r="BP2" s="71" t="str">
        <f t="shared" ref="BP2:BR2" si="11">BM2</f>
        <v>#N/A</v>
      </c>
      <c r="BQ2" s="35" t="str">
        <f t="shared" si="11"/>
        <v>#N/A</v>
      </c>
      <c r="BR2" s="72" t="str">
        <f t="shared" si="11"/>
        <v>Dif</v>
      </c>
      <c r="BS2" s="69" t="str">
        <f>$H$2</f>
        <v>#N/A</v>
      </c>
      <c r="BT2" s="34" t="str">
        <f>$I$2</f>
        <v>#N/A</v>
      </c>
      <c r="BU2" s="70" t="str">
        <f>$J$2</f>
        <v>Dif</v>
      </c>
      <c r="BV2" s="71" t="str">
        <f t="shared" ref="BV2:BX2" si="12">BS2</f>
        <v>#N/A</v>
      </c>
      <c r="BW2" s="35" t="str">
        <f t="shared" si="12"/>
        <v>#N/A</v>
      </c>
      <c r="BX2" s="72" t="str">
        <f t="shared" si="12"/>
        <v>Dif</v>
      </c>
      <c r="BY2" s="69" t="str">
        <f>$H$2</f>
        <v>#N/A</v>
      </c>
      <c r="BZ2" s="34" t="str">
        <f>$I$2</f>
        <v>#N/A</v>
      </c>
      <c r="CA2" s="70" t="str">
        <f>$J$2</f>
        <v>Dif</v>
      </c>
      <c r="CB2" s="71" t="str">
        <f t="shared" ref="CB2:CD2" si="13">BY2</f>
        <v>#N/A</v>
      </c>
      <c r="CC2" s="35" t="str">
        <f t="shared" si="13"/>
        <v>#N/A</v>
      </c>
      <c r="CD2" s="72" t="str">
        <f t="shared" si="13"/>
        <v>Dif</v>
      </c>
      <c r="CE2" s="69" t="str">
        <f>$H$2</f>
        <v>#N/A</v>
      </c>
      <c r="CF2" s="34" t="str">
        <f>$I$2</f>
        <v>#N/A</v>
      </c>
      <c r="CG2" s="70" t="str">
        <f>$J$2</f>
        <v>Dif</v>
      </c>
      <c r="CH2" s="71" t="str">
        <f t="shared" ref="CH2:CJ2" si="14">CE2</f>
        <v>#N/A</v>
      </c>
      <c r="CI2" s="35" t="str">
        <f t="shared" si="14"/>
        <v>#N/A</v>
      </c>
      <c r="CJ2" s="72" t="str">
        <f t="shared" si="14"/>
        <v>Dif</v>
      </c>
      <c r="CK2" s="69" t="str">
        <f>$H$2</f>
        <v>#N/A</v>
      </c>
      <c r="CL2" s="34" t="str">
        <f>$I$2</f>
        <v>#N/A</v>
      </c>
      <c r="CM2" s="70" t="str">
        <f>$J$2</f>
        <v>Dif</v>
      </c>
      <c r="CN2" s="71" t="str">
        <f t="shared" ref="CN2:CP2" si="15">CK2</f>
        <v>#N/A</v>
      </c>
      <c r="CO2" s="35" t="str">
        <f t="shared" si="15"/>
        <v>#N/A</v>
      </c>
      <c r="CP2" s="72" t="str">
        <f t="shared" si="15"/>
        <v>Dif</v>
      </c>
      <c r="CQ2" s="69" t="str">
        <f>$H$2</f>
        <v>#N/A</v>
      </c>
      <c r="CR2" s="34" t="str">
        <f>$I$2</f>
        <v>#N/A</v>
      </c>
      <c r="CS2" s="70" t="str">
        <f>$J$2</f>
        <v>Dif</v>
      </c>
      <c r="CT2" s="71" t="str">
        <f t="shared" ref="CT2:CV2" si="16">CQ2</f>
        <v>#N/A</v>
      </c>
      <c r="CU2" s="35" t="str">
        <f t="shared" si="16"/>
        <v>#N/A</v>
      </c>
      <c r="CV2" s="72" t="str">
        <f t="shared" si="16"/>
        <v>Dif</v>
      </c>
      <c r="CW2" s="69" t="str">
        <f>$H$2</f>
        <v>#N/A</v>
      </c>
      <c r="CX2" s="34" t="str">
        <f>$I$2</f>
        <v>#N/A</v>
      </c>
      <c r="CY2" s="70" t="str">
        <f>$J$2</f>
        <v>Dif</v>
      </c>
      <c r="CZ2" s="71" t="str">
        <f t="shared" ref="CZ2:DB2" si="17">CW2</f>
        <v>#N/A</v>
      </c>
      <c r="DA2" s="35" t="str">
        <f t="shared" si="17"/>
        <v>#N/A</v>
      </c>
      <c r="DB2" s="72" t="str">
        <f t="shared" si="17"/>
        <v>Dif</v>
      </c>
      <c r="DC2" s="69" t="str">
        <f>$H$2</f>
        <v>#N/A</v>
      </c>
      <c r="DD2" s="34" t="str">
        <f>$I$2</f>
        <v>#N/A</v>
      </c>
      <c r="DE2" s="70" t="str">
        <f>$J$2</f>
        <v>Dif</v>
      </c>
      <c r="DF2" s="71" t="str">
        <f t="shared" ref="DF2:DH2" si="18">DC2</f>
        <v>#N/A</v>
      </c>
      <c r="DG2" s="35" t="str">
        <f t="shared" si="18"/>
        <v>#N/A</v>
      </c>
      <c r="DH2" s="72" t="str">
        <f t="shared" si="18"/>
        <v>Dif</v>
      </c>
      <c r="DI2" s="69" t="str">
        <f>$H$2</f>
        <v>#N/A</v>
      </c>
      <c r="DJ2" s="34" t="str">
        <f>$I$2</f>
        <v>#N/A</v>
      </c>
      <c r="DK2" s="70" t="str">
        <f>$J$2</f>
        <v>Dif</v>
      </c>
      <c r="DL2" s="71" t="str">
        <f t="shared" ref="DL2:DN2" si="19">DI2</f>
        <v>#N/A</v>
      </c>
      <c r="DM2" s="35" t="str">
        <f t="shared" si="19"/>
        <v>#N/A</v>
      </c>
      <c r="DN2" s="72" t="str">
        <f t="shared" si="19"/>
        <v>Dif</v>
      </c>
      <c r="DO2" s="69" t="str">
        <f>$H$2</f>
        <v>#N/A</v>
      </c>
      <c r="DP2" s="34" t="str">
        <f>$I$2</f>
        <v>#N/A</v>
      </c>
      <c r="DQ2" s="70" t="str">
        <f>$J$2</f>
        <v>Dif</v>
      </c>
      <c r="DR2" s="71" t="str">
        <f t="shared" ref="DR2:DT2" si="20">DO2</f>
        <v>#N/A</v>
      </c>
      <c r="DS2" s="35" t="str">
        <f t="shared" si="20"/>
        <v>#N/A</v>
      </c>
      <c r="DT2" s="72" t="str">
        <f t="shared" si="20"/>
        <v>Dif</v>
      </c>
      <c r="DU2" s="69" t="str">
        <f>$H$2</f>
        <v>#N/A</v>
      </c>
      <c r="DV2" s="34" t="str">
        <f>$I$2</f>
        <v>#N/A</v>
      </c>
      <c r="DW2" s="70" t="str">
        <f>$J$2</f>
        <v>Dif</v>
      </c>
      <c r="DX2" s="71" t="str">
        <f t="shared" ref="DX2:DZ2" si="21">DU2</f>
        <v>#N/A</v>
      </c>
      <c r="DY2" s="35" t="str">
        <f t="shared" si="21"/>
        <v>#N/A</v>
      </c>
      <c r="DZ2" s="72" t="str">
        <f t="shared" si="21"/>
        <v>Dif</v>
      </c>
      <c r="EA2" s="69" t="str">
        <f>$H$2</f>
        <v>#N/A</v>
      </c>
      <c r="EB2" s="34" t="str">
        <f>$I$2</f>
        <v>#N/A</v>
      </c>
      <c r="EC2" s="70" t="str">
        <f>$J$2</f>
        <v>Dif</v>
      </c>
      <c r="ED2" s="71" t="str">
        <f t="shared" ref="ED2:EF2" si="22">EA2</f>
        <v>#N/A</v>
      </c>
      <c r="EE2" s="35" t="str">
        <f t="shared" si="22"/>
        <v>#N/A</v>
      </c>
      <c r="EF2" s="72" t="str">
        <f t="shared" si="22"/>
        <v>Dif</v>
      </c>
      <c r="EG2" s="69" t="str">
        <f>$H$2</f>
        <v>#N/A</v>
      </c>
      <c r="EH2" s="34" t="str">
        <f>$I$2</f>
        <v>#N/A</v>
      </c>
      <c r="EI2" s="70" t="str">
        <f>$J$2</f>
        <v>Dif</v>
      </c>
      <c r="EJ2" s="71" t="str">
        <f t="shared" ref="EJ2:EL2" si="23">EG2</f>
        <v>#N/A</v>
      </c>
      <c r="EK2" s="35" t="str">
        <f t="shared" si="23"/>
        <v>#N/A</v>
      </c>
      <c r="EL2" s="72" t="str">
        <f t="shared" si="23"/>
        <v>Dif</v>
      </c>
      <c r="EM2" s="69" t="str">
        <f>$H$2</f>
        <v>#N/A</v>
      </c>
      <c r="EN2" s="34" t="str">
        <f>$I$2</f>
        <v>#N/A</v>
      </c>
      <c r="EO2" s="70" t="str">
        <f>$J$2</f>
        <v>Dif</v>
      </c>
      <c r="EP2" s="71" t="str">
        <f t="shared" ref="EP2:ER2" si="24">EM2</f>
        <v>#N/A</v>
      </c>
      <c r="EQ2" s="35" t="str">
        <f t="shared" si="24"/>
        <v>#N/A</v>
      </c>
      <c r="ER2" s="72" t="str">
        <f t="shared" si="24"/>
        <v>Dif</v>
      </c>
      <c r="ES2" s="69" t="str">
        <f>$H$2</f>
        <v>#N/A</v>
      </c>
      <c r="ET2" s="34" t="str">
        <f>$I$2</f>
        <v>#N/A</v>
      </c>
      <c r="EU2" s="70" t="str">
        <f>$J$2</f>
        <v>Dif</v>
      </c>
      <c r="EV2" s="71" t="str">
        <f t="shared" ref="EV2:EX2" si="25">ES2</f>
        <v>#N/A</v>
      </c>
      <c r="EW2" s="35" t="str">
        <f t="shared" si="25"/>
        <v>#N/A</v>
      </c>
      <c r="EX2" s="72" t="str">
        <f t="shared" si="25"/>
        <v>Dif</v>
      </c>
      <c r="EY2" s="69" t="str">
        <f>$H$2</f>
        <v>#N/A</v>
      </c>
      <c r="EZ2" s="34" t="str">
        <f>$I$2</f>
        <v>#N/A</v>
      </c>
      <c r="FA2" s="70" t="str">
        <f>$J$2</f>
        <v>Dif</v>
      </c>
      <c r="FB2" s="71" t="str">
        <f t="shared" ref="FB2:FD2" si="26">EY2</f>
        <v>#N/A</v>
      </c>
      <c r="FC2" s="35" t="str">
        <f t="shared" si="26"/>
        <v>#N/A</v>
      </c>
      <c r="FD2" s="72" t="str">
        <f t="shared" si="26"/>
        <v>Dif</v>
      </c>
      <c r="FE2" s="69" t="str">
        <f>$H$2</f>
        <v>#N/A</v>
      </c>
      <c r="FF2" s="34" t="str">
        <f>$I$2</f>
        <v>#N/A</v>
      </c>
      <c r="FG2" s="70" t="str">
        <f>$J$2</f>
        <v>Dif</v>
      </c>
      <c r="FH2" s="71" t="str">
        <f t="shared" ref="FH2:FJ2" si="27">FE2</f>
        <v>#N/A</v>
      </c>
      <c r="FI2" s="35" t="str">
        <f t="shared" si="27"/>
        <v>#N/A</v>
      </c>
      <c r="FJ2" s="72" t="str">
        <f t="shared" si="27"/>
        <v>Dif</v>
      </c>
    </row>
    <row r="3" ht="9.0" customHeight="1">
      <c r="A3" s="73" t="str">
        <f>VLOOKUP(A1,Config!F47:G58,2)</f>
        <v>OtrosR!$E$3:$E</v>
      </c>
      <c r="B3" s="74" t="str">
        <f>VLOOKUP(A2,Menus!E2:L13,6)</f>
        <v>#N/A</v>
      </c>
      <c r="C3" s="74" t="str">
        <f>VLOOKUP(A2,Menus!E2:L13,7)</f>
        <v>#N/A</v>
      </c>
      <c r="D3" s="74" t="str">
        <f>VLOOKUP(A2,Menus!E2:L13,8)</f>
        <v>#N/A</v>
      </c>
      <c r="E3" s="75"/>
      <c r="F3" s="6"/>
      <c r="G3" s="6"/>
      <c r="H3" s="75"/>
      <c r="I3" s="6"/>
      <c r="J3" s="48"/>
      <c r="K3" s="75"/>
      <c r="L3" s="6"/>
      <c r="M3" s="48"/>
      <c r="N3" s="75"/>
      <c r="O3" s="6"/>
      <c r="P3" s="48"/>
      <c r="Q3" s="75"/>
      <c r="R3" s="6"/>
      <c r="S3" s="48"/>
      <c r="T3" s="75"/>
      <c r="U3" s="6"/>
      <c r="V3" s="48"/>
      <c r="W3" s="75"/>
      <c r="X3" s="6"/>
      <c r="Y3" s="48"/>
      <c r="Z3" s="75"/>
      <c r="AA3" s="6"/>
      <c r="AB3" s="48"/>
      <c r="AC3" s="75"/>
      <c r="AD3" s="6"/>
      <c r="AE3" s="48"/>
      <c r="AF3" s="75"/>
      <c r="AG3" s="6"/>
      <c r="AH3" s="48"/>
      <c r="AI3" s="75"/>
      <c r="AJ3" s="6"/>
      <c r="AK3" s="48"/>
      <c r="AL3" s="75"/>
      <c r="AM3" s="6"/>
      <c r="AN3" s="48"/>
      <c r="AO3" s="75"/>
      <c r="AP3" s="6"/>
      <c r="AQ3" s="48"/>
      <c r="AR3" s="75"/>
      <c r="AS3" s="6"/>
      <c r="AT3" s="48"/>
      <c r="AU3" s="75"/>
      <c r="AV3" s="6"/>
      <c r="AW3" s="48"/>
      <c r="AX3" s="75"/>
      <c r="AY3" s="6"/>
      <c r="AZ3" s="48"/>
      <c r="BA3" s="75"/>
      <c r="BB3" s="6"/>
      <c r="BC3" s="48"/>
      <c r="BD3" s="75"/>
      <c r="BE3" s="6"/>
      <c r="BF3" s="48"/>
      <c r="BG3" s="75"/>
      <c r="BH3" s="6"/>
      <c r="BI3" s="48"/>
      <c r="BJ3" s="75"/>
      <c r="BK3" s="6"/>
      <c r="BL3" s="48"/>
      <c r="BM3" s="75"/>
      <c r="BN3" s="6"/>
      <c r="BO3" s="48"/>
      <c r="BP3" s="75"/>
      <c r="BQ3" s="6"/>
      <c r="BR3" s="48"/>
      <c r="BS3" s="75"/>
      <c r="BT3" s="6"/>
      <c r="BU3" s="48"/>
      <c r="BV3" s="75"/>
      <c r="BW3" s="6"/>
      <c r="BX3" s="48"/>
      <c r="BY3" s="75"/>
      <c r="BZ3" s="6"/>
      <c r="CA3" s="48"/>
      <c r="CB3" s="75"/>
      <c r="CC3" s="6"/>
      <c r="CD3" s="48"/>
      <c r="CE3" s="75"/>
      <c r="CF3" s="6"/>
      <c r="CG3" s="48"/>
      <c r="CH3" s="75"/>
      <c r="CI3" s="6"/>
      <c r="CJ3" s="48"/>
      <c r="CK3" s="75"/>
      <c r="CL3" s="6"/>
      <c r="CM3" s="48"/>
      <c r="CN3" s="75"/>
      <c r="CO3" s="6"/>
      <c r="CP3" s="48"/>
      <c r="CQ3" s="75"/>
      <c r="CR3" s="6"/>
      <c r="CS3" s="48"/>
      <c r="CT3" s="75"/>
      <c r="CU3" s="6"/>
      <c r="CV3" s="48"/>
      <c r="CW3" s="75"/>
      <c r="CX3" s="6"/>
      <c r="CY3" s="48"/>
      <c r="CZ3" s="75"/>
      <c r="DA3" s="6"/>
      <c r="DB3" s="48"/>
      <c r="DC3" s="75"/>
      <c r="DD3" s="6"/>
      <c r="DE3" s="48"/>
      <c r="DF3" s="75"/>
      <c r="DG3" s="6"/>
      <c r="DH3" s="48"/>
      <c r="DI3" s="75"/>
      <c r="DJ3" s="6"/>
      <c r="DK3" s="48"/>
      <c r="DL3" s="75"/>
      <c r="DM3" s="6"/>
      <c r="DN3" s="48"/>
      <c r="DO3" s="75"/>
      <c r="DP3" s="6"/>
      <c r="DQ3" s="48"/>
      <c r="DR3" s="75"/>
      <c r="DS3" s="6"/>
      <c r="DT3" s="48"/>
      <c r="DU3" s="75"/>
      <c r="DV3" s="6"/>
      <c r="DW3" s="48"/>
      <c r="DX3" s="75"/>
      <c r="DY3" s="6"/>
      <c r="DZ3" s="48"/>
      <c r="EA3" s="75"/>
      <c r="EB3" s="6"/>
      <c r="EC3" s="48"/>
      <c r="ED3" s="75"/>
      <c r="EE3" s="6"/>
      <c r="EF3" s="48"/>
      <c r="EG3" s="75"/>
      <c r="EH3" s="6"/>
      <c r="EI3" s="48"/>
      <c r="EJ3" s="75"/>
      <c r="EK3" s="6"/>
      <c r="EL3" s="48"/>
      <c r="EM3" s="75"/>
      <c r="EN3" s="6"/>
      <c r="EO3" s="48"/>
      <c r="EP3" s="75"/>
      <c r="EQ3" s="6"/>
      <c r="ER3" s="48"/>
      <c r="ES3" s="75"/>
      <c r="ET3" s="6"/>
      <c r="EU3" s="48"/>
      <c r="EV3" s="75"/>
      <c r="EW3" s="6"/>
      <c r="EX3" s="48"/>
      <c r="EY3" s="75"/>
      <c r="EZ3" s="6"/>
      <c r="FA3" s="48"/>
      <c r="FB3" s="75"/>
      <c r="FC3" s="6"/>
      <c r="FD3" s="48"/>
      <c r="FE3" s="75"/>
      <c r="FF3" s="6"/>
      <c r="FG3" s="48"/>
      <c r="FH3" s="75"/>
      <c r="FI3" s="6"/>
      <c r="FJ3" s="48"/>
    </row>
    <row r="4" ht="15.75" customHeight="1">
      <c r="A4" s="76" t="s">
        <v>14</v>
      </c>
      <c r="B4" s="13" t="str">
        <f t="shared" ref="B4:C4" si="28">B6-B11+B52-B57</f>
        <v>#VALUE!</v>
      </c>
      <c r="C4" s="13" t="str">
        <f t="shared" si="28"/>
        <v>#REF!</v>
      </c>
      <c r="D4" s="13" t="str">
        <f>C4-B4</f>
        <v>#REF!</v>
      </c>
      <c r="E4" s="77" t="str">
        <f t="shared" ref="E4:F4" si="29">E6-E11+E52-E57</f>
        <v>#VALUE!</v>
      </c>
      <c r="F4" s="78" t="str">
        <f t="shared" si="29"/>
        <v>#VALUE!</v>
      </c>
      <c r="G4" s="79" t="str">
        <f>F4-E4</f>
        <v>#VALUE!</v>
      </c>
      <c r="H4" s="80" t="str">
        <f t="shared" ref="H4:I4" si="30">H6-H11+H52-H57</f>
        <v>#VALUE!</v>
      </c>
      <c r="I4" s="39" t="str">
        <f t="shared" si="30"/>
        <v>#VALUE!</v>
      </c>
      <c r="J4" s="81" t="str">
        <f>I4-H4</f>
        <v>#VALUE!</v>
      </c>
      <c r="K4" s="82" t="str">
        <f t="shared" ref="K4:L4" si="31">K6-K11+K52-K57</f>
        <v>#VALUE!</v>
      </c>
      <c r="L4" s="41" t="str">
        <f t="shared" si="31"/>
        <v>#VALUE!</v>
      </c>
      <c r="M4" s="83" t="str">
        <f>L4-K4</f>
        <v>#VALUE!</v>
      </c>
      <c r="N4" s="84" t="str">
        <f t="shared" ref="N4:O4" si="32">N6-N11+N52-N57</f>
        <v>#VALUE!</v>
      </c>
      <c r="O4" s="40" t="str">
        <f t="shared" si="32"/>
        <v>#VALUE!</v>
      </c>
      <c r="P4" s="85" t="str">
        <f>O4-N4</f>
        <v>#VALUE!</v>
      </c>
      <c r="Q4" s="82" t="str">
        <f t="shared" ref="Q4:R4" si="33">Q6-Q11+Q52-Q57</f>
        <v>#VALUE!</v>
      </c>
      <c r="R4" s="41" t="str">
        <f t="shared" si="33"/>
        <v>#VALUE!</v>
      </c>
      <c r="S4" s="83" t="str">
        <f>R4-Q4</f>
        <v>#VALUE!</v>
      </c>
      <c r="T4" s="84" t="str">
        <f t="shared" ref="T4:U4" si="34">T6-T11+T52-T57</f>
        <v>#VALUE!</v>
      </c>
      <c r="U4" s="40" t="str">
        <f t="shared" si="34"/>
        <v>#VALUE!</v>
      </c>
      <c r="V4" s="85" t="str">
        <f>U4-T4</f>
        <v>#VALUE!</v>
      </c>
      <c r="W4" s="82" t="str">
        <f t="shared" ref="W4:X4" si="35">W6-W11+W52-W57</f>
        <v>#VALUE!</v>
      </c>
      <c r="X4" s="41" t="str">
        <f t="shared" si="35"/>
        <v>#VALUE!</v>
      </c>
      <c r="Y4" s="83" t="str">
        <f>X4-W4</f>
        <v>#VALUE!</v>
      </c>
      <c r="Z4" s="84" t="str">
        <f t="shared" ref="Z4:AA4" si="36">Z6-Z11+Z52-Z57</f>
        <v>#VALUE!</v>
      </c>
      <c r="AA4" s="40" t="str">
        <f t="shared" si="36"/>
        <v>#VALUE!</v>
      </c>
      <c r="AB4" s="85" t="str">
        <f>AA4-Z4</f>
        <v>#VALUE!</v>
      </c>
      <c r="AC4" s="82" t="str">
        <f t="shared" ref="AC4:AD4" si="37">AC6-AC11+AC52-AC57</f>
        <v>#VALUE!</v>
      </c>
      <c r="AD4" s="41" t="str">
        <f t="shared" si="37"/>
        <v>#VALUE!</v>
      </c>
      <c r="AE4" s="83" t="str">
        <f>AD4-AC4</f>
        <v>#VALUE!</v>
      </c>
      <c r="AF4" s="84" t="str">
        <f t="shared" ref="AF4:AG4" si="38">AF6-AF11+AF52-AF57</f>
        <v>#VALUE!</v>
      </c>
      <c r="AG4" s="40" t="str">
        <f t="shared" si="38"/>
        <v>#VALUE!</v>
      </c>
      <c r="AH4" s="85" t="str">
        <f>AG4-AF4</f>
        <v>#VALUE!</v>
      </c>
      <c r="AI4" s="82" t="str">
        <f t="shared" ref="AI4:AJ4" si="39">AI6-AI11+AI52-AI57</f>
        <v>#VALUE!</v>
      </c>
      <c r="AJ4" s="41" t="str">
        <f t="shared" si="39"/>
        <v>#VALUE!</v>
      </c>
      <c r="AK4" s="83" t="str">
        <f>AJ4-AI4</f>
        <v>#VALUE!</v>
      </c>
      <c r="AL4" s="84" t="str">
        <f t="shared" ref="AL4:AM4" si="40">AL6-AL11+AL52-AL57</f>
        <v>#VALUE!</v>
      </c>
      <c r="AM4" s="40" t="str">
        <f t="shared" si="40"/>
        <v>#VALUE!</v>
      </c>
      <c r="AN4" s="85" t="str">
        <f>AM4-AL4</f>
        <v>#VALUE!</v>
      </c>
      <c r="AO4" s="82" t="str">
        <f t="shared" ref="AO4:AP4" si="41">AO6-AO11+AO52-AO57</f>
        <v>#VALUE!</v>
      </c>
      <c r="AP4" s="41" t="str">
        <f t="shared" si="41"/>
        <v>#VALUE!</v>
      </c>
      <c r="AQ4" s="83" t="str">
        <f>AP4-AO4</f>
        <v>#VALUE!</v>
      </c>
      <c r="AR4" s="84" t="str">
        <f t="shared" ref="AR4:AS4" si="42">AR6-AR11+AR52-AR57</f>
        <v>#VALUE!</v>
      </c>
      <c r="AS4" s="40" t="str">
        <f t="shared" si="42"/>
        <v>#VALUE!</v>
      </c>
      <c r="AT4" s="85" t="str">
        <f>AS4-AR4</f>
        <v>#VALUE!</v>
      </c>
      <c r="AU4" s="82" t="str">
        <f t="shared" ref="AU4:AV4" si="43">AU6-AU11+AU52-AU57</f>
        <v>#VALUE!</v>
      </c>
      <c r="AV4" s="41" t="str">
        <f t="shared" si="43"/>
        <v>#VALUE!</v>
      </c>
      <c r="AW4" s="83" t="str">
        <f>AV4-AU4</f>
        <v>#VALUE!</v>
      </c>
      <c r="AX4" s="84" t="str">
        <f t="shared" ref="AX4:AY4" si="44">AX6-AX11+AX52-AX57</f>
        <v>#VALUE!</v>
      </c>
      <c r="AY4" s="40" t="str">
        <f t="shared" si="44"/>
        <v>#VALUE!</v>
      </c>
      <c r="AZ4" s="85" t="str">
        <f>AY4-AX4</f>
        <v>#VALUE!</v>
      </c>
      <c r="BA4" s="82" t="str">
        <f t="shared" ref="BA4:BB4" si="45">BA6-BA11+BA52-BA57</f>
        <v>#VALUE!</v>
      </c>
      <c r="BB4" s="41" t="str">
        <f t="shared" si="45"/>
        <v>#VALUE!</v>
      </c>
      <c r="BC4" s="83" t="str">
        <f>BB4-BA4</f>
        <v>#VALUE!</v>
      </c>
      <c r="BD4" s="84" t="str">
        <f t="shared" ref="BD4:BE4" si="46">BD6-BD11+BD52-BD57</f>
        <v>#VALUE!</v>
      </c>
      <c r="BE4" s="40" t="str">
        <f t="shared" si="46"/>
        <v>#VALUE!</v>
      </c>
      <c r="BF4" s="85" t="str">
        <f>BE4-BD4</f>
        <v>#VALUE!</v>
      </c>
      <c r="BG4" s="82" t="str">
        <f t="shared" ref="BG4:BH4" si="47">BG6-BG11+BG52-BG57</f>
        <v>#VALUE!</v>
      </c>
      <c r="BH4" s="41" t="str">
        <f t="shared" si="47"/>
        <v>#VALUE!</v>
      </c>
      <c r="BI4" s="83" t="str">
        <f>BH4-BG4</f>
        <v>#VALUE!</v>
      </c>
      <c r="BJ4" s="84" t="str">
        <f t="shared" ref="BJ4:BK4" si="48">BJ6-BJ11+BJ52-BJ57</f>
        <v>#VALUE!</v>
      </c>
      <c r="BK4" s="40" t="str">
        <f t="shared" si="48"/>
        <v>#VALUE!</v>
      </c>
      <c r="BL4" s="85" t="str">
        <f>BK4-BJ4</f>
        <v>#VALUE!</v>
      </c>
      <c r="BM4" s="82" t="str">
        <f t="shared" ref="BM4:BN4" si="49">BM6-BM11+BM52-BM57</f>
        <v>#VALUE!</v>
      </c>
      <c r="BN4" s="41" t="str">
        <f t="shared" si="49"/>
        <v>#VALUE!</v>
      </c>
      <c r="BO4" s="83" t="str">
        <f>BN4-BM4</f>
        <v>#VALUE!</v>
      </c>
      <c r="BP4" s="84" t="str">
        <f t="shared" ref="BP4:BQ4" si="50">BP6-BP11+BP52-BP57</f>
        <v>#VALUE!</v>
      </c>
      <c r="BQ4" s="40" t="str">
        <f t="shared" si="50"/>
        <v>#VALUE!</v>
      </c>
      <c r="BR4" s="85" t="str">
        <f>BQ4-BP4</f>
        <v>#VALUE!</v>
      </c>
      <c r="BS4" s="82" t="str">
        <f t="shared" ref="BS4:BT4" si="51">BS6-BS11+BS52-BS57</f>
        <v>#VALUE!</v>
      </c>
      <c r="BT4" s="41" t="str">
        <f t="shared" si="51"/>
        <v>#VALUE!</v>
      </c>
      <c r="BU4" s="83" t="str">
        <f>BT4-BS4</f>
        <v>#VALUE!</v>
      </c>
      <c r="BV4" s="84" t="str">
        <f t="shared" ref="BV4:BW4" si="52">BV6-BV11+BV52-BV57</f>
        <v>#VALUE!</v>
      </c>
      <c r="BW4" s="40" t="str">
        <f t="shared" si="52"/>
        <v>#VALUE!</v>
      </c>
      <c r="BX4" s="85" t="str">
        <f>BW4-BV4</f>
        <v>#VALUE!</v>
      </c>
      <c r="BY4" s="82" t="str">
        <f t="shared" ref="BY4:BZ4" si="53">BY6-BY11+BY52-BY57</f>
        <v>#VALUE!</v>
      </c>
      <c r="BZ4" s="41" t="str">
        <f t="shared" si="53"/>
        <v>#VALUE!</v>
      </c>
      <c r="CA4" s="83" t="str">
        <f>BZ4-BY4</f>
        <v>#VALUE!</v>
      </c>
      <c r="CB4" s="84" t="str">
        <f t="shared" ref="CB4:CC4" si="54">CB6-CB11+CB52-CB57</f>
        <v>#VALUE!</v>
      </c>
      <c r="CC4" s="40" t="str">
        <f t="shared" si="54"/>
        <v>#VALUE!</v>
      </c>
      <c r="CD4" s="85" t="str">
        <f>CC4-CB4</f>
        <v>#VALUE!</v>
      </c>
      <c r="CE4" s="82" t="str">
        <f t="shared" ref="CE4:CF4" si="55">CE6-CE11+CE52-CE57</f>
        <v>#VALUE!</v>
      </c>
      <c r="CF4" s="41" t="str">
        <f t="shared" si="55"/>
        <v>#VALUE!</v>
      </c>
      <c r="CG4" s="83" t="str">
        <f>CF4-CE4</f>
        <v>#VALUE!</v>
      </c>
      <c r="CH4" s="84" t="str">
        <f t="shared" ref="CH4:CI4" si="56">CH6-CH11+CH52-CH57</f>
        <v>#VALUE!</v>
      </c>
      <c r="CI4" s="40" t="str">
        <f t="shared" si="56"/>
        <v>#VALUE!</v>
      </c>
      <c r="CJ4" s="85" t="str">
        <f>CI4-CH4</f>
        <v>#VALUE!</v>
      </c>
      <c r="CK4" s="82" t="str">
        <f t="shared" ref="CK4:CL4" si="57">CK6-CK11+CK52-CK57</f>
        <v>#VALUE!</v>
      </c>
      <c r="CL4" s="41" t="str">
        <f t="shared" si="57"/>
        <v>#VALUE!</v>
      </c>
      <c r="CM4" s="83" t="str">
        <f>CL4-CK4</f>
        <v>#VALUE!</v>
      </c>
      <c r="CN4" s="84" t="str">
        <f t="shared" ref="CN4:CO4" si="58">CN6-CN11+CN52-CN57</f>
        <v>#VALUE!</v>
      </c>
      <c r="CO4" s="40" t="str">
        <f t="shared" si="58"/>
        <v>#VALUE!</v>
      </c>
      <c r="CP4" s="85" t="str">
        <f>CO4-CN4</f>
        <v>#VALUE!</v>
      </c>
      <c r="CQ4" s="82" t="str">
        <f t="shared" ref="CQ4:CR4" si="59">CQ6-CQ11+CQ52-CQ57</f>
        <v>#VALUE!</v>
      </c>
      <c r="CR4" s="41" t="str">
        <f t="shared" si="59"/>
        <v>#VALUE!</v>
      </c>
      <c r="CS4" s="83" t="str">
        <f>CR4-CQ4</f>
        <v>#VALUE!</v>
      </c>
      <c r="CT4" s="84" t="str">
        <f t="shared" ref="CT4:CU4" si="60">CT6-CT11+CT52-CT57</f>
        <v>#VALUE!</v>
      </c>
      <c r="CU4" s="40" t="str">
        <f t="shared" si="60"/>
        <v>#VALUE!</v>
      </c>
      <c r="CV4" s="85" t="str">
        <f>CU4-CT4</f>
        <v>#VALUE!</v>
      </c>
      <c r="CW4" s="82" t="str">
        <f t="shared" ref="CW4:CX4" si="61">CW6-CW11+CW52-CW57</f>
        <v>#VALUE!</v>
      </c>
      <c r="CX4" s="41" t="str">
        <f t="shared" si="61"/>
        <v>#VALUE!</v>
      </c>
      <c r="CY4" s="83" t="str">
        <f>CX4-CW4</f>
        <v>#VALUE!</v>
      </c>
      <c r="CZ4" s="84" t="str">
        <f t="shared" ref="CZ4:DA4" si="62">CZ6-CZ11+CZ52-CZ57</f>
        <v>#VALUE!</v>
      </c>
      <c r="DA4" s="40" t="str">
        <f t="shared" si="62"/>
        <v>#VALUE!</v>
      </c>
      <c r="DB4" s="85" t="str">
        <f>DA4-CZ4</f>
        <v>#VALUE!</v>
      </c>
      <c r="DC4" s="82" t="str">
        <f t="shared" ref="DC4:DD4" si="63">DC6-DC11+DC52-DC57</f>
        <v>#VALUE!</v>
      </c>
      <c r="DD4" s="41" t="str">
        <f t="shared" si="63"/>
        <v>#VALUE!</v>
      </c>
      <c r="DE4" s="83" t="str">
        <f>DD4-DC4</f>
        <v>#VALUE!</v>
      </c>
      <c r="DF4" s="84" t="str">
        <f t="shared" ref="DF4:DG4" si="64">DF6-DF11+DF52-DF57</f>
        <v>#VALUE!</v>
      </c>
      <c r="DG4" s="40" t="str">
        <f t="shared" si="64"/>
        <v>#VALUE!</v>
      </c>
      <c r="DH4" s="85" t="str">
        <f>DG4-DF4</f>
        <v>#VALUE!</v>
      </c>
      <c r="DI4" s="82" t="str">
        <f t="shared" ref="DI4:DJ4" si="65">DI6-DI11+DI52-DI57</f>
        <v>#VALUE!</v>
      </c>
      <c r="DJ4" s="41" t="str">
        <f t="shared" si="65"/>
        <v>#VALUE!</v>
      </c>
      <c r="DK4" s="83" t="str">
        <f>DJ4-DI4</f>
        <v>#VALUE!</v>
      </c>
      <c r="DL4" s="84" t="str">
        <f t="shared" ref="DL4:DM4" si="66">DL6-DL11+DL52-DL57</f>
        <v>#VALUE!</v>
      </c>
      <c r="DM4" s="40" t="str">
        <f t="shared" si="66"/>
        <v>#VALUE!</v>
      </c>
      <c r="DN4" s="85" t="str">
        <f>DM4-DL4</f>
        <v>#VALUE!</v>
      </c>
      <c r="DO4" s="82" t="str">
        <f t="shared" ref="DO4:DP4" si="67">DO6-DO11+DO52-DO57</f>
        <v>#VALUE!</v>
      </c>
      <c r="DP4" s="41" t="str">
        <f t="shared" si="67"/>
        <v>#VALUE!</v>
      </c>
      <c r="DQ4" s="83" t="str">
        <f>DP4-DO4</f>
        <v>#VALUE!</v>
      </c>
      <c r="DR4" s="84" t="str">
        <f t="shared" ref="DR4:DS4" si="68">DR6-DR11+DR52-DR57</f>
        <v>#VALUE!</v>
      </c>
      <c r="DS4" s="40" t="str">
        <f t="shared" si="68"/>
        <v>#VALUE!</v>
      </c>
      <c r="DT4" s="85" t="str">
        <f>DS4-DR4</f>
        <v>#VALUE!</v>
      </c>
      <c r="DU4" s="82" t="str">
        <f t="shared" ref="DU4:DV4" si="69">DU6-DU11+DU52-DU57</f>
        <v>#VALUE!</v>
      </c>
      <c r="DV4" s="41" t="str">
        <f t="shared" si="69"/>
        <v>#VALUE!</v>
      </c>
      <c r="DW4" s="83" t="str">
        <f>DV4-DU4</f>
        <v>#VALUE!</v>
      </c>
      <c r="DX4" s="84" t="str">
        <f t="shared" ref="DX4:DY4" si="70">DX6-DX11+DX52-DX57</f>
        <v>#VALUE!</v>
      </c>
      <c r="DY4" s="40" t="str">
        <f t="shared" si="70"/>
        <v>#VALUE!</v>
      </c>
      <c r="DZ4" s="85" t="str">
        <f>DY4-DX4</f>
        <v>#VALUE!</v>
      </c>
      <c r="EA4" s="82" t="str">
        <f t="shared" ref="EA4:EB4" si="71">EA6-EA11+EA52-EA57</f>
        <v>#VALUE!</v>
      </c>
      <c r="EB4" s="41" t="str">
        <f t="shared" si="71"/>
        <v>#VALUE!</v>
      </c>
      <c r="EC4" s="83" t="str">
        <f>EB4-EA4</f>
        <v>#VALUE!</v>
      </c>
      <c r="ED4" s="84" t="str">
        <f t="shared" ref="ED4:EE4" si="72">ED6-ED11+ED52-ED57</f>
        <v>#VALUE!</v>
      </c>
      <c r="EE4" s="40" t="str">
        <f t="shared" si="72"/>
        <v>#VALUE!</v>
      </c>
      <c r="EF4" s="85" t="str">
        <f>EE4-ED4</f>
        <v>#VALUE!</v>
      </c>
      <c r="EG4" s="82" t="str">
        <f t="shared" ref="EG4:EH4" si="73">EG6-EG11+EG52-EG57</f>
        <v>#VALUE!</v>
      </c>
      <c r="EH4" s="41" t="str">
        <f t="shared" si="73"/>
        <v>#VALUE!</v>
      </c>
      <c r="EI4" s="83" t="str">
        <f>EH4-EG4</f>
        <v>#VALUE!</v>
      </c>
      <c r="EJ4" s="84" t="str">
        <f t="shared" ref="EJ4:EK4" si="74">EJ6-EJ11+EJ52-EJ57</f>
        <v>#VALUE!</v>
      </c>
      <c r="EK4" s="40" t="str">
        <f t="shared" si="74"/>
        <v>#VALUE!</v>
      </c>
      <c r="EL4" s="85" t="str">
        <f>EK4-EJ4</f>
        <v>#VALUE!</v>
      </c>
      <c r="EM4" s="82" t="str">
        <f t="shared" ref="EM4:EN4" si="75">EM6-EM11+EM52-EM57</f>
        <v>#VALUE!</v>
      </c>
      <c r="EN4" s="41" t="str">
        <f t="shared" si="75"/>
        <v>#VALUE!</v>
      </c>
      <c r="EO4" s="83" t="str">
        <f>EN4-EM4</f>
        <v>#VALUE!</v>
      </c>
      <c r="EP4" s="84" t="str">
        <f t="shared" ref="EP4:EQ4" si="76">EP6-EP11+EP52-EP57</f>
        <v>#VALUE!</v>
      </c>
      <c r="EQ4" s="40" t="str">
        <f t="shared" si="76"/>
        <v>#VALUE!</v>
      </c>
      <c r="ER4" s="85" t="str">
        <f>EQ4-EP4</f>
        <v>#VALUE!</v>
      </c>
      <c r="ES4" s="82" t="str">
        <f t="shared" ref="ES4:ET4" si="77">ES6-ES11+ES52-ES57</f>
        <v>#VALUE!</v>
      </c>
      <c r="ET4" s="41" t="str">
        <f t="shared" si="77"/>
        <v>#VALUE!</v>
      </c>
      <c r="EU4" s="83" t="str">
        <f>ET4-ES4</f>
        <v>#VALUE!</v>
      </c>
      <c r="EV4" s="84" t="str">
        <f t="shared" ref="EV4:EW4" si="78">EV6-EV11+EV52-EV57</f>
        <v>#VALUE!</v>
      </c>
      <c r="EW4" s="40" t="str">
        <f t="shared" si="78"/>
        <v>#VALUE!</v>
      </c>
      <c r="EX4" s="85" t="str">
        <f>EW4-EV4</f>
        <v>#VALUE!</v>
      </c>
      <c r="EY4" s="82" t="str">
        <f t="shared" ref="EY4:EZ4" si="79">EY6-EY11+EY52-EY57</f>
        <v>#VALUE!</v>
      </c>
      <c r="EZ4" s="41" t="str">
        <f t="shared" si="79"/>
        <v>#VALUE!</v>
      </c>
      <c r="FA4" s="83" t="str">
        <f>EZ4-EY4</f>
        <v>#VALUE!</v>
      </c>
      <c r="FB4" s="84" t="str">
        <f t="shared" ref="FB4:FC4" si="80">FB6-FB11+FB52-FB57</f>
        <v>#VALUE!</v>
      </c>
      <c r="FC4" s="40" t="str">
        <f t="shared" si="80"/>
        <v>#VALUE!</v>
      </c>
      <c r="FD4" s="85" t="str">
        <f>FC4-FB4</f>
        <v>#VALUE!</v>
      </c>
      <c r="FE4" s="82" t="str">
        <f t="shared" ref="FE4:FF4" si="81">FE6-FE11+FE52-FE57</f>
        <v>#VALUE!</v>
      </c>
      <c r="FF4" s="41" t="str">
        <f t="shared" si="81"/>
        <v>#VALUE!</v>
      </c>
      <c r="FG4" s="83" t="str">
        <f>FF4-FE4</f>
        <v>#VALUE!</v>
      </c>
      <c r="FH4" s="84" t="str">
        <f t="shared" ref="FH4:FI4" si="82">FH6-FH11+FH52-FH57</f>
        <v>#VALUE!</v>
      </c>
      <c r="FI4" s="40" t="str">
        <f t="shared" si="82"/>
        <v>#VALUE!</v>
      </c>
      <c r="FJ4" s="85" t="str">
        <f>FI4-FH4</f>
        <v>#VALUE!</v>
      </c>
    </row>
    <row r="5" ht="9.0" customHeight="1">
      <c r="A5" s="73" t="str">
        <f>VLOOKUP(A2,Config!F47:G58,2)</f>
        <v>OtrosR!$F$3:$F</v>
      </c>
      <c r="B5" s="86" t="str">
        <f>VLOOKUP(A1,Config!F47:H58,3)</f>
        <v>Gastos Admon!B7:B</v>
      </c>
      <c r="C5" s="86" t="str">
        <f>VLOOKUP(A2,Config!F47:H58,3)</f>
        <v>Gastos Admon!C7:C</v>
      </c>
      <c r="D5" s="6"/>
      <c r="E5" s="75"/>
      <c r="F5" s="6"/>
      <c r="G5" s="6"/>
      <c r="H5" s="75"/>
      <c r="I5" s="6"/>
      <c r="J5" s="48"/>
      <c r="K5" s="75"/>
      <c r="L5" s="6"/>
      <c r="M5" s="48"/>
      <c r="N5" s="75"/>
      <c r="O5" s="6"/>
      <c r="P5" s="48"/>
      <c r="Q5" s="75"/>
      <c r="R5" s="6"/>
      <c r="S5" s="48"/>
      <c r="T5" s="75"/>
      <c r="U5" s="6"/>
      <c r="V5" s="48"/>
      <c r="W5" s="75"/>
      <c r="X5" s="6"/>
      <c r="Y5" s="48"/>
      <c r="Z5" s="75"/>
      <c r="AA5" s="6"/>
      <c r="AB5" s="48"/>
      <c r="AC5" s="75"/>
      <c r="AD5" s="6"/>
      <c r="AE5" s="48"/>
      <c r="AF5" s="75"/>
      <c r="AG5" s="6"/>
      <c r="AH5" s="48"/>
      <c r="AI5" s="75"/>
      <c r="AJ5" s="6"/>
      <c r="AK5" s="48"/>
      <c r="AL5" s="75"/>
      <c r="AM5" s="6"/>
      <c r="AN5" s="48"/>
      <c r="AO5" s="75"/>
      <c r="AP5" s="6"/>
      <c r="AQ5" s="48"/>
      <c r="AR5" s="75"/>
      <c r="AS5" s="6"/>
      <c r="AT5" s="48"/>
      <c r="AU5" s="75"/>
      <c r="AV5" s="6"/>
      <c r="AW5" s="48"/>
      <c r="AX5" s="75"/>
      <c r="AY5" s="6"/>
      <c r="AZ5" s="48"/>
      <c r="BA5" s="75"/>
      <c r="BB5" s="6"/>
      <c r="BC5" s="48"/>
      <c r="BD5" s="75"/>
      <c r="BE5" s="6"/>
      <c r="BF5" s="48"/>
      <c r="BG5" s="75"/>
      <c r="BH5" s="6"/>
      <c r="BI5" s="48"/>
      <c r="BJ5" s="75"/>
      <c r="BK5" s="6"/>
      <c r="BL5" s="48"/>
      <c r="BM5" s="75"/>
      <c r="BN5" s="6"/>
      <c r="BO5" s="48"/>
      <c r="BP5" s="75"/>
      <c r="BQ5" s="6"/>
      <c r="BR5" s="48"/>
      <c r="BS5" s="75"/>
      <c r="BT5" s="6"/>
      <c r="BU5" s="48"/>
      <c r="BV5" s="75"/>
      <c r="BW5" s="6"/>
      <c r="BX5" s="48"/>
      <c r="BY5" s="75"/>
      <c r="BZ5" s="6"/>
      <c r="CA5" s="48"/>
      <c r="CB5" s="75"/>
      <c r="CC5" s="6"/>
      <c r="CD5" s="48"/>
      <c r="CE5" s="75"/>
      <c r="CF5" s="6"/>
      <c r="CG5" s="48"/>
      <c r="CH5" s="75"/>
      <c r="CI5" s="6"/>
      <c r="CJ5" s="48"/>
      <c r="CK5" s="75"/>
      <c r="CL5" s="6"/>
      <c r="CM5" s="48"/>
      <c r="CN5" s="75"/>
      <c r="CO5" s="6"/>
      <c r="CP5" s="48"/>
      <c r="CQ5" s="75"/>
      <c r="CR5" s="6"/>
      <c r="CS5" s="48"/>
      <c r="CT5" s="75"/>
      <c r="CU5" s="6"/>
      <c r="CV5" s="48"/>
      <c r="CW5" s="75"/>
      <c r="CX5" s="6"/>
      <c r="CY5" s="48"/>
      <c r="CZ5" s="75"/>
      <c r="DA5" s="6"/>
      <c r="DB5" s="48"/>
      <c r="DC5" s="75"/>
      <c r="DD5" s="6"/>
      <c r="DE5" s="48"/>
      <c r="DF5" s="75"/>
      <c r="DG5" s="6"/>
      <c r="DH5" s="48"/>
      <c r="DI5" s="75"/>
      <c r="DJ5" s="6"/>
      <c r="DK5" s="48"/>
      <c r="DL5" s="75"/>
      <c r="DM5" s="6"/>
      <c r="DN5" s="48"/>
      <c r="DO5" s="75"/>
      <c r="DP5" s="6"/>
      <c r="DQ5" s="48"/>
      <c r="DR5" s="75"/>
      <c r="DS5" s="6"/>
      <c r="DT5" s="48"/>
      <c r="DU5" s="75"/>
      <c r="DV5" s="6"/>
      <c r="DW5" s="48"/>
      <c r="DX5" s="75"/>
      <c r="DY5" s="6"/>
      <c r="DZ5" s="48"/>
      <c r="EA5" s="75"/>
      <c r="EB5" s="6"/>
      <c r="EC5" s="48"/>
      <c r="ED5" s="75"/>
      <c r="EE5" s="6"/>
      <c r="EF5" s="48"/>
      <c r="EG5" s="75"/>
      <c r="EH5" s="6"/>
      <c r="EI5" s="48"/>
      <c r="EJ5" s="75"/>
      <c r="EK5" s="6"/>
      <c r="EL5" s="48"/>
      <c r="EM5" s="75"/>
      <c r="EN5" s="6"/>
      <c r="EO5" s="48"/>
      <c r="EP5" s="75"/>
      <c r="EQ5" s="6"/>
      <c r="ER5" s="48"/>
      <c r="ES5" s="75"/>
      <c r="ET5" s="6"/>
      <c r="EU5" s="48"/>
      <c r="EV5" s="75"/>
      <c r="EW5" s="6"/>
      <c r="EX5" s="48"/>
      <c r="EY5" s="75"/>
      <c r="EZ5" s="6"/>
      <c r="FA5" s="48"/>
      <c r="FB5" s="75"/>
      <c r="FC5" s="6"/>
      <c r="FD5" s="48"/>
      <c r="FE5" s="75"/>
      <c r="FF5" s="6"/>
      <c r="FG5" s="48"/>
      <c r="FH5" s="75"/>
      <c r="FI5" s="6"/>
      <c r="FJ5" s="48"/>
    </row>
    <row r="6" ht="15.75" customHeight="1">
      <c r="A6" s="19" t="s">
        <v>15</v>
      </c>
      <c r="B6" s="13">
        <f t="shared" ref="B6:C6" si="83">SUM(B7:B9)</f>
        <v>0</v>
      </c>
      <c r="C6" s="13" t="str">
        <f t="shared" si="83"/>
        <v>#REF!</v>
      </c>
      <c r="D6" s="13" t="str">
        <f t="shared" ref="D6:D8" si="86">C6-B6</f>
        <v>#REF!</v>
      </c>
      <c r="E6" s="77">
        <f t="shared" ref="E6:F6" si="84">SUM(E7:E9)</f>
        <v>0</v>
      </c>
      <c r="F6" s="78">
        <f t="shared" si="84"/>
        <v>0</v>
      </c>
      <c r="G6" s="79">
        <f t="shared" ref="G6:G8" si="87">F6-E6</f>
        <v>0</v>
      </c>
      <c r="H6" s="80">
        <f t="shared" ref="H6:FJ6" si="85">SUM(H7:H9)</f>
        <v>0</v>
      </c>
      <c r="I6" s="39">
        <f t="shared" si="85"/>
        <v>0</v>
      </c>
      <c r="J6" s="81" t="str">
        <f t="shared" si="85"/>
        <v>#REF!</v>
      </c>
      <c r="K6" s="82">
        <f t="shared" si="85"/>
        <v>0</v>
      </c>
      <c r="L6" s="41">
        <f t="shared" si="85"/>
        <v>0</v>
      </c>
      <c r="M6" s="83" t="str">
        <f t="shared" si="85"/>
        <v>#REF!</v>
      </c>
      <c r="N6" s="84">
        <f t="shared" si="85"/>
        <v>0</v>
      </c>
      <c r="O6" s="40">
        <f t="shared" si="85"/>
        <v>0</v>
      </c>
      <c r="P6" s="85" t="str">
        <f t="shared" si="85"/>
        <v>#REF!</v>
      </c>
      <c r="Q6" s="82">
        <f t="shared" si="85"/>
        <v>0</v>
      </c>
      <c r="R6" s="41">
        <f t="shared" si="85"/>
        <v>0</v>
      </c>
      <c r="S6" s="83" t="str">
        <f t="shared" si="85"/>
        <v>#REF!</v>
      </c>
      <c r="T6" s="84">
        <f t="shared" si="85"/>
        <v>0</v>
      </c>
      <c r="U6" s="40">
        <f t="shared" si="85"/>
        <v>0</v>
      </c>
      <c r="V6" s="85" t="str">
        <f t="shared" si="85"/>
        <v>#REF!</v>
      </c>
      <c r="W6" s="82">
        <f t="shared" si="85"/>
        <v>0</v>
      </c>
      <c r="X6" s="41">
        <f t="shared" si="85"/>
        <v>0</v>
      </c>
      <c r="Y6" s="83" t="str">
        <f t="shared" si="85"/>
        <v>#REF!</v>
      </c>
      <c r="Z6" s="84">
        <f t="shared" si="85"/>
        <v>0</v>
      </c>
      <c r="AA6" s="40">
        <f t="shared" si="85"/>
        <v>0</v>
      </c>
      <c r="AB6" s="85" t="str">
        <f t="shared" si="85"/>
        <v>#REF!</v>
      </c>
      <c r="AC6" s="82">
        <f t="shared" si="85"/>
        <v>0</v>
      </c>
      <c r="AD6" s="41">
        <f t="shared" si="85"/>
        <v>0</v>
      </c>
      <c r="AE6" s="83" t="str">
        <f t="shared" si="85"/>
        <v>#REF!</v>
      </c>
      <c r="AF6" s="84">
        <f t="shared" si="85"/>
        <v>0</v>
      </c>
      <c r="AG6" s="40">
        <f t="shared" si="85"/>
        <v>0</v>
      </c>
      <c r="AH6" s="85" t="str">
        <f t="shared" si="85"/>
        <v>#REF!</v>
      </c>
      <c r="AI6" s="82">
        <f t="shared" si="85"/>
        <v>0</v>
      </c>
      <c r="AJ6" s="41">
        <f t="shared" si="85"/>
        <v>0</v>
      </c>
      <c r="AK6" s="83" t="str">
        <f t="shared" si="85"/>
        <v>#REF!</v>
      </c>
      <c r="AL6" s="84">
        <f t="shared" si="85"/>
        <v>0</v>
      </c>
      <c r="AM6" s="40">
        <f t="shared" si="85"/>
        <v>0</v>
      </c>
      <c r="AN6" s="85" t="str">
        <f t="shared" si="85"/>
        <v>#REF!</v>
      </c>
      <c r="AO6" s="82">
        <f t="shared" si="85"/>
        <v>0</v>
      </c>
      <c r="AP6" s="41">
        <f t="shared" si="85"/>
        <v>0</v>
      </c>
      <c r="AQ6" s="83" t="str">
        <f t="shared" si="85"/>
        <v>#REF!</v>
      </c>
      <c r="AR6" s="84">
        <f t="shared" si="85"/>
        <v>0</v>
      </c>
      <c r="AS6" s="40">
        <f t="shared" si="85"/>
        <v>0</v>
      </c>
      <c r="AT6" s="85" t="str">
        <f t="shared" si="85"/>
        <v>#REF!</v>
      </c>
      <c r="AU6" s="82">
        <f t="shared" si="85"/>
        <v>0</v>
      </c>
      <c r="AV6" s="41">
        <f t="shared" si="85"/>
        <v>0</v>
      </c>
      <c r="AW6" s="83" t="str">
        <f t="shared" si="85"/>
        <v>#REF!</v>
      </c>
      <c r="AX6" s="84">
        <f t="shared" si="85"/>
        <v>0</v>
      </c>
      <c r="AY6" s="40">
        <f t="shared" si="85"/>
        <v>0</v>
      </c>
      <c r="AZ6" s="85" t="str">
        <f t="shared" si="85"/>
        <v>#REF!</v>
      </c>
      <c r="BA6" s="82">
        <f t="shared" si="85"/>
        <v>0</v>
      </c>
      <c r="BB6" s="41">
        <f t="shared" si="85"/>
        <v>0</v>
      </c>
      <c r="BC6" s="83" t="str">
        <f t="shared" si="85"/>
        <v>#REF!</v>
      </c>
      <c r="BD6" s="84">
        <f t="shared" si="85"/>
        <v>0</v>
      </c>
      <c r="BE6" s="40">
        <f t="shared" si="85"/>
        <v>0</v>
      </c>
      <c r="BF6" s="85" t="str">
        <f t="shared" si="85"/>
        <v>#REF!</v>
      </c>
      <c r="BG6" s="82">
        <f t="shared" si="85"/>
        <v>0</v>
      </c>
      <c r="BH6" s="41">
        <f t="shared" si="85"/>
        <v>0</v>
      </c>
      <c r="BI6" s="83" t="str">
        <f t="shared" si="85"/>
        <v>#REF!</v>
      </c>
      <c r="BJ6" s="84">
        <f t="shared" si="85"/>
        <v>0</v>
      </c>
      <c r="BK6" s="40">
        <f t="shared" si="85"/>
        <v>0</v>
      </c>
      <c r="BL6" s="85" t="str">
        <f t="shared" si="85"/>
        <v>#REF!</v>
      </c>
      <c r="BM6" s="82">
        <f t="shared" si="85"/>
        <v>0</v>
      </c>
      <c r="BN6" s="41">
        <f t="shared" si="85"/>
        <v>0</v>
      </c>
      <c r="BO6" s="83" t="str">
        <f t="shared" si="85"/>
        <v>#REF!</v>
      </c>
      <c r="BP6" s="84">
        <f t="shared" si="85"/>
        <v>0</v>
      </c>
      <c r="BQ6" s="40">
        <f t="shared" si="85"/>
        <v>0</v>
      </c>
      <c r="BR6" s="85" t="str">
        <f t="shared" si="85"/>
        <v>#REF!</v>
      </c>
      <c r="BS6" s="82">
        <f t="shared" si="85"/>
        <v>0</v>
      </c>
      <c r="BT6" s="41">
        <f t="shared" si="85"/>
        <v>0</v>
      </c>
      <c r="BU6" s="83" t="str">
        <f t="shared" si="85"/>
        <v>#REF!</v>
      </c>
      <c r="BV6" s="84">
        <f t="shared" si="85"/>
        <v>0</v>
      </c>
      <c r="BW6" s="40">
        <f t="shared" si="85"/>
        <v>0</v>
      </c>
      <c r="BX6" s="85" t="str">
        <f t="shared" si="85"/>
        <v>#REF!</v>
      </c>
      <c r="BY6" s="82">
        <f t="shared" si="85"/>
        <v>0</v>
      </c>
      <c r="BZ6" s="41">
        <f t="shared" si="85"/>
        <v>0</v>
      </c>
      <c r="CA6" s="83" t="str">
        <f t="shared" si="85"/>
        <v>#REF!</v>
      </c>
      <c r="CB6" s="84">
        <f t="shared" si="85"/>
        <v>0</v>
      </c>
      <c r="CC6" s="40">
        <f t="shared" si="85"/>
        <v>0</v>
      </c>
      <c r="CD6" s="85" t="str">
        <f t="shared" si="85"/>
        <v>#REF!</v>
      </c>
      <c r="CE6" s="82">
        <f t="shared" si="85"/>
        <v>0</v>
      </c>
      <c r="CF6" s="41">
        <f t="shared" si="85"/>
        <v>0</v>
      </c>
      <c r="CG6" s="83" t="str">
        <f t="shared" si="85"/>
        <v>#REF!</v>
      </c>
      <c r="CH6" s="84">
        <f t="shared" si="85"/>
        <v>0</v>
      </c>
      <c r="CI6" s="40">
        <f t="shared" si="85"/>
        <v>0</v>
      </c>
      <c r="CJ6" s="85" t="str">
        <f t="shared" si="85"/>
        <v>#REF!</v>
      </c>
      <c r="CK6" s="82">
        <f t="shared" si="85"/>
        <v>0</v>
      </c>
      <c r="CL6" s="41">
        <f t="shared" si="85"/>
        <v>0</v>
      </c>
      <c r="CM6" s="83" t="str">
        <f t="shared" si="85"/>
        <v>#REF!</v>
      </c>
      <c r="CN6" s="84">
        <f t="shared" si="85"/>
        <v>0</v>
      </c>
      <c r="CO6" s="40">
        <f t="shared" si="85"/>
        <v>0</v>
      </c>
      <c r="CP6" s="85" t="str">
        <f t="shared" si="85"/>
        <v>#REF!</v>
      </c>
      <c r="CQ6" s="82">
        <f t="shared" si="85"/>
        <v>0</v>
      </c>
      <c r="CR6" s="41">
        <f t="shared" si="85"/>
        <v>0</v>
      </c>
      <c r="CS6" s="83" t="str">
        <f t="shared" si="85"/>
        <v>#REF!</v>
      </c>
      <c r="CT6" s="84">
        <f t="shared" si="85"/>
        <v>0</v>
      </c>
      <c r="CU6" s="40">
        <f t="shared" si="85"/>
        <v>0</v>
      </c>
      <c r="CV6" s="85" t="str">
        <f t="shared" si="85"/>
        <v>#REF!</v>
      </c>
      <c r="CW6" s="82">
        <f t="shared" si="85"/>
        <v>0</v>
      </c>
      <c r="CX6" s="41">
        <f t="shared" si="85"/>
        <v>0</v>
      </c>
      <c r="CY6" s="83" t="str">
        <f t="shared" si="85"/>
        <v>#REF!</v>
      </c>
      <c r="CZ6" s="84">
        <f t="shared" si="85"/>
        <v>0</v>
      </c>
      <c r="DA6" s="40">
        <f t="shared" si="85"/>
        <v>0</v>
      </c>
      <c r="DB6" s="85" t="str">
        <f t="shared" si="85"/>
        <v>#REF!</v>
      </c>
      <c r="DC6" s="82">
        <f t="shared" si="85"/>
        <v>0</v>
      </c>
      <c r="DD6" s="41">
        <f t="shared" si="85"/>
        <v>0</v>
      </c>
      <c r="DE6" s="83" t="str">
        <f t="shared" si="85"/>
        <v>#REF!</v>
      </c>
      <c r="DF6" s="84">
        <f t="shared" si="85"/>
        <v>0</v>
      </c>
      <c r="DG6" s="40">
        <f t="shared" si="85"/>
        <v>0</v>
      </c>
      <c r="DH6" s="85" t="str">
        <f t="shared" si="85"/>
        <v>#REF!</v>
      </c>
      <c r="DI6" s="82">
        <f t="shared" si="85"/>
        <v>0</v>
      </c>
      <c r="DJ6" s="41">
        <f t="shared" si="85"/>
        <v>0</v>
      </c>
      <c r="DK6" s="83" t="str">
        <f t="shared" si="85"/>
        <v>#REF!</v>
      </c>
      <c r="DL6" s="84">
        <f t="shared" si="85"/>
        <v>0</v>
      </c>
      <c r="DM6" s="40">
        <f t="shared" si="85"/>
        <v>0</v>
      </c>
      <c r="DN6" s="85" t="str">
        <f t="shared" si="85"/>
        <v>#REF!</v>
      </c>
      <c r="DO6" s="82">
        <f t="shared" si="85"/>
        <v>0</v>
      </c>
      <c r="DP6" s="41">
        <f t="shared" si="85"/>
        <v>0</v>
      </c>
      <c r="DQ6" s="83" t="str">
        <f t="shared" si="85"/>
        <v>#REF!</v>
      </c>
      <c r="DR6" s="84">
        <f t="shared" si="85"/>
        <v>0</v>
      </c>
      <c r="DS6" s="40">
        <f t="shared" si="85"/>
        <v>0</v>
      </c>
      <c r="DT6" s="85" t="str">
        <f t="shared" si="85"/>
        <v>#REF!</v>
      </c>
      <c r="DU6" s="82">
        <f t="shared" si="85"/>
        <v>0</v>
      </c>
      <c r="DV6" s="41">
        <f t="shared" si="85"/>
        <v>0</v>
      </c>
      <c r="DW6" s="83" t="str">
        <f t="shared" si="85"/>
        <v>#REF!</v>
      </c>
      <c r="DX6" s="84">
        <f t="shared" si="85"/>
        <v>0</v>
      </c>
      <c r="DY6" s="40">
        <f t="shared" si="85"/>
        <v>0</v>
      </c>
      <c r="DZ6" s="85" t="str">
        <f t="shared" si="85"/>
        <v>#REF!</v>
      </c>
      <c r="EA6" s="82">
        <f t="shared" si="85"/>
        <v>0</v>
      </c>
      <c r="EB6" s="41">
        <f t="shared" si="85"/>
        <v>0</v>
      </c>
      <c r="EC6" s="83" t="str">
        <f t="shared" si="85"/>
        <v>#REF!</v>
      </c>
      <c r="ED6" s="84">
        <f t="shared" si="85"/>
        <v>0</v>
      </c>
      <c r="EE6" s="40">
        <f t="shared" si="85"/>
        <v>0</v>
      </c>
      <c r="EF6" s="85" t="str">
        <f t="shared" si="85"/>
        <v>#REF!</v>
      </c>
      <c r="EG6" s="82">
        <f t="shared" si="85"/>
        <v>0</v>
      </c>
      <c r="EH6" s="41">
        <f t="shared" si="85"/>
        <v>0</v>
      </c>
      <c r="EI6" s="83" t="str">
        <f t="shared" si="85"/>
        <v>#REF!</v>
      </c>
      <c r="EJ6" s="84">
        <f t="shared" si="85"/>
        <v>0</v>
      </c>
      <c r="EK6" s="40">
        <f t="shared" si="85"/>
        <v>0</v>
      </c>
      <c r="EL6" s="85" t="str">
        <f t="shared" si="85"/>
        <v>#REF!</v>
      </c>
      <c r="EM6" s="82">
        <f t="shared" si="85"/>
        <v>0</v>
      </c>
      <c r="EN6" s="41">
        <f t="shared" si="85"/>
        <v>0</v>
      </c>
      <c r="EO6" s="83" t="str">
        <f t="shared" si="85"/>
        <v>#REF!</v>
      </c>
      <c r="EP6" s="84">
        <f t="shared" si="85"/>
        <v>0</v>
      </c>
      <c r="EQ6" s="40">
        <f t="shared" si="85"/>
        <v>0</v>
      </c>
      <c r="ER6" s="85" t="str">
        <f t="shared" si="85"/>
        <v>#REF!</v>
      </c>
      <c r="ES6" s="82">
        <f t="shared" si="85"/>
        <v>0</v>
      </c>
      <c r="ET6" s="41">
        <f t="shared" si="85"/>
        <v>0</v>
      </c>
      <c r="EU6" s="83" t="str">
        <f t="shared" si="85"/>
        <v>#REF!</v>
      </c>
      <c r="EV6" s="84">
        <f t="shared" si="85"/>
        <v>0</v>
      </c>
      <c r="EW6" s="40">
        <f t="shared" si="85"/>
        <v>0</v>
      </c>
      <c r="EX6" s="85" t="str">
        <f t="shared" si="85"/>
        <v>#REF!</v>
      </c>
      <c r="EY6" s="82">
        <f t="shared" si="85"/>
        <v>0</v>
      </c>
      <c r="EZ6" s="41">
        <f t="shared" si="85"/>
        <v>0</v>
      </c>
      <c r="FA6" s="83" t="str">
        <f t="shared" si="85"/>
        <v>#REF!</v>
      </c>
      <c r="FB6" s="84">
        <f t="shared" si="85"/>
        <v>0</v>
      </c>
      <c r="FC6" s="40">
        <f t="shared" si="85"/>
        <v>0</v>
      </c>
      <c r="FD6" s="85" t="str">
        <f t="shared" si="85"/>
        <v>#REF!</v>
      </c>
      <c r="FE6" s="82">
        <f t="shared" si="85"/>
        <v>0</v>
      </c>
      <c r="FF6" s="41">
        <f t="shared" si="85"/>
        <v>0</v>
      </c>
      <c r="FG6" s="83" t="str">
        <f t="shared" si="85"/>
        <v>#REF!</v>
      </c>
      <c r="FH6" s="84">
        <f t="shared" si="85"/>
        <v>0</v>
      </c>
      <c r="FI6" s="40">
        <f t="shared" si="85"/>
        <v>0</v>
      </c>
      <c r="FJ6" s="85" t="str">
        <f t="shared" si="85"/>
        <v>#REF!</v>
      </c>
    </row>
    <row r="7" ht="15.75" customHeight="1">
      <c r="A7" s="6" t="s">
        <v>16</v>
      </c>
      <c r="B7" s="16">
        <f t="shared" ref="B7:B9" si="88">SUMIF($H$2:FJ$2,$H$2,H7:FJ7)</f>
        <v>0</v>
      </c>
      <c r="C7" s="16">
        <f>SUMIF($H$2:FJ$2,$I$2,H7:FJ7)</f>
        <v>0</v>
      </c>
      <c r="D7" s="16">
        <f t="shared" si="86"/>
        <v>0</v>
      </c>
      <c r="E7" s="87" t="str">
        <f t="shared" ref="E7:E9" si="89">IFERROR(
  IF(
    INDEX(
      INDIRECT($B$1),
      MATCH(RIGHT($A7, LEN($A7)-4), INDIRECT($C$1), 0),
      MATCH(E$1, INDIRECT($D$1), 0)
    ) = "-",
    "",
    INDEX(
      INDIRECT($B$1),
      MATCH(RIGHT($A7, LEN($A7)-4), INDIRECT($C$1), 0),
      MATCH(E$1, INDIRECT($D$1), 0)
    )
  ),
"")
</f>
        <v/>
      </c>
      <c r="F7" s="88" t="str">
        <f t="shared" ref="F7:F9" si="90">IFERROR(
  IF(
    INDEX(
      INDIRECT($B$3),
      MATCH(RIGHT($A7, LEN($A7)-4), INDIRECT($C$3), 0),
      MATCH(E$1, INDIRECT($D$3), 0)
    ) = "-",
    "",
    INDEX(
      INDIRECT($B$3),
      MATCH(RIGHT($A7, LEN($A7)-4), INDIRECT($C$3), 0),
      MATCH(E$1, INDIRECT($D$3), 0)
    )
  ),
"")
</f>
        <v/>
      </c>
      <c r="G7" s="89">
        <f t="shared" si="87"/>
        <v>0</v>
      </c>
      <c r="H7" s="90" t="str">
        <f t="shared" ref="H7:H9" si="91">IFERROR(
  IF(
    INDEX(
      INDIRECT($B$1),
      MATCH(RIGHT($A7, LEN($A7)-4), INDIRECT($C$1), 0),
      MATCH(H$1, INDIRECT($D$1), 0)
    ) = "-",
    "",
    INDEX(
      INDIRECT($B$1),
      MATCH(RIGHT($A7, LEN($A7)-4), INDIRECT($C$1), 0),
      MATCH(H$1, INDIRECT($D$1), 0)
    )
  ),
"")
</f>
        <v/>
      </c>
      <c r="I7" s="91" t="str">
        <f t="shared" ref="I7:I9" si="92">IFERROR(
  IF(
    INDEX(
      INDIRECT($B$3),
      MATCH(RIGHT($A7, LEN($A7)-4), INDIRECT($C$3), 0),
      MATCH(H$1, INDIRECT($D$3), 0)
    ) = "-",
    "",
    INDEX(
      INDIRECT($B$3),
      MATCH(RIGHT($A7, LEN($A7)-4), INDIRECT($C$3), 0),
      MATCH(H$1, INDIRECT($D$3), 0)
    )
  ),
"")
</f>
        <v/>
      </c>
      <c r="J7" s="92">
        <f>H7-I7</f>
        <v>0</v>
      </c>
      <c r="K7" s="93" t="str">
        <f t="shared" ref="K7:K9" si="93">IFERROR(
  IF(
    INDEX(
      INDIRECT($B$1),
      MATCH(RIGHT($A7, LEN($A7)-4), INDIRECT($C$1), 0),
      MATCH(K$1, INDIRECT($D$1), 0)
    ) = "-",
    "",
    INDEX(
      INDIRECT($B$1),
      MATCH(RIGHT($A7, LEN($A7)-4), INDIRECT($C$1), 0),
      MATCH(K$1, INDIRECT($D$1), 0)
    )
  ),
"")
</f>
        <v/>
      </c>
      <c r="L7" s="94" t="str">
        <f t="shared" ref="L7:L9" si="94">IFERROR(
  IF(
    INDEX(
      INDIRECT($B$3),
      MATCH(RIGHT($A7, LEN($A7)-4), INDIRECT($C$3), 0),
      MATCH(K$1, INDIRECT($D$3), 0)
    ) = "-",
    "",
    INDEX(
      INDIRECT($B$3),
      MATCH(RIGHT($A7, LEN($A7)-4), INDIRECT($C$3), 0),
      MATCH(K$1, INDIRECT($D$3), 0)
    )
  ),
"")
</f>
        <v/>
      </c>
      <c r="M7" s="95">
        <f>K7-L7</f>
        <v>0</v>
      </c>
      <c r="N7" s="96" t="str">
        <f t="shared" ref="N7:N9" si="95">IFERROR(
  IF(
    INDEX(
      INDIRECT($B$1),
      MATCH(RIGHT($A7, LEN($A7)-4), INDIRECT($C$1), 0),
      MATCH(N$1, INDIRECT($D$1), 0)
    ) = "-",
    "",
    INDEX(
      INDIRECT($B$1),
      MATCH(RIGHT($A7, LEN($A7)-4), INDIRECT($C$1), 0),
      MATCH(N$1, INDIRECT($D$1), 0)
    )
  ),
"")
</f>
        <v/>
      </c>
      <c r="O7" s="97" t="str">
        <f t="shared" ref="O7:O9" si="96">IFERROR(
  IF(
    INDEX(
      INDIRECT($B$3),
      MATCH(RIGHT($A7, LEN($A7)-4), INDIRECT($C$3), 0),
      MATCH(N$1, INDIRECT($D$3), 0)
    ) = "-",
    "",
    INDEX(
      INDIRECT($B$3),
      MATCH(RIGHT($A7, LEN($A7)-4), INDIRECT($C$3), 0),
      MATCH(N$1, INDIRECT($D$3), 0)
    )
  ),
"")
</f>
        <v/>
      </c>
      <c r="P7" s="98">
        <f>N7-O7</f>
        <v>0</v>
      </c>
      <c r="Q7" s="93" t="str">
        <f t="shared" ref="Q7:Q9" si="97">IFERROR(
  IF(
    INDEX(
      INDIRECT($B$1),
      MATCH(RIGHT($A7, LEN($A7)-4), INDIRECT($C$1), 0),
      MATCH(Q$1, INDIRECT($D$1), 0)
    ) = "-",
    "",
    INDEX(
      INDIRECT($B$1),
      MATCH(RIGHT($A7, LEN($A7)-4), INDIRECT($C$1), 0),
      MATCH(Q$1, INDIRECT($D$1), 0)
    )
  ),
"")
</f>
        <v/>
      </c>
      <c r="R7" s="94" t="str">
        <f t="shared" ref="R7:R9" si="98">IFERROR(
  IF(
    INDEX(
      INDIRECT($B$3),
      MATCH(RIGHT($A7, LEN($A7)-4), INDIRECT($C$3), 0),
      MATCH(Q$1, INDIRECT($D$3), 0)
    ) = "-",
    "",
    INDEX(
      INDIRECT($B$3),
      MATCH(RIGHT($A7, LEN($A7)-4), INDIRECT($C$3), 0),
      MATCH(Q$1, INDIRECT($D$3), 0)
    )
  ),
"")
</f>
        <v/>
      </c>
      <c r="S7" s="95">
        <f>Q7-R7</f>
        <v>0</v>
      </c>
      <c r="T7" s="96" t="str">
        <f t="shared" ref="T7:T9" si="99">IFERROR(
  IF(
    INDEX(
      INDIRECT($B$1),
      MATCH(RIGHT($A7, LEN($A7)-4), INDIRECT($C$1), 0),
      MATCH(T$1, INDIRECT($D$1), 0)
    ) = "-",
    "",
    INDEX(
      INDIRECT($B$1),
      MATCH(RIGHT($A7, LEN($A7)-4), INDIRECT($C$1), 0),
      MATCH(T$1, INDIRECT($D$1), 0)
    )
  ),
"")
</f>
        <v/>
      </c>
      <c r="U7" s="97" t="str">
        <f t="shared" ref="U7:U9" si="100">IFERROR(
  IF(
    INDEX(
      INDIRECT($B$3),
      MATCH(RIGHT($A7, LEN($A7)-4), INDIRECT($C$3), 0),
      MATCH(T$1, INDIRECT($D$3), 0)
    ) = "-",
    "",
    INDEX(
      INDIRECT($B$3),
      MATCH(RIGHT($A7, LEN($A7)-4), INDIRECT($C$3), 0),
      MATCH(T$1, INDIRECT($D$3), 0)
    )
  ),
"")
</f>
        <v/>
      </c>
      <c r="V7" s="98">
        <f>T7-U7</f>
        <v>0</v>
      </c>
      <c r="W7" s="93" t="str">
        <f t="shared" ref="W7:W9" si="101">IFERROR(
  IF(
    INDEX(
      INDIRECT($B$1),
      MATCH(RIGHT($A7, LEN($A7)-4), INDIRECT($C$1), 0),
      MATCH(W$1, INDIRECT($D$1), 0)
    ) = "-",
    "",
    INDEX(
      INDIRECT($B$1),
      MATCH(RIGHT($A7, LEN($A7)-4), INDIRECT($C$1), 0),
      MATCH(W$1, INDIRECT($D$1), 0)
    )
  ),
"")
</f>
        <v/>
      </c>
      <c r="X7" s="94" t="str">
        <f t="shared" ref="X7:X9" si="102">IFERROR(
  IF(
    INDEX(
      INDIRECT($B$3),
      MATCH(RIGHT($A7, LEN($A7)-4), INDIRECT($C$3), 0),
      MATCH(W$1, INDIRECT($D$3), 0)
    ) = "-",
    "",
    INDEX(
      INDIRECT($B$3),
      MATCH(RIGHT($A7, LEN($A7)-4), INDIRECT($C$3), 0),
      MATCH(W$1, INDIRECT($D$3), 0)
    )
  ),
"")
</f>
        <v/>
      </c>
      <c r="Y7" s="95">
        <f>W7-X7</f>
        <v>0</v>
      </c>
      <c r="Z7" s="96" t="str">
        <f t="shared" ref="Z7:Z9" si="103">IFERROR(
  IF(
    INDEX(
      INDIRECT($B$1),
      MATCH(RIGHT($A7, LEN($A7)-4), INDIRECT($C$1), 0),
      MATCH(Z$1, INDIRECT($D$1), 0)
    ) = "-",
    "",
    INDEX(
      INDIRECT($B$1),
      MATCH(RIGHT($A7, LEN($A7)-4), INDIRECT($C$1), 0),
      MATCH(Z$1, INDIRECT($D$1), 0)
    )
  ),
"")
</f>
        <v/>
      </c>
      <c r="AA7" s="97" t="str">
        <f t="shared" ref="AA7:AA9" si="104">IFERROR(
  IF(
    INDEX(
      INDIRECT($B$3),
      MATCH(RIGHT($A7, LEN($A7)-4), INDIRECT($C$3), 0),
      MATCH(Z$1, INDIRECT($D$3), 0)
    ) = "-",
    "",
    INDEX(
      INDIRECT($B$3),
      MATCH(RIGHT($A7, LEN($A7)-4), INDIRECT($C$3), 0),
      MATCH(Z$1, INDIRECT($D$3), 0)
    )
  ),
"")
</f>
        <v/>
      </c>
      <c r="AB7" s="98">
        <f>Z7-AA7</f>
        <v>0</v>
      </c>
      <c r="AC7" s="93" t="str">
        <f t="shared" ref="AC7:AC9" si="105">IFERROR(
  IF(
    INDEX(
      INDIRECT($B$1),
      MATCH(RIGHT($A7, LEN($A7)-4), INDIRECT($C$1), 0),
      MATCH(AC$1, INDIRECT($D$1), 0)
    ) = "-",
    "",
    INDEX(
      INDIRECT($B$1),
      MATCH(RIGHT($A7, LEN($A7)-4), INDIRECT($C$1), 0),
      MATCH(AC$1, INDIRECT($D$1), 0)
    )
  ),
"")
</f>
        <v/>
      </c>
      <c r="AD7" s="94" t="str">
        <f t="shared" ref="AD7:AD9" si="106">IFERROR(
  IF(
    INDEX(
      INDIRECT($B$3),
      MATCH(RIGHT($A7, LEN($A7)-4), INDIRECT($C$3), 0),
      MATCH(AC$1, INDIRECT($D$3), 0)
    ) = "-",
    "",
    INDEX(
      INDIRECT($B$3),
      MATCH(RIGHT($A7, LEN($A7)-4), INDIRECT($C$3), 0),
      MATCH(AC$1, INDIRECT($D$3), 0)
    )
  ),
"")
</f>
        <v/>
      </c>
      <c r="AE7" s="95">
        <f>AC7-AD7</f>
        <v>0</v>
      </c>
      <c r="AF7" s="96" t="str">
        <f t="shared" ref="AF7:AF9" si="107">IFERROR(
  IF(
    INDEX(
      INDIRECT($B$1),
      MATCH(RIGHT($A7, LEN($A7)-4), INDIRECT($C$1), 0),
      MATCH(AF$1, INDIRECT($D$1), 0)
    ) = "-",
    "",
    INDEX(
      INDIRECT($B$1),
      MATCH(RIGHT($A7, LEN($A7)-4), INDIRECT($C$1), 0),
      MATCH(AF$1, INDIRECT($D$1), 0)
    )
  ),
"")
</f>
        <v/>
      </c>
      <c r="AG7" s="97" t="str">
        <f t="shared" ref="AG7:AG9" si="108">IFERROR(
  IF(
    INDEX(
      INDIRECT($B$3),
      MATCH(RIGHT($A7, LEN($A7)-4), INDIRECT($C$3), 0),
      MATCH(AF$1, INDIRECT($D$3), 0)
    ) = "-",
    "",
    INDEX(
      INDIRECT($B$3),
      MATCH(RIGHT($A7, LEN($A7)-4), INDIRECT($C$3), 0),
      MATCH(AF$1, INDIRECT($D$3), 0)
    )
  ),
"")
</f>
        <v/>
      </c>
      <c r="AH7" s="98">
        <f>AF7-AG7</f>
        <v>0</v>
      </c>
      <c r="AI7" s="93" t="str">
        <f t="shared" ref="AI7:AI9" si="109">IFERROR(
  IF(
    INDEX(
      INDIRECT($B$1),
      MATCH(RIGHT($A7, LEN($A7)-4), INDIRECT($C$1), 0),
      MATCH(AI$1, INDIRECT($D$1), 0)
    ) = "-",
    "",
    INDEX(
      INDIRECT($B$1),
      MATCH(RIGHT($A7, LEN($A7)-4), INDIRECT($C$1), 0),
      MATCH(AI$1, INDIRECT($D$1), 0)
    )
  ),
"")
</f>
        <v/>
      </c>
      <c r="AJ7" s="94" t="str">
        <f t="shared" ref="AJ7:AJ9" si="110">IFERROR(
  IF(
    INDEX(
      INDIRECT($B$3),
      MATCH(RIGHT($A7, LEN($A7)-4), INDIRECT($C$3), 0),
      MATCH(AI$1, INDIRECT($D$3), 0)
    ) = "-",
    "",
    INDEX(
      INDIRECT($B$3),
      MATCH(RIGHT($A7, LEN($A7)-4), INDIRECT($C$3), 0),
      MATCH(AI$1, INDIRECT($D$3), 0)
    )
  ),
"")
</f>
        <v/>
      </c>
      <c r="AK7" s="95">
        <f>AI7-AJ7</f>
        <v>0</v>
      </c>
      <c r="AL7" s="96" t="str">
        <f t="shared" ref="AL7:AL9" si="111">IFERROR(
  IF(
    INDEX(
      INDIRECT($B$1),
      MATCH(RIGHT($A7, LEN($A7)-4), INDIRECT($C$1), 0),
      MATCH(AL$1, INDIRECT($D$1), 0)
    ) = "-",
    "",
    INDEX(
      INDIRECT($B$1),
      MATCH(RIGHT($A7, LEN($A7)-4), INDIRECT($C$1), 0),
      MATCH(AL$1, INDIRECT($D$1), 0)
    )
  ),
"")
</f>
        <v/>
      </c>
      <c r="AM7" s="97" t="str">
        <f t="shared" ref="AM7:AM9" si="112">IFERROR(
  IF(
    INDEX(
      INDIRECT($B$3),
      MATCH(RIGHT($A7, LEN($A7)-4), INDIRECT($C$3), 0),
      MATCH(AL$1, INDIRECT($D$3), 0)
    ) = "-",
    "",
    INDEX(
      INDIRECT($B$3),
      MATCH(RIGHT($A7, LEN($A7)-4), INDIRECT($C$3), 0),
      MATCH(AL$1, INDIRECT($D$3), 0)
    )
  ),
"")
</f>
        <v/>
      </c>
      <c r="AN7" s="98">
        <f>AL7-AM7</f>
        <v>0</v>
      </c>
      <c r="AO7" s="93" t="str">
        <f t="shared" ref="AO7:AO9" si="113">IFERROR(
  IF(
    INDEX(
      INDIRECT($B$1),
      MATCH(RIGHT($A7, LEN($A7)-4), INDIRECT($C$1), 0),
      MATCH(AO$1, INDIRECT($D$1), 0)
    ) = "-",
    "",
    INDEX(
      INDIRECT($B$1),
      MATCH(RIGHT($A7, LEN($A7)-4), INDIRECT($C$1), 0),
      MATCH(AO$1, INDIRECT($D$1), 0)
    )
  ),
"")
</f>
        <v/>
      </c>
      <c r="AP7" s="94" t="str">
        <f t="shared" ref="AP7:AP9" si="114">IFERROR(
  IF(
    INDEX(
      INDIRECT($B$3),
      MATCH(RIGHT($A7, LEN($A7)-4), INDIRECT($C$3), 0),
      MATCH(AO$1, INDIRECT($D$3), 0)
    ) = "-",
    "",
    INDEX(
      INDIRECT($B$3),
      MATCH(RIGHT($A7, LEN($A7)-4), INDIRECT($C$3), 0),
      MATCH(AO$1, INDIRECT($D$3), 0)
    )
  ),
"")
</f>
        <v/>
      </c>
      <c r="AQ7" s="95">
        <f>AO7-AP7</f>
        <v>0</v>
      </c>
      <c r="AR7" s="96" t="str">
        <f t="shared" ref="AR7:AR9" si="115">IFERROR(
  IF(
    INDEX(
      INDIRECT($B$1),
      MATCH(RIGHT($A7, LEN($A7)-4), INDIRECT($C$1), 0),
      MATCH(AR$1, INDIRECT($D$1), 0)
    ) = "-",
    "",
    INDEX(
      INDIRECT($B$1),
      MATCH(RIGHT($A7, LEN($A7)-4), INDIRECT($C$1), 0),
      MATCH(AR$1, INDIRECT($D$1), 0)
    )
  ),
"")
</f>
        <v/>
      </c>
      <c r="AS7" s="97" t="str">
        <f t="shared" ref="AS7:AS9" si="116">IFERROR(
  IF(
    INDEX(
      INDIRECT($B$3),
      MATCH(RIGHT($A7, LEN($A7)-4), INDIRECT($C$3), 0),
      MATCH(AR$1, INDIRECT($D$3), 0)
    ) = "-",
    "",
    INDEX(
      INDIRECT($B$3),
      MATCH(RIGHT($A7, LEN($A7)-4), INDIRECT($C$3), 0),
      MATCH(AR$1, INDIRECT($D$3), 0)
    )
  ),
"")
</f>
        <v/>
      </c>
      <c r="AT7" s="98">
        <f>AR7-AS7</f>
        <v>0</v>
      </c>
      <c r="AU7" s="93" t="str">
        <f t="shared" ref="AU7:AU9" si="117">IFERROR(
  IF(
    INDEX(
      INDIRECT($B$1),
      MATCH(RIGHT($A7, LEN($A7)-4), INDIRECT($C$1), 0),
      MATCH(AU$1, INDIRECT($D$1), 0)
    ) = "-",
    "",
    INDEX(
      INDIRECT($B$1),
      MATCH(RIGHT($A7, LEN($A7)-4), INDIRECT($C$1), 0),
      MATCH(AU$1, INDIRECT($D$1), 0)
    )
  ),
"")
</f>
        <v/>
      </c>
      <c r="AV7" s="94" t="str">
        <f t="shared" ref="AV7:AV9" si="118">IFERROR(
  IF(
    INDEX(
      INDIRECT($B$3),
      MATCH(RIGHT($A7, LEN($A7)-4), INDIRECT($C$3), 0),
      MATCH(AU$1, INDIRECT($D$3), 0)
    ) = "-",
    "",
    INDEX(
      INDIRECT($B$3),
      MATCH(RIGHT($A7, LEN($A7)-4), INDIRECT($C$3), 0),
      MATCH(AU$1, INDIRECT($D$3), 0)
    )
  ),
"")
</f>
        <v/>
      </c>
      <c r="AW7" s="95">
        <f>AU7-AV7</f>
        <v>0</v>
      </c>
      <c r="AX7" s="96" t="str">
        <f t="shared" ref="AX7:AX9" si="119">IFERROR(
  IF(
    INDEX(
      INDIRECT($B$1),
      MATCH(RIGHT($A7, LEN($A7)-4), INDIRECT($C$1), 0),
      MATCH(AX$1, INDIRECT($D$1), 0)
    ) = "-",
    "",
    INDEX(
      INDIRECT($B$1),
      MATCH(RIGHT($A7, LEN($A7)-4), INDIRECT($C$1), 0),
      MATCH(AX$1, INDIRECT($D$1), 0)
    )
  ),
"")
</f>
        <v/>
      </c>
      <c r="AY7" s="97" t="str">
        <f t="shared" ref="AY7:AY9" si="120">IFERROR(
  IF(
    INDEX(
      INDIRECT($B$3),
      MATCH(RIGHT($A7, LEN($A7)-4), INDIRECT($C$3), 0),
      MATCH(AX$1, INDIRECT($D$3), 0)
    ) = "-",
    "",
    INDEX(
      INDIRECT($B$3),
      MATCH(RIGHT($A7, LEN($A7)-4), INDIRECT($C$3), 0),
      MATCH(AX$1, INDIRECT($D$3), 0)
    )
  ),
"")
</f>
        <v/>
      </c>
      <c r="AZ7" s="98">
        <f>AX7-AY7</f>
        <v>0</v>
      </c>
      <c r="BA7" s="93" t="str">
        <f t="shared" ref="BA7:BA9" si="121">IFERROR(
  IF(
    INDEX(
      INDIRECT($B$1),
      MATCH(RIGHT($A7, LEN($A7)-4), INDIRECT($C$1), 0),
      MATCH(BA$1, INDIRECT($D$1), 0)
    ) = "-",
    "",
    INDEX(
      INDIRECT($B$1),
      MATCH(RIGHT($A7, LEN($A7)-4), INDIRECT($C$1), 0),
      MATCH(BA$1, INDIRECT($D$1), 0)
    )
  ),
"")
</f>
        <v/>
      </c>
      <c r="BB7" s="94" t="str">
        <f t="shared" ref="BB7:BB9" si="122">IFERROR(
  IF(
    INDEX(
      INDIRECT($B$3),
      MATCH(RIGHT($A7, LEN($A7)-4), INDIRECT($C$3), 0),
      MATCH(BA$1, INDIRECT($D$3), 0)
    ) = "-",
    "",
    INDEX(
      INDIRECT($B$3),
      MATCH(RIGHT($A7, LEN($A7)-4), INDIRECT($C$3), 0),
      MATCH(BA$1, INDIRECT($D$3), 0)
    )
  ),
"")
</f>
        <v/>
      </c>
      <c r="BC7" s="95">
        <f>BA7-BB7</f>
        <v>0</v>
      </c>
      <c r="BD7" s="96" t="str">
        <f t="shared" ref="BD7:BD9" si="123">IFERROR(
  IF(
    INDEX(
      INDIRECT($B$1),
      MATCH(RIGHT($A7, LEN($A7)-4), INDIRECT($C$1), 0),
      MATCH(BD$1, INDIRECT($D$1), 0)
    ) = "-",
    "",
    INDEX(
      INDIRECT($B$1),
      MATCH(RIGHT($A7, LEN($A7)-4), INDIRECT($C$1), 0),
      MATCH(BD$1, INDIRECT($D$1), 0)
    )
  ),
"")
</f>
        <v/>
      </c>
      <c r="BE7" s="97" t="str">
        <f t="shared" ref="BE7:BE9" si="124">IFERROR(
  IF(
    INDEX(
      INDIRECT($B$3),
      MATCH(RIGHT($A7, LEN($A7)-4), INDIRECT($C$3), 0),
      MATCH(BD$1, INDIRECT($D$3), 0)
    ) = "-",
    "",
    INDEX(
      INDIRECT($B$3),
      MATCH(RIGHT($A7, LEN($A7)-4), INDIRECT($C$3), 0),
      MATCH(BD$1, INDIRECT($D$3), 0)
    )
  ),
"")
</f>
        <v/>
      </c>
      <c r="BF7" s="98">
        <f>BD7-BE7</f>
        <v>0</v>
      </c>
      <c r="BG7" s="93" t="str">
        <f t="shared" ref="BG7:BG9" si="125">IFERROR(
  IF(
    INDEX(
      INDIRECT($B$1),
      MATCH(RIGHT($A7, LEN($A7)-4), INDIRECT($C$1), 0),
      MATCH(BG$1, INDIRECT($D$1), 0)
    ) = "-",
    "",
    INDEX(
      INDIRECT($B$1),
      MATCH(RIGHT($A7, LEN($A7)-4), INDIRECT($C$1), 0),
      MATCH(BG$1, INDIRECT($D$1), 0)
    )
  ),
"")
</f>
        <v/>
      </c>
      <c r="BH7" s="94" t="str">
        <f t="shared" ref="BH7:BH9" si="126">IFERROR(
  IF(
    INDEX(
      INDIRECT($B$3),
      MATCH(RIGHT($A7, LEN($A7)-4), INDIRECT($C$3), 0),
      MATCH(BG$1, INDIRECT($D$3), 0)
    ) = "-",
    "",
    INDEX(
      INDIRECT($B$3),
      MATCH(RIGHT($A7, LEN($A7)-4), INDIRECT($C$3), 0),
      MATCH(BG$1, INDIRECT($D$3), 0)
    )
  ),
"")
</f>
        <v/>
      </c>
      <c r="BI7" s="95">
        <f>BG7-BH7</f>
        <v>0</v>
      </c>
      <c r="BJ7" s="96" t="str">
        <f t="shared" ref="BJ7:BJ9" si="127">IFERROR(
  IF(
    INDEX(
      INDIRECT($B$1),
      MATCH(RIGHT($A7, LEN($A7)-4), INDIRECT($C$1), 0),
      MATCH(BJ$1, INDIRECT($D$1), 0)
    ) = "-",
    "",
    INDEX(
      INDIRECT($B$1),
      MATCH(RIGHT($A7, LEN($A7)-4), INDIRECT($C$1), 0),
      MATCH(BJ$1, INDIRECT($D$1), 0)
    )
  ),
"")
</f>
        <v/>
      </c>
      <c r="BK7" s="97" t="str">
        <f t="shared" ref="BK7:BK9" si="128">IFERROR(
  IF(
    INDEX(
      INDIRECT($B$3),
      MATCH(RIGHT($A7, LEN($A7)-4), INDIRECT($C$3), 0),
      MATCH(BJ$1, INDIRECT($D$3), 0)
    ) = "-",
    "",
    INDEX(
      INDIRECT($B$3),
      MATCH(RIGHT($A7, LEN($A7)-4), INDIRECT($C$3), 0),
      MATCH(BJ$1, INDIRECT($D$3), 0)
    )
  ),
"")
</f>
        <v/>
      </c>
      <c r="BL7" s="98">
        <f>BJ7-BK7</f>
        <v>0</v>
      </c>
      <c r="BM7" s="93" t="str">
        <f t="shared" ref="BM7:BM9" si="129">IFERROR(
  IF(
    INDEX(
      INDIRECT($B$1),
      MATCH(RIGHT($A7, LEN($A7)-4), INDIRECT($C$1), 0),
      MATCH(BM$1, INDIRECT($D$1), 0)
    ) = "-",
    "",
    INDEX(
      INDIRECT($B$1),
      MATCH(RIGHT($A7, LEN($A7)-4), INDIRECT($C$1), 0),
      MATCH(BM$1, INDIRECT($D$1), 0)
    )
  ),
"")
</f>
        <v/>
      </c>
      <c r="BN7" s="94" t="str">
        <f t="shared" ref="BN7:BN9" si="130">IFERROR(
  IF(
    INDEX(
      INDIRECT($B$3),
      MATCH(RIGHT($A7, LEN($A7)-4), INDIRECT($C$3), 0),
      MATCH(BM$1, INDIRECT($D$3), 0)
    ) = "-",
    "",
    INDEX(
      INDIRECT($B$3),
      MATCH(RIGHT($A7, LEN($A7)-4), INDIRECT($C$3), 0),
      MATCH(BM$1, INDIRECT($D$3), 0)
    )
  ),
"")
</f>
        <v/>
      </c>
      <c r="BO7" s="95">
        <f>BM7-BN7</f>
        <v>0</v>
      </c>
      <c r="BP7" s="96" t="str">
        <f t="shared" ref="BP7:BP9" si="131">IFERROR(
  IF(
    INDEX(
      INDIRECT($B$1),
      MATCH(RIGHT($A7, LEN($A7)-4), INDIRECT($C$1), 0),
      MATCH(BP$1, INDIRECT($D$1), 0)
    ) = "-",
    "",
    INDEX(
      INDIRECT($B$1),
      MATCH(RIGHT($A7, LEN($A7)-4), INDIRECT($C$1), 0),
      MATCH(BP$1, INDIRECT($D$1), 0)
    )
  ),
"")
</f>
        <v/>
      </c>
      <c r="BQ7" s="97" t="str">
        <f t="shared" ref="BQ7:BQ9" si="132">IFERROR(
  IF(
    INDEX(
      INDIRECT($B$3),
      MATCH(RIGHT($A7, LEN($A7)-4), INDIRECT($C$3), 0),
      MATCH(BP$1, INDIRECT($D$3), 0)
    ) = "-",
    "",
    INDEX(
      INDIRECT($B$3),
      MATCH(RIGHT($A7, LEN($A7)-4), INDIRECT($C$3), 0),
      MATCH(BP$1, INDIRECT($D$3), 0)
    )
  ),
"")
</f>
        <v/>
      </c>
      <c r="BR7" s="98">
        <f>BP7-BQ7</f>
        <v>0</v>
      </c>
      <c r="BS7" s="93" t="str">
        <f t="shared" ref="BS7:BS9" si="133">IFERROR(
  IF(
    INDEX(
      INDIRECT($B$1),
      MATCH(RIGHT($A7, LEN($A7)-4), INDIRECT($C$1), 0),
      MATCH(BS$1, INDIRECT($D$1), 0)
    ) = "-",
    "",
    INDEX(
      INDIRECT($B$1),
      MATCH(RIGHT($A7, LEN($A7)-4), INDIRECT($C$1), 0),
      MATCH(BS$1, INDIRECT($D$1), 0)
    )
  ),
"")
</f>
        <v/>
      </c>
      <c r="BT7" s="94" t="str">
        <f t="shared" ref="BT7:BT9" si="134">IFERROR(
  IF(
    INDEX(
      INDIRECT($B$3),
      MATCH(RIGHT($A7, LEN($A7)-4), INDIRECT($C$3), 0),
      MATCH(BS$1, INDIRECT($D$3), 0)
    ) = "-",
    "",
    INDEX(
      INDIRECT($B$3),
      MATCH(RIGHT($A7, LEN($A7)-4), INDIRECT($C$3), 0),
      MATCH(BS$1, INDIRECT($D$3), 0)
    )
  ),
"")
</f>
        <v/>
      </c>
      <c r="BU7" s="95">
        <f>BS7-BT7</f>
        <v>0</v>
      </c>
      <c r="BV7" s="96" t="str">
        <f t="shared" ref="BV7:BV9" si="135">IFERROR(
  IF(
    INDEX(
      INDIRECT($B$1),
      MATCH(RIGHT($A7, LEN($A7)-4), INDIRECT($C$1), 0),
      MATCH(BV$1, INDIRECT($D$1), 0)
    ) = "-",
    "",
    INDEX(
      INDIRECT($B$1),
      MATCH(RIGHT($A7, LEN($A7)-4), INDIRECT($C$1), 0),
      MATCH(BV$1, INDIRECT($D$1), 0)
    )
  ),
"")
</f>
        <v/>
      </c>
      <c r="BW7" s="97" t="str">
        <f t="shared" ref="BW7:BW9" si="136">IFERROR(
  IF(
    INDEX(
      INDIRECT($B$3),
      MATCH(RIGHT($A7, LEN($A7)-4), INDIRECT($C$3), 0),
      MATCH(BV$1, INDIRECT($D$3), 0)
    ) = "-",
    "",
    INDEX(
      INDIRECT($B$3),
      MATCH(RIGHT($A7, LEN($A7)-4), INDIRECT($C$3), 0),
      MATCH(BV$1, INDIRECT($D$3), 0)
    )
  ),
"")
</f>
        <v/>
      </c>
      <c r="BX7" s="98">
        <f>BV7-BW7</f>
        <v>0</v>
      </c>
      <c r="BY7" s="93" t="str">
        <f t="shared" ref="BY7:BY9" si="137">IFERROR(
  IF(
    INDEX(
      INDIRECT($B$1),
      MATCH(RIGHT($A7, LEN($A7)-4), INDIRECT($C$1), 0),
      MATCH(BY$1, INDIRECT($D$1), 0)
    ) = "-",
    "",
    INDEX(
      INDIRECT($B$1),
      MATCH(RIGHT($A7, LEN($A7)-4), INDIRECT($C$1), 0),
      MATCH(BY$1, INDIRECT($D$1), 0)
    )
  ),
"")
</f>
        <v/>
      </c>
      <c r="BZ7" s="94" t="str">
        <f t="shared" ref="BZ7:BZ9" si="138">IFERROR(
  IF(
    INDEX(
      INDIRECT($B$3),
      MATCH(RIGHT($A7, LEN($A7)-4), INDIRECT($C$3), 0),
      MATCH(BY$1, INDIRECT($D$3), 0)
    ) = "-",
    "",
    INDEX(
      INDIRECT($B$3),
      MATCH(RIGHT($A7, LEN($A7)-4), INDIRECT($C$3), 0),
      MATCH(BY$1, INDIRECT($D$3), 0)
    )
  ),
"")
</f>
        <v/>
      </c>
      <c r="CA7" s="95">
        <f>BY7-BZ7</f>
        <v>0</v>
      </c>
      <c r="CB7" s="96" t="str">
        <f t="shared" ref="CB7:CB9" si="139">IFERROR(
  IF(
    INDEX(
      INDIRECT($B$1),
      MATCH(RIGHT($A7, LEN($A7)-4), INDIRECT($C$1), 0),
      MATCH(CB$1, INDIRECT($D$1), 0)
    ) = "-",
    "",
    INDEX(
      INDIRECT($B$1),
      MATCH(RIGHT($A7, LEN($A7)-4), INDIRECT($C$1), 0),
      MATCH(CB$1, INDIRECT($D$1), 0)
    )
  ),
"")
</f>
        <v/>
      </c>
      <c r="CC7" s="97" t="str">
        <f t="shared" ref="CC7:CC9" si="140">IFERROR(
  IF(
    INDEX(
      INDIRECT($B$3),
      MATCH(RIGHT($A7, LEN($A7)-4), INDIRECT($C$3), 0),
      MATCH(CB$1, INDIRECT($D$3), 0)
    ) = "-",
    "",
    INDEX(
      INDIRECT($B$3),
      MATCH(RIGHT($A7, LEN($A7)-4), INDIRECT($C$3), 0),
      MATCH(CB$1, INDIRECT($D$3), 0)
    )
  ),
"")
</f>
        <v/>
      </c>
      <c r="CD7" s="98">
        <f>CB7-CC7</f>
        <v>0</v>
      </c>
      <c r="CE7" s="93" t="str">
        <f t="shared" ref="CE7:CE9" si="141">IFERROR(
  IF(
    INDEX(
      INDIRECT($B$1),
      MATCH(RIGHT($A7, LEN($A7)-4), INDIRECT($C$1), 0),
      MATCH(CE$1, INDIRECT($D$1), 0)
    ) = "-",
    "",
    INDEX(
      INDIRECT($B$1),
      MATCH(RIGHT($A7, LEN($A7)-4), INDIRECT($C$1), 0),
      MATCH(CE$1, INDIRECT($D$1), 0)
    )
  ),
"")
</f>
        <v/>
      </c>
      <c r="CF7" s="94" t="str">
        <f t="shared" ref="CF7:CF9" si="142">IFERROR(
  IF(
    INDEX(
      INDIRECT($B$3),
      MATCH(RIGHT($A7, LEN($A7)-4), INDIRECT($C$3), 0),
      MATCH(CE$1, INDIRECT($D$3), 0)
    ) = "-",
    "",
    INDEX(
      INDIRECT($B$3),
      MATCH(RIGHT($A7, LEN($A7)-4), INDIRECT($C$3), 0),
      MATCH(CE$1, INDIRECT($D$3), 0)
    )
  ),
"")
</f>
        <v/>
      </c>
      <c r="CG7" s="95">
        <f>CE7-CF7</f>
        <v>0</v>
      </c>
      <c r="CH7" s="96" t="str">
        <f t="shared" ref="CH7:CH9" si="143">IFERROR(
  IF(
    INDEX(
      INDIRECT($B$1),
      MATCH(RIGHT($A7, LEN($A7)-4), INDIRECT($C$1), 0),
      MATCH(CH$1, INDIRECT($D$1), 0)
    ) = "-",
    "",
    INDEX(
      INDIRECT($B$1),
      MATCH(RIGHT($A7, LEN($A7)-4), INDIRECT($C$1), 0),
      MATCH(CH$1, INDIRECT($D$1), 0)
    )
  ),
"")
</f>
        <v/>
      </c>
      <c r="CI7" s="97" t="str">
        <f t="shared" ref="CI7:CI9" si="144">IFERROR(
  IF(
    INDEX(
      INDIRECT($B$3),
      MATCH(RIGHT($A7, LEN($A7)-4), INDIRECT($C$3), 0),
      MATCH(CH$1, INDIRECT($D$3), 0)
    ) = "-",
    "",
    INDEX(
      INDIRECT($B$3),
      MATCH(RIGHT($A7, LEN($A7)-4), INDIRECT($C$3), 0),
      MATCH(CH$1, INDIRECT($D$3), 0)
    )
  ),
"")
</f>
        <v/>
      </c>
      <c r="CJ7" s="98">
        <f>CH7-CI7</f>
        <v>0</v>
      </c>
      <c r="CK7" s="93" t="str">
        <f t="shared" ref="CK7:CK9" si="145">IFERROR(
  IF(
    INDEX(
      INDIRECT($B$1),
      MATCH(RIGHT($A7, LEN($A7)-4), INDIRECT($C$1), 0),
      MATCH(CK$1, INDIRECT($D$1), 0)
    ) = "-",
    "",
    INDEX(
      INDIRECT($B$1),
      MATCH(RIGHT($A7, LEN($A7)-4), INDIRECT($C$1), 0),
      MATCH(CK$1, INDIRECT($D$1), 0)
    )
  ),
"")
</f>
        <v/>
      </c>
      <c r="CL7" s="94" t="str">
        <f t="shared" ref="CL7:CL9" si="146">IFERROR(
  IF(
    INDEX(
      INDIRECT($B$3),
      MATCH(RIGHT($A7, LEN($A7)-4), INDIRECT($C$3), 0),
      MATCH(CK$1, INDIRECT($D$3), 0)
    ) = "-",
    "",
    INDEX(
      INDIRECT($B$3),
      MATCH(RIGHT($A7, LEN($A7)-4), INDIRECT($C$3), 0),
      MATCH(CK$1, INDIRECT($D$3), 0)
    )
  ),
"")
</f>
        <v/>
      </c>
      <c r="CM7" s="95">
        <f>CK7-CL7</f>
        <v>0</v>
      </c>
      <c r="CN7" s="96" t="str">
        <f t="shared" ref="CN7:CN9" si="147">IFERROR(
  IF(
    INDEX(
      INDIRECT($B$1),
      MATCH(RIGHT($A7, LEN($A7)-4), INDIRECT($C$1), 0),
      MATCH(CN$1, INDIRECT($D$1), 0)
    ) = "-",
    "",
    INDEX(
      INDIRECT($B$1),
      MATCH(RIGHT($A7, LEN($A7)-4), INDIRECT($C$1), 0),
      MATCH(CN$1, INDIRECT($D$1), 0)
    )
  ),
"")
</f>
        <v/>
      </c>
      <c r="CO7" s="97" t="str">
        <f t="shared" ref="CO7:CO9" si="148">IFERROR(
  IF(
    INDEX(
      INDIRECT($B$3),
      MATCH(RIGHT($A7, LEN($A7)-4), INDIRECT($C$3), 0),
      MATCH(CN$1, INDIRECT($D$3), 0)
    ) = "-",
    "",
    INDEX(
      INDIRECT($B$3),
      MATCH(RIGHT($A7, LEN($A7)-4), INDIRECT($C$3), 0),
      MATCH(CN$1, INDIRECT($D$3), 0)
    )
  ),
"")
</f>
        <v/>
      </c>
      <c r="CP7" s="98">
        <f>CN7-CO7</f>
        <v>0</v>
      </c>
      <c r="CQ7" s="93" t="str">
        <f t="shared" ref="CQ7:CQ9" si="149">IFERROR(
  IF(
    INDEX(
      INDIRECT($B$1),
      MATCH(RIGHT($A7, LEN($A7)-4), INDIRECT($C$1), 0),
      MATCH(CQ$1, INDIRECT($D$1), 0)
    ) = "-",
    "",
    INDEX(
      INDIRECT($B$1),
      MATCH(RIGHT($A7, LEN($A7)-4), INDIRECT($C$1), 0),
      MATCH(CQ$1, INDIRECT($D$1), 0)
    )
  ),
"")
</f>
        <v/>
      </c>
      <c r="CR7" s="94" t="str">
        <f t="shared" ref="CR7:CR9" si="150">IFERROR(
  IF(
    INDEX(
      INDIRECT($B$3),
      MATCH(RIGHT($A7, LEN($A7)-4), INDIRECT($C$3), 0),
      MATCH(CQ$1, INDIRECT($D$3), 0)
    ) = "-",
    "",
    INDEX(
      INDIRECT($B$3),
      MATCH(RIGHT($A7, LEN($A7)-4), INDIRECT($C$3), 0),
      MATCH(CQ$1, INDIRECT($D$3), 0)
    )
  ),
"")
</f>
        <v/>
      </c>
      <c r="CS7" s="95">
        <f>CQ7-CR7</f>
        <v>0</v>
      </c>
      <c r="CT7" s="96" t="str">
        <f t="shared" ref="CT7:CT9" si="151">IFERROR(
  IF(
    INDEX(
      INDIRECT($B$1),
      MATCH(RIGHT($A7, LEN($A7)-4), INDIRECT($C$1), 0),
      MATCH(CT$1, INDIRECT($D$1), 0)
    ) = "-",
    "",
    INDEX(
      INDIRECT($B$1),
      MATCH(RIGHT($A7, LEN($A7)-4), INDIRECT($C$1), 0),
      MATCH(CT$1, INDIRECT($D$1), 0)
    )
  ),
"")
</f>
        <v/>
      </c>
      <c r="CU7" s="97" t="str">
        <f t="shared" ref="CU7:CU9" si="152">IFERROR(
  IF(
    INDEX(
      INDIRECT($B$3),
      MATCH(RIGHT($A7, LEN($A7)-4), INDIRECT($C$3), 0),
      MATCH(CT$1, INDIRECT($D$3), 0)
    ) = "-",
    "",
    INDEX(
      INDIRECT($B$3),
      MATCH(RIGHT($A7, LEN($A7)-4), INDIRECT($C$3), 0),
      MATCH(CT$1, INDIRECT($D$3), 0)
    )
  ),
"")
</f>
        <v/>
      </c>
      <c r="CV7" s="98">
        <f>CT7-CU7</f>
        <v>0</v>
      </c>
      <c r="CW7" s="93" t="str">
        <f t="shared" ref="CW7:CW9" si="153">IFERROR(
  IF(
    INDEX(
      INDIRECT($B$1),
      MATCH(RIGHT($A7, LEN($A7)-4), INDIRECT($C$1), 0),
      MATCH(CW$1, INDIRECT($D$1), 0)
    ) = "-",
    "",
    INDEX(
      INDIRECT($B$1),
      MATCH(RIGHT($A7, LEN($A7)-4), INDIRECT($C$1), 0),
      MATCH(CW$1, INDIRECT($D$1), 0)
    )
  ),
"")
</f>
        <v/>
      </c>
      <c r="CX7" s="94" t="str">
        <f t="shared" ref="CX7:CX9" si="154">IFERROR(
  IF(
    INDEX(
      INDIRECT($B$3),
      MATCH(RIGHT($A7, LEN($A7)-4), INDIRECT($C$3), 0),
      MATCH(CW$1, INDIRECT($D$3), 0)
    ) = "-",
    "",
    INDEX(
      INDIRECT($B$3),
      MATCH(RIGHT($A7, LEN($A7)-4), INDIRECT($C$3), 0),
      MATCH(CW$1, INDIRECT($D$3), 0)
    )
  ),
"")
</f>
        <v/>
      </c>
      <c r="CY7" s="95">
        <f>CW7-CX7</f>
        <v>0</v>
      </c>
      <c r="CZ7" s="96" t="str">
        <f t="shared" ref="CZ7:CZ9" si="155">IFERROR(
  IF(
    INDEX(
      INDIRECT($B$1),
      MATCH(RIGHT($A7, LEN($A7)-4), INDIRECT($C$1), 0),
      MATCH(CZ$1, INDIRECT($D$1), 0)
    ) = "-",
    "",
    INDEX(
      INDIRECT($B$1),
      MATCH(RIGHT($A7, LEN($A7)-4), INDIRECT($C$1), 0),
      MATCH(CZ$1, INDIRECT($D$1), 0)
    )
  ),
"")
</f>
        <v/>
      </c>
      <c r="DA7" s="97" t="str">
        <f t="shared" ref="DA7:DA9" si="156">IFERROR(
  IF(
    INDEX(
      INDIRECT($B$3),
      MATCH(RIGHT($A7, LEN($A7)-4), INDIRECT($C$3), 0),
      MATCH(CZ$1, INDIRECT($D$3), 0)
    ) = "-",
    "",
    INDEX(
      INDIRECT($B$3),
      MATCH(RIGHT($A7, LEN($A7)-4), INDIRECT($C$3), 0),
      MATCH(CZ$1, INDIRECT($D$3), 0)
    )
  ),
"")
</f>
        <v/>
      </c>
      <c r="DB7" s="98">
        <f>CZ7-DA7</f>
        <v>0</v>
      </c>
      <c r="DC7" s="93" t="str">
        <f t="shared" ref="DC7:DC9" si="157">IFERROR(
  IF(
    INDEX(
      INDIRECT($B$1),
      MATCH(RIGHT($A7, LEN($A7)-4), INDIRECT($C$1), 0),
      MATCH(DC$1, INDIRECT($D$1), 0)
    ) = "-",
    "",
    INDEX(
      INDIRECT($B$1),
      MATCH(RIGHT($A7, LEN($A7)-4), INDIRECT($C$1), 0),
      MATCH(DC$1, INDIRECT($D$1), 0)
    )
  ),
"")
</f>
        <v/>
      </c>
      <c r="DD7" s="94" t="str">
        <f t="shared" ref="DD7:DD9" si="158">IFERROR(
  IF(
    INDEX(
      INDIRECT($B$3),
      MATCH(RIGHT($A7, LEN($A7)-4), INDIRECT($C$3), 0),
      MATCH(DC$1, INDIRECT($D$3), 0)
    ) = "-",
    "",
    INDEX(
      INDIRECT($B$3),
      MATCH(RIGHT($A7, LEN($A7)-4), INDIRECT($C$3), 0),
      MATCH(DC$1, INDIRECT($D$3), 0)
    )
  ),
"")
</f>
        <v/>
      </c>
      <c r="DE7" s="95">
        <f>DC7-DD7</f>
        <v>0</v>
      </c>
      <c r="DF7" s="96" t="str">
        <f t="shared" ref="DF7:DF9" si="159">IFERROR(
  IF(
    INDEX(
      INDIRECT($B$1),
      MATCH(RIGHT($A7, LEN($A7)-4), INDIRECT($C$1), 0),
      MATCH(DF$1, INDIRECT($D$1), 0)
    ) = "-",
    "",
    INDEX(
      INDIRECT($B$1),
      MATCH(RIGHT($A7, LEN($A7)-4), INDIRECT($C$1), 0),
      MATCH(DF$1, INDIRECT($D$1), 0)
    )
  ),
"")
</f>
        <v/>
      </c>
      <c r="DG7" s="97" t="str">
        <f t="shared" ref="DG7:DG9" si="160">IFERROR(
  IF(
    INDEX(
      INDIRECT($B$3),
      MATCH(RIGHT($A7, LEN($A7)-4), INDIRECT($C$3), 0),
      MATCH(DF$1, INDIRECT($D$3), 0)
    ) = "-",
    "",
    INDEX(
      INDIRECT($B$3),
      MATCH(RIGHT($A7, LEN($A7)-4), INDIRECT($C$3), 0),
      MATCH(DF$1, INDIRECT($D$3), 0)
    )
  ),
"")
</f>
        <v/>
      </c>
      <c r="DH7" s="98">
        <f>DF7-DG7</f>
        <v>0</v>
      </c>
      <c r="DI7" s="93" t="str">
        <f t="shared" ref="DI7:DI9" si="161">IFERROR(
  IF(
    INDEX(
      INDIRECT($B$1),
      MATCH(RIGHT($A7, LEN($A7)-4), INDIRECT($C$1), 0),
      MATCH(DI$1, INDIRECT($D$1), 0)
    ) = "-",
    "",
    INDEX(
      INDIRECT($B$1),
      MATCH(RIGHT($A7, LEN($A7)-4), INDIRECT($C$1), 0),
      MATCH(DI$1, INDIRECT($D$1), 0)
    )
  ),
"")
</f>
        <v/>
      </c>
      <c r="DJ7" s="94" t="str">
        <f t="shared" ref="DJ7:DJ9" si="162">IFERROR(
  IF(
    INDEX(
      INDIRECT($B$3),
      MATCH(RIGHT($A7, LEN($A7)-4), INDIRECT($C$3), 0),
      MATCH(DI$1, INDIRECT($D$3), 0)
    ) = "-",
    "",
    INDEX(
      INDIRECT($B$3),
      MATCH(RIGHT($A7, LEN($A7)-4), INDIRECT($C$3), 0),
      MATCH(DI$1, INDIRECT($D$3), 0)
    )
  ),
"")
</f>
        <v/>
      </c>
      <c r="DK7" s="95">
        <f>DI7-DJ7</f>
        <v>0</v>
      </c>
      <c r="DL7" s="96" t="str">
        <f t="shared" ref="DL7:DL9" si="163">IFERROR(
  IF(
    INDEX(
      INDIRECT($B$1),
      MATCH(RIGHT($A7, LEN($A7)-4), INDIRECT($C$1), 0),
      MATCH(DL$1, INDIRECT($D$1), 0)
    ) = "-",
    "",
    INDEX(
      INDIRECT($B$1),
      MATCH(RIGHT($A7, LEN($A7)-4), INDIRECT($C$1), 0),
      MATCH(DL$1, INDIRECT($D$1), 0)
    )
  ),
"")
</f>
        <v/>
      </c>
      <c r="DM7" s="97" t="str">
        <f t="shared" ref="DM7:DM9" si="164">IFERROR(
  IF(
    INDEX(
      INDIRECT($B$3),
      MATCH(RIGHT($A7, LEN($A7)-4), INDIRECT($C$3), 0),
      MATCH(DL$1, INDIRECT($D$3), 0)
    ) = "-",
    "",
    INDEX(
      INDIRECT($B$3),
      MATCH(RIGHT($A7, LEN($A7)-4), INDIRECT($C$3), 0),
      MATCH(DL$1, INDIRECT($D$3), 0)
    )
  ),
"")
</f>
        <v/>
      </c>
      <c r="DN7" s="98">
        <f>DL7-DM7</f>
        <v>0</v>
      </c>
      <c r="DO7" s="93" t="str">
        <f t="shared" ref="DO7:DO9" si="165">IFERROR(
  IF(
    INDEX(
      INDIRECT($B$1),
      MATCH(RIGHT($A7, LEN($A7)-4), INDIRECT($C$1), 0),
      MATCH(DO$1, INDIRECT($D$1), 0)
    ) = "-",
    "",
    INDEX(
      INDIRECT($B$1),
      MATCH(RIGHT($A7, LEN($A7)-4), INDIRECT($C$1), 0),
      MATCH(DO$1, INDIRECT($D$1), 0)
    )
  ),
"")
</f>
        <v/>
      </c>
      <c r="DP7" s="94" t="str">
        <f t="shared" ref="DP7:DP9" si="166">IFERROR(
  IF(
    INDEX(
      INDIRECT($B$3),
      MATCH(RIGHT($A7, LEN($A7)-4), INDIRECT($C$3), 0),
      MATCH(DO$1, INDIRECT($D$3), 0)
    ) = "-",
    "",
    INDEX(
      INDIRECT($B$3),
      MATCH(RIGHT($A7, LEN($A7)-4), INDIRECT($C$3), 0),
      MATCH(DO$1, INDIRECT($D$3), 0)
    )
  ),
"")
</f>
        <v/>
      </c>
      <c r="DQ7" s="95">
        <f>DO7-DP7</f>
        <v>0</v>
      </c>
      <c r="DR7" s="96" t="str">
        <f t="shared" ref="DR7:DR9" si="167">IFERROR(
  IF(
    INDEX(
      INDIRECT($B$1),
      MATCH(RIGHT($A7, LEN($A7)-4), INDIRECT($C$1), 0),
      MATCH(DR$1, INDIRECT($D$1), 0)
    ) = "-",
    "",
    INDEX(
      INDIRECT($B$1),
      MATCH(RIGHT($A7, LEN($A7)-4), INDIRECT($C$1), 0),
      MATCH(DR$1, INDIRECT($D$1), 0)
    )
  ),
"")
</f>
        <v/>
      </c>
      <c r="DS7" s="97" t="str">
        <f t="shared" ref="DS7:DS9" si="168">IFERROR(
  IF(
    INDEX(
      INDIRECT($B$3),
      MATCH(RIGHT($A7, LEN($A7)-4), INDIRECT($C$3), 0),
      MATCH(DR$1, INDIRECT($D$3), 0)
    ) = "-",
    "",
    INDEX(
      INDIRECT($B$3),
      MATCH(RIGHT($A7, LEN($A7)-4), INDIRECT($C$3), 0),
      MATCH(DR$1, INDIRECT($D$3), 0)
    )
  ),
"")
</f>
        <v/>
      </c>
      <c r="DT7" s="98">
        <f>DR7-DS7</f>
        <v>0</v>
      </c>
      <c r="DU7" s="93" t="str">
        <f t="shared" ref="DU7:DU9" si="169">IFERROR(
  IF(
    INDEX(
      INDIRECT($B$1),
      MATCH(RIGHT($A7, LEN($A7)-4), INDIRECT($C$1), 0),
      MATCH(DU$1, INDIRECT($D$1), 0)
    ) = "-",
    "",
    INDEX(
      INDIRECT($B$1),
      MATCH(RIGHT($A7, LEN($A7)-4), INDIRECT($C$1), 0),
      MATCH(DU$1, INDIRECT($D$1), 0)
    )
  ),
"")
</f>
        <v/>
      </c>
      <c r="DV7" s="94" t="str">
        <f t="shared" ref="DV7:DV9" si="170">IFERROR(
  IF(
    INDEX(
      INDIRECT($B$3),
      MATCH(RIGHT($A7, LEN($A7)-4), INDIRECT($C$3), 0),
      MATCH(DU$1, INDIRECT($D$3), 0)
    ) = "-",
    "",
    INDEX(
      INDIRECT($B$3),
      MATCH(RIGHT($A7, LEN($A7)-4), INDIRECT($C$3), 0),
      MATCH(DU$1, INDIRECT($D$3), 0)
    )
  ),
"")
</f>
        <v/>
      </c>
      <c r="DW7" s="95">
        <f>DU7-DV7</f>
        <v>0</v>
      </c>
      <c r="DX7" s="96" t="str">
        <f t="shared" ref="DX7:DX9" si="171">IFERROR(
  IF(
    INDEX(
      INDIRECT($B$1),
      MATCH(RIGHT($A7, LEN($A7)-4), INDIRECT($C$1), 0),
      MATCH(DX$1, INDIRECT($D$1), 0)
    ) = "-",
    "",
    INDEX(
      INDIRECT($B$1),
      MATCH(RIGHT($A7, LEN($A7)-4), INDIRECT($C$1), 0),
      MATCH(DX$1, INDIRECT($D$1), 0)
    )
  ),
"")
</f>
        <v/>
      </c>
      <c r="DY7" s="97" t="str">
        <f t="shared" ref="DY7:DY9" si="172">IFERROR(
  IF(
    INDEX(
      INDIRECT($B$3),
      MATCH(RIGHT($A7, LEN($A7)-4), INDIRECT($C$3), 0),
      MATCH(DX$1, INDIRECT($D$3), 0)
    ) = "-",
    "",
    INDEX(
      INDIRECT($B$3),
      MATCH(RIGHT($A7, LEN($A7)-4), INDIRECT($C$3), 0),
      MATCH(DX$1, INDIRECT($D$3), 0)
    )
  ),
"")
</f>
        <v/>
      </c>
      <c r="DZ7" s="98">
        <f>DX7-DY7</f>
        <v>0</v>
      </c>
      <c r="EA7" s="93" t="str">
        <f t="shared" ref="EA7:EA9" si="173">IFERROR(
  IF(
    INDEX(
      INDIRECT($B$1),
      MATCH(RIGHT($A7, LEN($A7)-4), INDIRECT($C$1), 0),
      MATCH(EA$1, INDIRECT($D$1), 0)
    ) = "-",
    "",
    INDEX(
      INDIRECT($B$1),
      MATCH(RIGHT($A7, LEN($A7)-4), INDIRECT($C$1), 0),
      MATCH(EA$1, INDIRECT($D$1), 0)
    )
  ),
"")
</f>
        <v/>
      </c>
      <c r="EB7" s="94" t="str">
        <f t="shared" ref="EB7:EB9" si="174">IFERROR(
  IF(
    INDEX(
      INDIRECT($B$3),
      MATCH(RIGHT($A7, LEN($A7)-4), INDIRECT($C$3), 0),
      MATCH(EA$1, INDIRECT($D$3), 0)
    ) = "-",
    "",
    INDEX(
      INDIRECT($B$3),
      MATCH(RIGHT($A7, LEN($A7)-4), INDIRECT($C$3), 0),
      MATCH(EA$1, INDIRECT($D$3), 0)
    )
  ),
"")
</f>
        <v/>
      </c>
      <c r="EC7" s="95">
        <f>EA7-EB7</f>
        <v>0</v>
      </c>
      <c r="ED7" s="96" t="str">
        <f t="shared" ref="ED7:ED9" si="175">IFERROR(
  IF(
    INDEX(
      INDIRECT($B$1),
      MATCH(RIGHT($A7, LEN($A7)-4), INDIRECT($C$1), 0),
      MATCH(ED$1, INDIRECT($D$1), 0)
    ) = "-",
    "",
    INDEX(
      INDIRECT($B$1),
      MATCH(RIGHT($A7, LEN($A7)-4), INDIRECT($C$1), 0),
      MATCH(ED$1, INDIRECT($D$1), 0)
    )
  ),
"")
</f>
        <v/>
      </c>
      <c r="EE7" s="97" t="str">
        <f t="shared" ref="EE7:EE9" si="176">IFERROR(
  IF(
    INDEX(
      INDIRECT($B$3),
      MATCH(RIGHT($A7, LEN($A7)-4), INDIRECT($C$3), 0),
      MATCH(ED$1, INDIRECT($D$3), 0)
    ) = "-",
    "",
    INDEX(
      INDIRECT($B$3),
      MATCH(RIGHT($A7, LEN($A7)-4), INDIRECT($C$3), 0),
      MATCH(ED$1, INDIRECT($D$3), 0)
    )
  ),
"")
</f>
        <v/>
      </c>
      <c r="EF7" s="98">
        <f>ED7-EE7</f>
        <v>0</v>
      </c>
      <c r="EG7" s="93" t="str">
        <f t="shared" ref="EG7:EG9" si="177">IFERROR(
  IF(
    INDEX(
      INDIRECT($B$1),
      MATCH(RIGHT($A7, LEN($A7)-4), INDIRECT($C$1), 0),
      MATCH(EG$1, INDIRECT($D$1), 0)
    ) = "-",
    "",
    INDEX(
      INDIRECT($B$1),
      MATCH(RIGHT($A7, LEN($A7)-4), INDIRECT($C$1), 0),
      MATCH(EG$1, INDIRECT($D$1), 0)
    )
  ),
"")
</f>
        <v/>
      </c>
      <c r="EH7" s="94" t="str">
        <f t="shared" ref="EH7:EH9" si="178">IFERROR(
  IF(
    INDEX(
      INDIRECT($B$3),
      MATCH(RIGHT($A7, LEN($A7)-4), INDIRECT($C$3), 0),
      MATCH(EG$1, INDIRECT($D$3), 0)
    ) = "-",
    "",
    INDEX(
      INDIRECT($B$3),
      MATCH(RIGHT($A7, LEN($A7)-4), INDIRECT($C$3), 0),
      MATCH(EG$1, INDIRECT($D$3), 0)
    )
  ),
"")
</f>
        <v/>
      </c>
      <c r="EI7" s="95">
        <f>EG7-EH7</f>
        <v>0</v>
      </c>
      <c r="EJ7" s="96" t="str">
        <f t="shared" ref="EJ7:EJ9" si="179">IFERROR(
  IF(
    INDEX(
      INDIRECT($B$1),
      MATCH(RIGHT($A7, LEN($A7)-4), INDIRECT($C$1), 0),
      MATCH(EJ$1, INDIRECT($D$1), 0)
    ) = "-",
    "",
    INDEX(
      INDIRECT($B$1),
      MATCH(RIGHT($A7, LEN($A7)-4), INDIRECT($C$1), 0),
      MATCH(EJ$1, INDIRECT($D$1), 0)
    )
  ),
"")
</f>
        <v/>
      </c>
      <c r="EK7" s="97" t="str">
        <f t="shared" ref="EK7:EK9" si="180">IFERROR(
  IF(
    INDEX(
      INDIRECT($B$3),
      MATCH(RIGHT($A7, LEN($A7)-4), INDIRECT($C$3), 0),
      MATCH(EJ$1, INDIRECT($D$3), 0)
    ) = "-",
    "",
    INDEX(
      INDIRECT($B$3),
      MATCH(RIGHT($A7, LEN($A7)-4), INDIRECT($C$3), 0),
      MATCH(EJ$1, INDIRECT($D$3), 0)
    )
  ),
"")
</f>
        <v/>
      </c>
      <c r="EL7" s="98">
        <f>EJ7-EK7</f>
        <v>0</v>
      </c>
      <c r="EM7" s="93" t="str">
        <f t="shared" ref="EM7:EM9" si="181">IFERROR(
  IF(
    INDEX(
      INDIRECT($B$1),
      MATCH(RIGHT($A7, LEN($A7)-4), INDIRECT($C$1), 0),
      MATCH(EM$1, INDIRECT($D$1), 0)
    ) = "-",
    "",
    INDEX(
      INDIRECT($B$1),
      MATCH(RIGHT($A7, LEN($A7)-4), INDIRECT($C$1), 0),
      MATCH(EM$1, INDIRECT($D$1), 0)
    )
  ),
"")
</f>
        <v/>
      </c>
      <c r="EN7" s="94" t="str">
        <f t="shared" ref="EN7:EN9" si="182">IFERROR(
  IF(
    INDEX(
      INDIRECT($B$3),
      MATCH(RIGHT($A7, LEN($A7)-4), INDIRECT($C$3), 0),
      MATCH(EM$1, INDIRECT($D$3), 0)
    ) = "-",
    "",
    INDEX(
      INDIRECT($B$3),
      MATCH(RIGHT($A7, LEN($A7)-4), INDIRECT($C$3), 0),
      MATCH(EM$1, INDIRECT($D$3), 0)
    )
  ),
"")
</f>
        <v/>
      </c>
      <c r="EO7" s="95">
        <f>EM7-EN7</f>
        <v>0</v>
      </c>
      <c r="EP7" s="96" t="str">
        <f t="shared" ref="EP7:EP9" si="183">IFERROR(
  IF(
    INDEX(
      INDIRECT($B$1),
      MATCH(RIGHT($A7, LEN($A7)-4), INDIRECT($C$1), 0),
      MATCH(EP$1, INDIRECT($D$1), 0)
    ) = "-",
    "",
    INDEX(
      INDIRECT($B$1),
      MATCH(RIGHT($A7, LEN($A7)-4), INDIRECT($C$1), 0),
      MATCH(EP$1, INDIRECT($D$1), 0)
    )
  ),
"")
</f>
        <v/>
      </c>
      <c r="EQ7" s="97" t="str">
        <f t="shared" ref="EQ7:EQ9" si="184">IFERROR(
  IF(
    INDEX(
      INDIRECT($B$3),
      MATCH(RIGHT($A7, LEN($A7)-4), INDIRECT($C$3), 0),
      MATCH(EP$1, INDIRECT($D$3), 0)
    ) = "-",
    "",
    INDEX(
      INDIRECT($B$3),
      MATCH(RIGHT($A7, LEN($A7)-4), INDIRECT($C$3), 0),
      MATCH(EP$1, INDIRECT($D$3), 0)
    )
  ),
"")
</f>
        <v/>
      </c>
      <c r="ER7" s="98">
        <f>EP7-EQ7</f>
        <v>0</v>
      </c>
      <c r="ES7" s="93" t="str">
        <f t="shared" ref="ES7:ES9" si="185">IFERROR(
  IF(
    INDEX(
      INDIRECT($B$1),
      MATCH(RIGHT($A7, LEN($A7)-4), INDIRECT($C$1), 0),
      MATCH(ES$1, INDIRECT($D$1), 0)
    ) = "-",
    "",
    INDEX(
      INDIRECT($B$1),
      MATCH(RIGHT($A7, LEN($A7)-4), INDIRECT($C$1), 0),
      MATCH(ES$1, INDIRECT($D$1), 0)
    )
  ),
"")
</f>
        <v/>
      </c>
      <c r="ET7" s="94" t="str">
        <f t="shared" ref="ET7:ET9" si="186">IFERROR(
  IF(
    INDEX(
      INDIRECT($B$3),
      MATCH(RIGHT($A7, LEN($A7)-4), INDIRECT($C$3), 0),
      MATCH(ES$1, INDIRECT($D$3), 0)
    ) = "-",
    "",
    INDEX(
      INDIRECT($B$3),
      MATCH(RIGHT($A7, LEN($A7)-4), INDIRECT($C$3), 0),
      MATCH(ES$1, INDIRECT($D$3), 0)
    )
  ),
"")
</f>
        <v/>
      </c>
      <c r="EU7" s="95">
        <f>ES7-ET7</f>
        <v>0</v>
      </c>
      <c r="EV7" s="96" t="str">
        <f t="shared" ref="EV7:EV9" si="187">IFERROR(
  IF(
    INDEX(
      INDIRECT($B$1),
      MATCH(RIGHT($A7, LEN($A7)-4), INDIRECT($C$1), 0),
      MATCH(EV$1, INDIRECT($D$1), 0)
    ) = "-",
    "",
    INDEX(
      INDIRECT($B$1),
      MATCH(RIGHT($A7, LEN($A7)-4), INDIRECT($C$1), 0),
      MATCH(EV$1, INDIRECT($D$1), 0)
    )
  ),
"")
</f>
        <v/>
      </c>
      <c r="EW7" s="97" t="str">
        <f t="shared" ref="EW7:EW9" si="188">IFERROR(
  IF(
    INDEX(
      INDIRECT($B$3),
      MATCH(RIGHT($A7, LEN($A7)-4), INDIRECT($C$3), 0),
      MATCH(EV$1, INDIRECT($D$3), 0)
    ) = "-",
    "",
    INDEX(
      INDIRECT($B$3),
      MATCH(RIGHT($A7, LEN($A7)-4), INDIRECT($C$3), 0),
      MATCH(EV$1, INDIRECT($D$3), 0)
    )
  ),
"")
</f>
        <v/>
      </c>
      <c r="EX7" s="98">
        <f>EV7-EW7</f>
        <v>0</v>
      </c>
      <c r="EY7" s="93" t="str">
        <f t="shared" ref="EY7:EY9" si="189">IFERROR(
  IF(
    INDEX(
      INDIRECT($B$1),
      MATCH(RIGHT($A7, LEN($A7)-4), INDIRECT($C$1), 0),
      MATCH(EY$1, INDIRECT($D$1), 0)
    ) = "-",
    "",
    INDEX(
      INDIRECT($B$1),
      MATCH(RIGHT($A7, LEN($A7)-4), INDIRECT($C$1), 0),
      MATCH(EY$1, INDIRECT($D$1), 0)
    )
  ),
"")
</f>
        <v/>
      </c>
      <c r="EZ7" s="94" t="str">
        <f t="shared" ref="EZ7:EZ9" si="190">IFERROR(
  IF(
    INDEX(
      INDIRECT($B$3),
      MATCH(RIGHT($A7, LEN($A7)-4), INDIRECT($C$3), 0),
      MATCH(EY$1, INDIRECT($D$3), 0)
    ) = "-",
    "",
    INDEX(
      INDIRECT($B$3),
      MATCH(RIGHT($A7, LEN($A7)-4), INDIRECT($C$3), 0),
      MATCH(EY$1, INDIRECT($D$3), 0)
    )
  ),
"")
</f>
        <v/>
      </c>
      <c r="FA7" s="95">
        <f>EY7-EZ7</f>
        <v>0</v>
      </c>
      <c r="FB7" s="96" t="str">
        <f t="shared" ref="FB7:FB9" si="191">IFERROR(
  IF(
    INDEX(
      INDIRECT($B$1),
      MATCH(RIGHT($A7, LEN($A7)-4), INDIRECT($C$1), 0),
      MATCH(FB$1, INDIRECT($D$1), 0)
    ) = "-",
    "",
    INDEX(
      INDIRECT($B$1),
      MATCH(RIGHT($A7, LEN($A7)-4), INDIRECT($C$1), 0),
      MATCH(FB$1, INDIRECT($D$1), 0)
    )
  ),
"")
</f>
        <v/>
      </c>
      <c r="FC7" s="97" t="str">
        <f t="shared" ref="FC7:FC9" si="192">IFERROR(
  IF(
    INDEX(
      INDIRECT($B$3),
      MATCH(RIGHT($A7, LEN($A7)-4), INDIRECT($C$3), 0),
      MATCH(FB$1, INDIRECT($D$3), 0)
    ) = "-",
    "",
    INDEX(
      INDIRECT($B$3),
      MATCH(RIGHT($A7, LEN($A7)-4), INDIRECT($C$3), 0),
      MATCH(FB$1, INDIRECT($D$3), 0)
    )
  ),
"")
</f>
        <v/>
      </c>
      <c r="FD7" s="98">
        <f>FB7-FC7</f>
        <v>0</v>
      </c>
      <c r="FE7" s="93" t="str">
        <f t="shared" ref="FE7:FE9" si="193">IFERROR(
  IF(
    INDEX(
      INDIRECT($B$1),
      MATCH(RIGHT($A7, LEN($A7)-4), INDIRECT($C$1), 0),
      MATCH(FE$1, INDIRECT($D$1), 0)
    ) = "-",
    "",
    INDEX(
      INDIRECT($B$1),
      MATCH(RIGHT($A7, LEN($A7)-4), INDIRECT($C$1), 0),
      MATCH(FE$1, INDIRECT($D$1), 0)
    )
  ),
"")
</f>
        <v/>
      </c>
      <c r="FF7" s="94" t="str">
        <f t="shared" ref="FF7:FF9" si="194">IFERROR(
  IF(
    INDEX(
      INDIRECT($B$3),
      MATCH(RIGHT($A7, LEN($A7)-4), INDIRECT($C$3), 0),
      MATCH(FE$1, INDIRECT($D$3), 0)
    ) = "-",
    "",
    INDEX(
      INDIRECT($B$3),
      MATCH(RIGHT($A7, LEN($A7)-4), INDIRECT($C$3), 0),
      MATCH(FE$1, INDIRECT($D$3), 0)
    )
  ),
"")
</f>
        <v/>
      </c>
      <c r="FG7" s="95">
        <f>FE7-FF7</f>
        <v>0</v>
      </c>
      <c r="FH7" s="96" t="str">
        <f t="shared" ref="FH7:FH9" si="195">IFERROR(
  IF(
    INDEX(
      INDIRECT($B$1),
      MATCH(RIGHT($A7, LEN($A7)-4), INDIRECT($C$1), 0),
      MATCH(FH$1, INDIRECT($D$1), 0)
    ) = "-",
    "",
    INDEX(
      INDIRECT($B$1),
      MATCH(RIGHT($A7, LEN($A7)-4), INDIRECT($C$1), 0),
      MATCH(FH$1, INDIRECT($D$1), 0)
    )
  ),
"")
</f>
        <v/>
      </c>
      <c r="FI7" s="97" t="str">
        <f t="shared" ref="FI7:FI9" si="196">IFERROR(
  IF(
    INDEX(
      INDIRECT($B$3),
      MATCH(RIGHT($A7, LEN($A7)-4), INDIRECT($C$3), 0),
      MATCH(FH$1, INDIRECT($D$3), 0)
    ) = "-",
    "",
    INDEX(
      INDIRECT($B$3),
      MATCH(RIGHT($A7, LEN($A7)-4), INDIRECT($C$3), 0),
      MATCH(FH$1, INDIRECT($D$3), 0)
    )
  ),
"")
</f>
        <v/>
      </c>
      <c r="FJ7" s="98">
        <f>FH7-FI7</f>
        <v>0</v>
      </c>
    </row>
    <row r="8" ht="15.75" customHeight="1">
      <c r="A8" s="6" t="s">
        <v>17</v>
      </c>
      <c r="B8" s="16">
        <f t="shared" si="88"/>
        <v>0</v>
      </c>
      <c r="C8" s="16" t="str">
        <f t="shared" ref="C8:C9" si="197">SUMIF($H$2:FJ$2,$H$2,I8:FJ8)</f>
        <v>#REF!</v>
      </c>
      <c r="D8" s="16" t="str">
        <f t="shared" si="86"/>
        <v>#REF!</v>
      </c>
      <c r="E8" s="87" t="str">
        <f t="shared" si="89"/>
        <v/>
      </c>
      <c r="F8" s="88" t="str">
        <f t="shared" si="90"/>
        <v/>
      </c>
      <c r="G8" s="89">
        <f t="shared" si="87"/>
        <v>0</v>
      </c>
      <c r="H8" s="90" t="str">
        <f t="shared" si="91"/>
        <v/>
      </c>
      <c r="I8" s="91" t="str">
        <f t="shared" si="92"/>
        <v/>
      </c>
      <c r="J8" s="92" t="str">
        <f t="shared" ref="J8:J9" si="198">SUMIF($H$2:FJ$2,$H$2,P8:FJ8)</f>
        <v>#REF!</v>
      </c>
      <c r="K8" s="93" t="str">
        <f t="shared" si="93"/>
        <v/>
      </c>
      <c r="L8" s="94" t="str">
        <f t="shared" si="94"/>
        <v/>
      </c>
      <c r="M8" s="95" t="str">
        <f t="shared" ref="M8:M9" si="199">SUMIF($H$2:FJ$2,$H$2,S8:FJ8)</f>
        <v>#REF!</v>
      </c>
      <c r="N8" s="96" t="str">
        <f t="shared" si="95"/>
        <v/>
      </c>
      <c r="O8" s="97" t="str">
        <f t="shared" si="96"/>
        <v/>
      </c>
      <c r="P8" s="98" t="str">
        <f t="shared" ref="P8:P9" si="200">SUMIF($H$2:FJ$2,$H$2,V8:FJ8)</f>
        <v>#REF!</v>
      </c>
      <c r="Q8" s="93" t="str">
        <f t="shared" si="97"/>
        <v/>
      </c>
      <c r="R8" s="94" t="str">
        <f t="shared" si="98"/>
        <v/>
      </c>
      <c r="S8" s="95" t="str">
        <f t="shared" ref="S8:S9" si="201">SUMIF($H$2:FJ$2,$H$2,Y8:FJ8)</f>
        <v>#REF!</v>
      </c>
      <c r="T8" s="96" t="str">
        <f t="shared" si="99"/>
        <v/>
      </c>
      <c r="U8" s="97" t="str">
        <f t="shared" si="100"/>
        <v/>
      </c>
      <c r="V8" s="98" t="str">
        <f t="shared" ref="V8:V9" si="202">SUMIF($H$2:FJ$2,$H$2,AB8:FJ8)</f>
        <v>#REF!</v>
      </c>
      <c r="W8" s="93" t="str">
        <f t="shared" si="101"/>
        <v/>
      </c>
      <c r="X8" s="94" t="str">
        <f t="shared" si="102"/>
        <v/>
      </c>
      <c r="Y8" s="95" t="str">
        <f t="shared" ref="Y8:Y9" si="203">SUMIF($H$2:FJ$2,$H$2,AE8:FJ8)</f>
        <v>#REF!</v>
      </c>
      <c r="Z8" s="96" t="str">
        <f t="shared" si="103"/>
        <v/>
      </c>
      <c r="AA8" s="97" t="str">
        <f t="shared" si="104"/>
        <v/>
      </c>
      <c r="AB8" s="98" t="str">
        <f t="shared" ref="AB8:AB9" si="204">SUMIF($H$2:FJ$2,$H$2,AH8:FJ8)</f>
        <v>#REF!</v>
      </c>
      <c r="AC8" s="93" t="str">
        <f t="shared" si="105"/>
        <v/>
      </c>
      <c r="AD8" s="94" t="str">
        <f t="shared" si="106"/>
        <v/>
      </c>
      <c r="AE8" s="95" t="str">
        <f t="shared" ref="AE8:AE9" si="205">SUMIF($H$2:FJ$2,$H$2,AK8:FJ8)</f>
        <v>#REF!</v>
      </c>
      <c r="AF8" s="96" t="str">
        <f t="shared" si="107"/>
        <v/>
      </c>
      <c r="AG8" s="97" t="str">
        <f t="shared" si="108"/>
        <v/>
      </c>
      <c r="AH8" s="98" t="str">
        <f t="shared" ref="AH8:AH9" si="206">SUMIF($H$2:FJ$2,$H$2,AN8:FJ8)</f>
        <v>#REF!</v>
      </c>
      <c r="AI8" s="93" t="str">
        <f t="shared" si="109"/>
        <v/>
      </c>
      <c r="AJ8" s="94" t="str">
        <f t="shared" si="110"/>
        <v/>
      </c>
      <c r="AK8" s="95" t="str">
        <f t="shared" ref="AK8:AK9" si="207">SUMIF($H$2:FJ$2,$H$2,AQ8:FJ8)</f>
        <v>#REF!</v>
      </c>
      <c r="AL8" s="96" t="str">
        <f t="shared" si="111"/>
        <v/>
      </c>
      <c r="AM8" s="97" t="str">
        <f t="shared" si="112"/>
        <v/>
      </c>
      <c r="AN8" s="98" t="str">
        <f t="shared" ref="AN8:AN9" si="208">SUMIF($H$2:FJ$2,$H$2,AT8:FJ8)</f>
        <v>#REF!</v>
      </c>
      <c r="AO8" s="93" t="str">
        <f t="shared" si="113"/>
        <v/>
      </c>
      <c r="AP8" s="94" t="str">
        <f t="shared" si="114"/>
        <v/>
      </c>
      <c r="AQ8" s="95" t="str">
        <f t="shared" ref="AQ8:AQ9" si="209">SUMIF($H$2:FJ$2,$H$2,AW8:FJ8)</f>
        <v>#REF!</v>
      </c>
      <c r="AR8" s="96" t="str">
        <f t="shared" si="115"/>
        <v/>
      </c>
      <c r="AS8" s="97" t="str">
        <f t="shared" si="116"/>
        <v/>
      </c>
      <c r="AT8" s="98" t="str">
        <f t="shared" ref="AT8:AT9" si="210">SUMIF($H$2:FJ$2,$H$2,AZ8:FJ8)</f>
        <v>#REF!</v>
      </c>
      <c r="AU8" s="93" t="str">
        <f t="shared" si="117"/>
        <v/>
      </c>
      <c r="AV8" s="94" t="str">
        <f t="shared" si="118"/>
        <v/>
      </c>
      <c r="AW8" s="95" t="str">
        <f t="shared" ref="AW8:AW9" si="211">SUMIF($H$2:FJ$2,$H$2,BC8:FJ8)</f>
        <v>#REF!</v>
      </c>
      <c r="AX8" s="96" t="str">
        <f t="shared" si="119"/>
        <v/>
      </c>
      <c r="AY8" s="97" t="str">
        <f t="shared" si="120"/>
        <v/>
      </c>
      <c r="AZ8" s="98" t="str">
        <f t="shared" ref="AZ8:AZ9" si="212">SUMIF($H$2:FJ$2,$H$2,BF8:FJ8)</f>
        <v>#REF!</v>
      </c>
      <c r="BA8" s="93" t="str">
        <f t="shared" si="121"/>
        <v/>
      </c>
      <c r="BB8" s="94" t="str">
        <f t="shared" si="122"/>
        <v/>
      </c>
      <c r="BC8" s="95" t="str">
        <f t="shared" ref="BC8:BC9" si="213">SUMIF($H$2:FJ$2,$H$2,BI8:FJ8)</f>
        <v>#REF!</v>
      </c>
      <c r="BD8" s="96" t="str">
        <f t="shared" si="123"/>
        <v/>
      </c>
      <c r="BE8" s="97" t="str">
        <f t="shared" si="124"/>
        <v/>
      </c>
      <c r="BF8" s="98" t="str">
        <f t="shared" ref="BF8:BF9" si="214">SUMIF($H$2:FJ$2,$H$2,BL8:FJ8)</f>
        <v>#REF!</v>
      </c>
      <c r="BG8" s="93" t="str">
        <f t="shared" si="125"/>
        <v/>
      </c>
      <c r="BH8" s="94" t="str">
        <f t="shared" si="126"/>
        <v/>
      </c>
      <c r="BI8" s="95" t="str">
        <f t="shared" ref="BI8:BI9" si="215">SUMIF($H$2:FJ$2,$H$2,BO8:FJ8)</f>
        <v>#REF!</v>
      </c>
      <c r="BJ8" s="96" t="str">
        <f t="shared" si="127"/>
        <v/>
      </c>
      <c r="BK8" s="97" t="str">
        <f t="shared" si="128"/>
        <v/>
      </c>
      <c r="BL8" s="98" t="str">
        <f t="shared" ref="BL8:BL9" si="216">SUMIF($H$2:FJ$2,$H$2,BR8:FJ8)</f>
        <v>#REF!</v>
      </c>
      <c r="BM8" s="93" t="str">
        <f t="shared" si="129"/>
        <v/>
      </c>
      <c r="BN8" s="94" t="str">
        <f t="shared" si="130"/>
        <v/>
      </c>
      <c r="BO8" s="95" t="str">
        <f t="shared" ref="BO8:BO9" si="217">SUMIF($H$2:FJ$2,$H$2,BU8:FJ8)</f>
        <v>#REF!</v>
      </c>
      <c r="BP8" s="96" t="str">
        <f t="shared" si="131"/>
        <v/>
      </c>
      <c r="BQ8" s="97" t="str">
        <f t="shared" si="132"/>
        <v/>
      </c>
      <c r="BR8" s="98" t="str">
        <f t="shared" ref="BR8:BR9" si="218">SUMIF($H$2:FJ$2,$H$2,BX8:FJ8)</f>
        <v>#REF!</v>
      </c>
      <c r="BS8" s="93" t="str">
        <f t="shared" si="133"/>
        <v/>
      </c>
      <c r="BT8" s="94" t="str">
        <f t="shared" si="134"/>
        <v/>
      </c>
      <c r="BU8" s="95" t="str">
        <f t="shared" ref="BU8:BU9" si="219">SUMIF($H$2:FJ$2,$H$2,CA8:FJ8)</f>
        <v>#REF!</v>
      </c>
      <c r="BV8" s="96" t="str">
        <f t="shared" si="135"/>
        <v/>
      </c>
      <c r="BW8" s="97" t="str">
        <f t="shared" si="136"/>
        <v/>
      </c>
      <c r="BX8" s="98" t="str">
        <f t="shared" ref="BX8:BX9" si="220">SUMIF($H$2:FJ$2,$H$2,CD8:FJ8)</f>
        <v>#REF!</v>
      </c>
      <c r="BY8" s="93" t="str">
        <f t="shared" si="137"/>
        <v/>
      </c>
      <c r="BZ8" s="94" t="str">
        <f t="shared" si="138"/>
        <v/>
      </c>
      <c r="CA8" s="95" t="str">
        <f t="shared" ref="CA8:CA9" si="221">SUMIF($H$2:FJ$2,$H$2,CG8:FJ8)</f>
        <v>#REF!</v>
      </c>
      <c r="CB8" s="96" t="str">
        <f t="shared" si="139"/>
        <v/>
      </c>
      <c r="CC8" s="97" t="str">
        <f t="shared" si="140"/>
        <v/>
      </c>
      <c r="CD8" s="98" t="str">
        <f t="shared" ref="CD8:CD9" si="222">SUMIF($H$2:FJ$2,$H$2,CJ8:FJ8)</f>
        <v>#REF!</v>
      </c>
      <c r="CE8" s="93" t="str">
        <f t="shared" si="141"/>
        <v/>
      </c>
      <c r="CF8" s="94" t="str">
        <f t="shared" si="142"/>
        <v/>
      </c>
      <c r="CG8" s="95" t="str">
        <f t="shared" ref="CG8:CG9" si="223">SUMIF($H$2:FJ$2,$H$2,CM8:FJ8)</f>
        <v>#REF!</v>
      </c>
      <c r="CH8" s="96" t="str">
        <f t="shared" si="143"/>
        <v/>
      </c>
      <c r="CI8" s="97" t="str">
        <f t="shared" si="144"/>
        <v/>
      </c>
      <c r="CJ8" s="98" t="str">
        <f t="shared" ref="CJ8:CJ9" si="224">SUMIF($H$2:FJ$2,$H$2,CP8:FJ8)</f>
        <v>#REF!</v>
      </c>
      <c r="CK8" s="93" t="str">
        <f t="shared" si="145"/>
        <v/>
      </c>
      <c r="CL8" s="94" t="str">
        <f t="shared" si="146"/>
        <v/>
      </c>
      <c r="CM8" s="95" t="str">
        <f t="shared" ref="CM8:CM9" si="225">SUMIF($H$2:FJ$2,$H$2,CS8:FJ8)</f>
        <v>#REF!</v>
      </c>
      <c r="CN8" s="96" t="str">
        <f t="shared" si="147"/>
        <v/>
      </c>
      <c r="CO8" s="97" t="str">
        <f t="shared" si="148"/>
        <v/>
      </c>
      <c r="CP8" s="98" t="str">
        <f t="shared" ref="CP8:CP9" si="226">SUMIF($H$2:FJ$2,$H$2,CV8:FJ8)</f>
        <v>#REF!</v>
      </c>
      <c r="CQ8" s="93" t="str">
        <f t="shared" si="149"/>
        <v/>
      </c>
      <c r="CR8" s="94" t="str">
        <f t="shared" si="150"/>
        <v/>
      </c>
      <c r="CS8" s="95" t="str">
        <f t="shared" ref="CS8:CS9" si="227">SUMIF($H$2:FJ$2,$H$2,CY8:FJ8)</f>
        <v>#REF!</v>
      </c>
      <c r="CT8" s="96" t="str">
        <f t="shared" si="151"/>
        <v/>
      </c>
      <c r="CU8" s="97" t="str">
        <f t="shared" si="152"/>
        <v/>
      </c>
      <c r="CV8" s="98" t="str">
        <f t="shared" ref="CV8:CV9" si="228">SUMIF($H$2:FJ$2,$H$2,DB8:FJ8)</f>
        <v>#REF!</v>
      </c>
      <c r="CW8" s="93" t="str">
        <f t="shared" si="153"/>
        <v/>
      </c>
      <c r="CX8" s="94" t="str">
        <f t="shared" si="154"/>
        <v/>
      </c>
      <c r="CY8" s="95" t="str">
        <f t="shared" ref="CY8:CY9" si="229">SUMIF($H$2:FJ$2,$H$2,DE8:FJ8)</f>
        <v>#REF!</v>
      </c>
      <c r="CZ8" s="96" t="str">
        <f t="shared" si="155"/>
        <v/>
      </c>
      <c r="DA8" s="97" t="str">
        <f t="shared" si="156"/>
        <v/>
      </c>
      <c r="DB8" s="98" t="str">
        <f t="shared" ref="DB8:DB9" si="230">SUMIF($H$2:FJ$2,$H$2,DH8:FJ8)</f>
        <v>#REF!</v>
      </c>
      <c r="DC8" s="93" t="str">
        <f t="shared" si="157"/>
        <v/>
      </c>
      <c r="DD8" s="94" t="str">
        <f t="shared" si="158"/>
        <v/>
      </c>
      <c r="DE8" s="95" t="str">
        <f t="shared" ref="DE8:DE9" si="231">SUMIF($H$2:FJ$2,$H$2,DK8:FJ8)</f>
        <v>#REF!</v>
      </c>
      <c r="DF8" s="96" t="str">
        <f t="shared" si="159"/>
        <v/>
      </c>
      <c r="DG8" s="97" t="str">
        <f t="shared" si="160"/>
        <v/>
      </c>
      <c r="DH8" s="98" t="str">
        <f t="shared" ref="DH8:DH9" si="232">SUMIF($H$2:FJ$2,$H$2,DN8:FJ8)</f>
        <v>#REF!</v>
      </c>
      <c r="DI8" s="93" t="str">
        <f t="shared" si="161"/>
        <v/>
      </c>
      <c r="DJ8" s="94" t="str">
        <f t="shared" si="162"/>
        <v/>
      </c>
      <c r="DK8" s="95" t="str">
        <f t="shared" ref="DK8:DK9" si="233">SUMIF($H$2:FJ$2,$H$2,DQ8:FJ8)</f>
        <v>#REF!</v>
      </c>
      <c r="DL8" s="96" t="str">
        <f t="shared" si="163"/>
        <v/>
      </c>
      <c r="DM8" s="97" t="str">
        <f t="shared" si="164"/>
        <v/>
      </c>
      <c r="DN8" s="98" t="str">
        <f t="shared" ref="DN8:DN9" si="234">SUMIF($H$2:FJ$2,$H$2,DT8:FJ8)</f>
        <v>#REF!</v>
      </c>
      <c r="DO8" s="93" t="str">
        <f t="shared" si="165"/>
        <v/>
      </c>
      <c r="DP8" s="94" t="str">
        <f t="shared" si="166"/>
        <v/>
      </c>
      <c r="DQ8" s="95" t="str">
        <f t="shared" ref="DQ8:DQ9" si="235">SUMIF($H$2:FJ$2,$H$2,DW8:FJ8)</f>
        <v>#REF!</v>
      </c>
      <c r="DR8" s="96" t="str">
        <f t="shared" si="167"/>
        <v/>
      </c>
      <c r="DS8" s="97" t="str">
        <f t="shared" si="168"/>
        <v/>
      </c>
      <c r="DT8" s="98" t="str">
        <f t="shared" ref="DT8:DT9" si="236">SUMIF($H$2:FJ$2,$H$2,DZ8:FJ8)</f>
        <v>#REF!</v>
      </c>
      <c r="DU8" s="93" t="str">
        <f t="shared" si="169"/>
        <v/>
      </c>
      <c r="DV8" s="94" t="str">
        <f t="shared" si="170"/>
        <v/>
      </c>
      <c r="DW8" s="95" t="str">
        <f t="shared" ref="DW8:DW9" si="237">SUMIF($H$2:FJ$2,$H$2,EC8:FJ8)</f>
        <v>#REF!</v>
      </c>
      <c r="DX8" s="96" t="str">
        <f t="shared" si="171"/>
        <v/>
      </c>
      <c r="DY8" s="97" t="str">
        <f t="shared" si="172"/>
        <v/>
      </c>
      <c r="DZ8" s="98" t="str">
        <f t="shared" ref="DZ8:DZ9" si="238">SUMIF($H$2:FJ$2,$H$2,EF8:FJ8)</f>
        <v>#REF!</v>
      </c>
      <c r="EA8" s="93" t="str">
        <f t="shared" si="173"/>
        <v/>
      </c>
      <c r="EB8" s="94" t="str">
        <f t="shared" si="174"/>
        <v/>
      </c>
      <c r="EC8" s="95" t="str">
        <f t="shared" ref="EC8:EC9" si="239">SUMIF($H$2:FJ$2,$H$2,EI8:FJ8)</f>
        <v>#REF!</v>
      </c>
      <c r="ED8" s="96" t="str">
        <f t="shared" si="175"/>
        <v/>
      </c>
      <c r="EE8" s="97" t="str">
        <f t="shared" si="176"/>
        <v/>
      </c>
      <c r="EF8" s="98" t="str">
        <f t="shared" ref="EF8:EF9" si="240">SUMIF($H$2:FJ$2,$H$2,EL8:FJ8)</f>
        <v>#REF!</v>
      </c>
      <c r="EG8" s="93" t="str">
        <f t="shared" si="177"/>
        <v/>
      </c>
      <c r="EH8" s="94" t="str">
        <f t="shared" si="178"/>
        <v/>
      </c>
      <c r="EI8" s="95" t="str">
        <f t="shared" ref="EI8:EI9" si="241">SUMIF($H$2:FJ$2,$H$2,EO8:FJ8)</f>
        <v>#REF!</v>
      </c>
      <c r="EJ8" s="96" t="str">
        <f t="shared" si="179"/>
        <v/>
      </c>
      <c r="EK8" s="97" t="str">
        <f t="shared" si="180"/>
        <v/>
      </c>
      <c r="EL8" s="98" t="str">
        <f t="shared" ref="EL8:EL9" si="242">SUMIF($H$2:FJ$2,$H$2,ER8:FJ8)</f>
        <v>#REF!</v>
      </c>
      <c r="EM8" s="93" t="str">
        <f t="shared" si="181"/>
        <v/>
      </c>
      <c r="EN8" s="94" t="str">
        <f t="shared" si="182"/>
        <v/>
      </c>
      <c r="EO8" s="95" t="str">
        <f t="shared" ref="EO8:EO9" si="243">SUMIF($H$2:FJ$2,$H$2,EU8:FJ8)</f>
        <v>#REF!</v>
      </c>
      <c r="EP8" s="96" t="str">
        <f t="shared" si="183"/>
        <v/>
      </c>
      <c r="EQ8" s="97" t="str">
        <f t="shared" si="184"/>
        <v/>
      </c>
      <c r="ER8" s="98" t="str">
        <f t="shared" ref="ER8:ER9" si="244">SUMIF($H$2:FJ$2,$H$2,EX8:FJ8)</f>
        <v>#REF!</v>
      </c>
      <c r="ES8" s="93" t="str">
        <f t="shared" si="185"/>
        <v/>
      </c>
      <c r="ET8" s="94" t="str">
        <f t="shared" si="186"/>
        <v/>
      </c>
      <c r="EU8" s="95" t="str">
        <f t="shared" ref="EU8:EU9" si="245">SUMIF($H$2:FJ$2,$H$2,FA8:FJ8)</f>
        <v>#REF!</v>
      </c>
      <c r="EV8" s="96" t="str">
        <f t="shared" si="187"/>
        <v/>
      </c>
      <c r="EW8" s="97" t="str">
        <f t="shared" si="188"/>
        <v/>
      </c>
      <c r="EX8" s="98" t="str">
        <f t="shared" ref="EX8:EX9" si="246">SUMIF($H$2:FJ$2,$H$2,FD8:FJ8)</f>
        <v>#REF!</v>
      </c>
      <c r="EY8" s="93" t="str">
        <f t="shared" si="189"/>
        <v/>
      </c>
      <c r="EZ8" s="94" t="str">
        <f t="shared" si="190"/>
        <v/>
      </c>
      <c r="FA8" s="95" t="str">
        <f t="shared" ref="FA8:FA9" si="247">SUMIF($H$2:FJ$2,$H$2,FG8:FJ8)</f>
        <v>#REF!</v>
      </c>
      <c r="FB8" s="96" t="str">
        <f t="shared" si="191"/>
        <v/>
      </c>
      <c r="FC8" s="97" t="str">
        <f t="shared" si="192"/>
        <v/>
      </c>
      <c r="FD8" s="98" t="str">
        <f t="shared" ref="FD8:FD9" si="248">SUMIF($H$2:FJ$2,$H$2,FJ8)</f>
        <v>#REF!</v>
      </c>
      <c r="FE8" s="93" t="str">
        <f t="shared" si="193"/>
        <v/>
      </c>
      <c r="FF8" s="94" t="str">
        <f t="shared" si="194"/>
        <v/>
      </c>
      <c r="FG8" s="95" t="str">
        <f t="shared" ref="FG8:FG9" si="249">SUMIF($H$2:FJ$2,$H$2,FJ8:FM8)</f>
        <v>#REF!</v>
      </c>
      <c r="FH8" s="96" t="str">
        <f t="shared" si="195"/>
        <v/>
      </c>
      <c r="FI8" s="97" t="str">
        <f t="shared" si="196"/>
        <v/>
      </c>
      <c r="FJ8" s="98" t="str">
        <f t="shared" ref="FJ8:FJ9" si="250">SUMIF($H$2:FJ$2,$H$2,FJ8:FP8)</f>
        <v>#REF!</v>
      </c>
    </row>
    <row r="9" ht="15.75" hidden="1" customHeight="1">
      <c r="B9" s="16">
        <f t="shared" si="88"/>
        <v>0</v>
      </c>
      <c r="C9" s="16" t="str">
        <f t="shared" si="197"/>
        <v>#REF!</v>
      </c>
      <c r="D9" s="16" t="str">
        <f>SUMIF($H$2:FJ$2,$H$2,J9:FJ9)</f>
        <v>#REF!</v>
      </c>
      <c r="E9" s="87" t="str">
        <f t="shared" si="89"/>
        <v/>
      </c>
      <c r="F9" s="88" t="str">
        <f t="shared" si="90"/>
        <v/>
      </c>
      <c r="G9" s="89" t="str">
        <f>SUMIF($H$2:FJ$2,$H$2,M9:FJ9)</f>
        <v>#REF!</v>
      </c>
      <c r="H9" s="90" t="str">
        <f t="shared" si="91"/>
        <v/>
      </c>
      <c r="I9" s="91" t="str">
        <f t="shared" si="92"/>
        <v/>
      </c>
      <c r="J9" s="92" t="str">
        <f t="shared" si="198"/>
        <v>#REF!</v>
      </c>
      <c r="K9" s="93" t="str">
        <f t="shared" si="93"/>
        <v/>
      </c>
      <c r="L9" s="94" t="str">
        <f t="shared" si="94"/>
        <v/>
      </c>
      <c r="M9" s="95" t="str">
        <f t="shared" si="199"/>
        <v>#REF!</v>
      </c>
      <c r="N9" s="96" t="str">
        <f t="shared" si="95"/>
        <v/>
      </c>
      <c r="O9" s="97" t="str">
        <f t="shared" si="96"/>
        <v/>
      </c>
      <c r="P9" s="98" t="str">
        <f t="shared" si="200"/>
        <v>#REF!</v>
      </c>
      <c r="Q9" s="93" t="str">
        <f t="shared" si="97"/>
        <v/>
      </c>
      <c r="R9" s="94" t="str">
        <f t="shared" si="98"/>
        <v/>
      </c>
      <c r="S9" s="95" t="str">
        <f t="shared" si="201"/>
        <v>#REF!</v>
      </c>
      <c r="T9" s="96" t="str">
        <f t="shared" si="99"/>
        <v/>
      </c>
      <c r="U9" s="97" t="str">
        <f t="shared" si="100"/>
        <v/>
      </c>
      <c r="V9" s="98" t="str">
        <f t="shared" si="202"/>
        <v>#REF!</v>
      </c>
      <c r="W9" s="93" t="str">
        <f t="shared" si="101"/>
        <v/>
      </c>
      <c r="X9" s="94" t="str">
        <f t="shared" si="102"/>
        <v/>
      </c>
      <c r="Y9" s="95" t="str">
        <f t="shared" si="203"/>
        <v>#REF!</v>
      </c>
      <c r="Z9" s="96" t="str">
        <f t="shared" si="103"/>
        <v/>
      </c>
      <c r="AA9" s="97" t="str">
        <f t="shared" si="104"/>
        <v/>
      </c>
      <c r="AB9" s="98" t="str">
        <f t="shared" si="204"/>
        <v>#REF!</v>
      </c>
      <c r="AC9" s="93" t="str">
        <f t="shared" si="105"/>
        <v/>
      </c>
      <c r="AD9" s="94" t="str">
        <f t="shared" si="106"/>
        <v/>
      </c>
      <c r="AE9" s="95" t="str">
        <f t="shared" si="205"/>
        <v>#REF!</v>
      </c>
      <c r="AF9" s="96" t="str">
        <f t="shared" si="107"/>
        <v/>
      </c>
      <c r="AG9" s="97" t="str">
        <f t="shared" si="108"/>
        <v/>
      </c>
      <c r="AH9" s="98" t="str">
        <f t="shared" si="206"/>
        <v>#REF!</v>
      </c>
      <c r="AI9" s="93" t="str">
        <f t="shared" si="109"/>
        <v/>
      </c>
      <c r="AJ9" s="94" t="str">
        <f t="shared" si="110"/>
        <v/>
      </c>
      <c r="AK9" s="95" t="str">
        <f t="shared" si="207"/>
        <v>#REF!</v>
      </c>
      <c r="AL9" s="96" t="str">
        <f t="shared" si="111"/>
        <v/>
      </c>
      <c r="AM9" s="97" t="str">
        <f t="shared" si="112"/>
        <v/>
      </c>
      <c r="AN9" s="98" t="str">
        <f t="shared" si="208"/>
        <v>#REF!</v>
      </c>
      <c r="AO9" s="93" t="str">
        <f t="shared" si="113"/>
        <v/>
      </c>
      <c r="AP9" s="94" t="str">
        <f t="shared" si="114"/>
        <v/>
      </c>
      <c r="AQ9" s="95" t="str">
        <f t="shared" si="209"/>
        <v>#REF!</v>
      </c>
      <c r="AR9" s="96" t="str">
        <f t="shared" si="115"/>
        <v/>
      </c>
      <c r="AS9" s="97" t="str">
        <f t="shared" si="116"/>
        <v/>
      </c>
      <c r="AT9" s="98" t="str">
        <f t="shared" si="210"/>
        <v>#REF!</v>
      </c>
      <c r="AU9" s="93" t="str">
        <f t="shared" si="117"/>
        <v/>
      </c>
      <c r="AV9" s="94" t="str">
        <f t="shared" si="118"/>
        <v/>
      </c>
      <c r="AW9" s="95" t="str">
        <f t="shared" si="211"/>
        <v>#REF!</v>
      </c>
      <c r="AX9" s="96" t="str">
        <f t="shared" si="119"/>
        <v/>
      </c>
      <c r="AY9" s="97" t="str">
        <f t="shared" si="120"/>
        <v/>
      </c>
      <c r="AZ9" s="98" t="str">
        <f t="shared" si="212"/>
        <v>#REF!</v>
      </c>
      <c r="BA9" s="93" t="str">
        <f t="shared" si="121"/>
        <v/>
      </c>
      <c r="BB9" s="94" t="str">
        <f t="shared" si="122"/>
        <v/>
      </c>
      <c r="BC9" s="95" t="str">
        <f t="shared" si="213"/>
        <v>#REF!</v>
      </c>
      <c r="BD9" s="96" t="str">
        <f t="shared" si="123"/>
        <v/>
      </c>
      <c r="BE9" s="97" t="str">
        <f t="shared" si="124"/>
        <v/>
      </c>
      <c r="BF9" s="98" t="str">
        <f t="shared" si="214"/>
        <v>#REF!</v>
      </c>
      <c r="BG9" s="93" t="str">
        <f t="shared" si="125"/>
        <v/>
      </c>
      <c r="BH9" s="94" t="str">
        <f t="shared" si="126"/>
        <v/>
      </c>
      <c r="BI9" s="95" t="str">
        <f t="shared" si="215"/>
        <v>#REF!</v>
      </c>
      <c r="BJ9" s="96" t="str">
        <f t="shared" si="127"/>
        <v/>
      </c>
      <c r="BK9" s="97" t="str">
        <f t="shared" si="128"/>
        <v/>
      </c>
      <c r="BL9" s="98" t="str">
        <f t="shared" si="216"/>
        <v>#REF!</v>
      </c>
      <c r="BM9" s="93" t="str">
        <f t="shared" si="129"/>
        <v/>
      </c>
      <c r="BN9" s="94" t="str">
        <f t="shared" si="130"/>
        <v/>
      </c>
      <c r="BO9" s="95" t="str">
        <f t="shared" si="217"/>
        <v>#REF!</v>
      </c>
      <c r="BP9" s="96" t="str">
        <f t="shared" si="131"/>
        <v/>
      </c>
      <c r="BQ9" s="97" t="str">
        <f t="shared" si="132"/>
        <v/>
      </c>
      <c r="BR9" s="98" t="str">
        <f t="shared" si="218"/>
        <v>#REF!</v>
      </c>
      <c r="BS9" s="93" t="str">
        <f t="shared" si="133"/>
        <v/>
      </c>
      <c r="BT9" s="94" t="str">
        <f t="shared" si="134"/>
        <v/>
      </c>
      <c r="BU9" s="95" t="str">
        <f t="shared" si="219"/>
        <v>#REF!</v>
      </c>
      <c r="BV9" s="96" t="str">
        <f t="shared" si="135"/>
        <v/>
      </c>
      <c r="BW9" s="97" t="str">
        <f t="shared" si="136"/>
        <v/>
      </c>
      <c r="BX9" s="98" t="str">
        <f t="shared" si="220"/>
        <v>#REF!</v>
      </c>
      <c r="BY9" s="93" t="str">
        <f t="shared" si="137"/>
        <v/>
      </c>
      <c r="BZ9" s="94" t="str">
        <f t="shared" si="138"/>
        <v/>
      </c>
      <c r="CA9" s="95" t="str">
        <f t="shared" si="221"/>
        <v>#REF!</v>
      </c>
      <c r="CB9" s="96" t="str">
        <f t="shared" si="139"/>
        <v/>
      </c>
      <c r="CC9" s="97" t="str">
        <f t="shared" si="140"/>
        <v/>
      </c>
      <c r="CD9" s="98" t="str">
        <f t="shared" si="222"/>
        <v>#REF!</v>
      </c>
      <c r="CE9" s="93" t="str">
        <f t="shared" si="141"/>
        <v/>
      </c>
      <c r="CF9" s="94" t="str">
        <f t="shared" si="142"/>
        <v/>
      </c>
      <c r="CG9" s="95" t="str">
        <f t="shared" si="223"/>
        <v>#REF!</v>
      </c>
      <c r="CH9" s="96" t="str">
        <f t="shared" si="143"/>
        <v/>
      </c>
      <c r="CI9" s="97" t="str">
        <f t="shared" si="144"/>
        <v/>
      </c>
      <c r="CJ9" s="98" t="str">
        <f t="shared" si="224"/>
        <v>#REF!</v>
      </c>
      <c r="CK9" s="93" t="str">
        <f t="shared" si="145"/>
        <v/>
      </c>
      <c r="CL9" s="94" t="str">
        <f t="shared" si="146"/>
        <v/>
      </c>
      <c r="CM9" s="95" t="str">
        <f t="shared" si="225"/>
        <v>#REF!</v>
      </c>
      <c r="CN9" s="96" t="str">
        <f t="shared" si="147"/>
        <v/>
      </c>
      <c r="CO9" s="97" t="str">
        <f t="shared" si="148"/>
        <v/>
      </c>
      <c r="CP9" s="98" t="str">
        <f t="shared" si="226"/>
        <v>#REF!</v>
      </c>
      <c r="CQ9" s="93" t="str">
        <f t="shared" si="149"/>
        <v/>
      </c>
      <c r="CR9" s="94" t="str">
        <f t="shared" si="150"/>
        <v/>
      </c>
      <c r="CS9" s="95" t="str">
        <f t="shared" si="227"/>
        <v>#REF!</v>
      </c>
      <c r="CT9" s="96" t="str">
        <f t="shared" si="151"/>
        <v/>
      </c>
      <c r="CU9" s="97" t="str">
        <f t="shared" si="152"/>
        <v/>
      </c>
      <c r="CV9" s="98" t="str">
        <f t="shared" si="228"/>
        <v>#REF!</v>
      </c>
      <c r="CW9" s="93" t="str">
        <f t="shared" si="153"/>
        <v/>
      </c>
      <c r="CX9" s="94" t="str">
        <f t="shared" si="154"/>
        <v/>
      </c>
      <c r="CY9" s="95" t="str">
        <f t="shared" si="229"/>
        <v>#REF!</v>
      </c>
      <c r="CZ9" s="96" t="str">
        <f t="shared" si="155"/>
        <v/>
      </c>
      <c r="DA9" s="97" t="str">
        <f t="shared" si="156"/>
        <v/>
      </c>
      <c r="DB9" s="98" t="str">
        <f t="shared" si="230"/>
        <v>#REF!</v>
      </c>
      <c r="DC9" s="93" t="str">
        <f t="shared" si="157"/>
        <v/>
      </c>
      <c r="DD9" s="94" t="str">
        <f t="shared" si="158"/>
        <v/>
      </c>
      <c r="DE9" s="95" t="str">
        <f t="shared" si="231"/>
        <v>#REF!</v>
      </c>
      <c r="DF9" s="96" t="str">
        <f t="shared" si="159"/>
        <v/>
      </c>
      <c r="DG9" s="97" t="str">
        <f t="shared" si="160"/>
        <v/>
      </c>
      <c r="DH9" s="98" t="str">
        <f t="shared" si="232"/>
        <v>#REF!</v>
      </c>
      <c r="DI9" s="93" t="str">
        <f t="shared" si="161"/>
        <v/>
      </c>
      <c r="DJ9" s="94" t="str">
        <f t="shared" si="162"/>
        <v/>
      </c>
      <c r="DK9" s="95" t="str">
        <f t="shared" si="233"/>
        <v>#REF!</v>
      </c>
      <c r="DL9" s="96" t="str">
        <f t="shared" si="163"/>
        <v/>
      </c>
      <c r="DM9" s="97" t="str">
        <f t="shared" si="164"/>
        <v/>
      </c>
      <c r="DN9" s="98" t="str">
        <f t="shared" si="234"/>
        <v>#REF!</v>
      </c>
      <c r="DO9" s="93" t="str">
        <f t="shared" si="165"/>
        <v/>
      </c>
      <c r="DP9" s="94" t="str">
        <f t="shared" si="166"/>
        <v/>
      </c>
      <c r="DQ9" s="95" t="str">
        <f t="shared" si="235"/>
        <v>#REF!</v>
      </c>
      <c r="DR9" s="96" t="str">
        <f t="shared" si="167"/>
        <v/>
      </c>
      <c r="DS9" s="97" t="str">
        <f t="shared" si="168"/>
        <v/>
      </c>
      <c r="DT9" s="98" t="str">
        <f t="shared" si="236"/>
        <v>#REF!</v>
      </c>
      <c r="DU9" s="93" t="str">
        <f t="shared" si="169"/>
        <v/>
      </c>
      <c r="DV9" s="94" t="str">
        <f t="shared" si="170"/>
        <v/>
      </c>
      <c r="DW9" s="95" t="str">
        <f t="shared" si="237"/>
        <v>#REF!</v>
      </c>
      <c r="DX9" s="96" t="str">
        <f t="shared" si="171"/>
        <v/>
      </c>
      <c r="DY9" s="97" t="str">
        <f t="shared" si="172"/>
        <v/>
      </c>
      <c r="DZ9" s="98" t="str">
        <f t="shared" si="238"/>
        <v>#REF!</v>
      </c>
      <c r="EA9" s="93" t="str">
        <f t="shared" si="173"/>
        <v/>
      </c>
      <c r="EB9" s="94" t="str">
        <f t="shared" si="174"/>
        <v/>
      </c>
      <c r="EC9" s="95" t="str">
        <f t="shared" si="239"/>
        <v>#REF!</v>
      </c>
      <c r="ED9" s="96" t="str">
        <f t="shared" si="175"/>
        <v/>
      </c>
      <c r="EE9" s="97" t="str">
        <f t="shared" si="176"/>
        <v/>
      </c>
      <c r="EF9" s="98" t="str">
        <f t="shared" si="240"/>
        <v>#REF!</v>
      </c>
      <c r="EG9" s="93" t="str">
        <f t="shared" si="177"/>
        <v/>
      </c>
      <c r="EH9" s="94" t="str">
        <f t="shared" si="178"/>
        <v/>
      </c>
      <c r="EI9" s="95" t="str">
        <f t="shared" si="241"/>
        <v>#REF!</v>
      </c>
      <c r="EJ9" s="96" t="str">
        <f t="shared" si="179"/>
        <v/>
      </c>
      <c r="EK9" s="97" t="str">
        <f t="shared" si="180"/>
        <v/>
      </c>
      <c r="EL9" s="98" t="str">
        <f t="shared" si="242"/>
        <v>#REF!</v>
      </c>
      <c r="EM9" s="93" t="str">
        <f t="shared" si="181"/>
        <v/>
      </c>
      <c r="EN9" s="94" t="str">
        <f t="shared" si="182"/>
        <v/>
      </c>
      <c r="EO9" s="95" t="str">
        <f t="shared" si="243"/>
        <v>#REF!</v>
      </c>
      <c r="EP9" s="96" t="str">
        <f t="shared" si="183"/>
        <v/>
      </c>
      <c r="EQ9" s="97" t="str">
        <f t="shared" si="184"/>
        <v/>
      </c>
      <c r="ER9" s="98" t="str">
        <f t="shared" si="244"/>
        <v>#REF!</v>
      </c>
      <c r="ES9" s="93" t="str">
        <f t="shared" si="185"/>
        <v/>
      </c>
      <c r="ET9" s="94" t="str">
        <f t="shared" si="186"/>
        <v/>
      </c>
      <c r="EU9" s="95" t="str">
        <f t="shared" si="245"/>
        <v>#REF!</v>
      </c>
      <c r="EV9" s="96" t="str">
        <f t="shared" si="187"/>
        <v/>
      </c>
      <c r="EW9" s="97" t="str">
        <f t="shared" si="188"/>
        <v/>
      </c>
      <c r="EX9" s="98" t="str">
        <f t="shared" si="246"/>
        <v>#REF!</v>
      </c>
      <c r="EY9" s="93" t="str">
        <f t="shared" si="189"/>
        <v/>
      </c>
      <c r="EZ9" s="94" t="str">
        <f t="shared" si="190"/>
        <v/>
      </c>
      <c r="FA9" s="95" t="str">
        <f t="shared" si="247"/>
        <v>#REF!</v>
      </c>
      <c r="FB9" s="96" t="str">
        <f t="shared" si="191"/>
        <v/>
      </c>
      <c r="FC9" s="97" t="str">
        <f t="shared" si="192"/>
        <v/>
      </c>
      <c r="FD9" s="98" t="str">
        <f t="shared" si="248"/>
        <v>#REF!</v>
      </c>
      <c r="FE9" s="93" t="str">
        <f t="shared" si="193"/>
        <v/>
      </c>
      <c r="FF9" s="94" t="str">
        <f t="shared" si="194"/>
        <v/>
      </c>
      <c r="FG9" s="95" t="str">
        <f t="shared" si="249"/>
        <v>#REF!</v>
      </c>
      <c r="FH9" s="96" t="str">
        <f t="shared" si="195"/>
        <v/>
      </c>
      <c r="FI9" s="97" t="str">
        <f t="shared" si="196"/>
        <v/>
      </c>
      <c r="FJ9" s="98" t="str">
        <f t="shared" si="250"/>
        <v>#REF!</v>
      </c>
    </row>
    <row r="10" ht="9.0" customHeight="1">
      <c r="A10" s="50"/>
      <c r="B10" s="6"/>
      <c r="D10" s="6"/>
      <c r="E10" s="75"/>
      <c r="F10" s="6"/>
      <c r="G10" s="6"/>
      <c r="H10" s="75"/>
      <c r="I10" s="6"/>
      <c r="J10" s="48"/>
      <c r="K10" s="75"/>
      <c r="L10" s="6"/>
      <c r="M10" s="48"/>
      <c r="N10" s="75"/>
      <c r="O10" s="6"/>
      <c r="P10" s="48"/>
      <c r="Q10" s="75"/>
      <c r="R10" s="6"/>
      <c r="S10" s="48"/>
      <c r="T10" s="75"/>
      <c r="U10" s="6"/>
      <c r="V10" s="48"/>
      <c r="W10" s="75"/>
      <c r="X10" s="6"/>
      <c r="Y10" s="48"/>
      <c r="Z10" s="75"/>
      <c r="AA10" s="6"/>
      <c r="AB10" s="48"/>
      <c r="AC10" s="75"/>
      <c r="AD10" s="6"/>
      <c r="AE10" s="48"/>
      <c r="AF10" s="75"/>
      <c r="AG10" s="6"/>
      <c r="AH10" s="48"/>
      <c r="AI10" s="75"/>
      <c r="AJ10" s="6"/>
      <c r="AK10" s="48"/>
      <c r="AL10" s="75"/>
      <c r="AM10" s="6"/>
      <c r="AN10" s="48"/>
      <c r="AO10" s="75"/>
      <c r="AP10" s="6"/>
      <c r="AQ10" s="48"/>
      <c r="AR10" s="75"/>
      <c r="AS10" s="6"/>
      <c r="AT10" s="48"/>
      <c r="AU10" s="75"/>
      <c r="AV10" s="6"/>
      <c r="AW10" s="48"/>
      <c r="AX10" s="75"/>
      <c r="AY10" s="6"/>
      <c r="AZ10" s="48"/>
      <c r="BA10" s="75"/>
      <c r="BB10" s="6"/>
      <c r="BC10" s="48"/>
      <c r="BD10" s="75"/>
      <c r="BE10" s="6"/>
      <c r="BF10" s="48"/>
      <c r="BG10" s="75"/>
      <c r="BH10" s="6"/>
      <c r="BI10" s="48"/>
      <c r="BJ10" s="75"/>
      <c r="BK10" s="6"/>
      <c r="BL10" s="48"/>
      <c r="BM10" s="75"/>
      <c r="BN10" s="6"/>
      <c r="BO10" s="48"/>
      <c r="BP10" s="75"/>
      <c r="BQ10" s="6"/>
      <c r="BR10" s="48"/>
      <c r="BS10" s="75"/>
      <c r="BT10" s="6"/>
      <c r="BU10" s="48"/>
      <c r="BV10" s="75"/>
      <c r="BW10" s="6"/>
      <c r="BX10" s="48"/>
      <c r="BY10" s="75"/>
      <c r="BZ10" s="6"/>
      <c r="CA10" s="48"/>
      <c r="CB10" s="75"/>
      <c r="CC10" s="6"/>
      <c r="CD10" s="48"/>
      <c r="CE10" s="75"/>
      <c r="CF10" s="6"/>
      <c r="CG10" s="48"/>
      <c r="CH10" s="75"/>
      <c r="CI10" s="6"/>
      <c r="CJ10" s="48"/>
      <c r="CK10" s="75"/>
      <c r="CL10" s="6"/>
      <c r="CM10" s="48"/>
      <c r="CN10" s="75"/>
      <c r="CO10" s="6"/>
      <c r="CP10" s="48"/>
      <c r="CQ10" s="75"/>
      <c r="CR10" s="6"/>
      <c r="CS10" s="48"/>
      <c r="CT10" s="75"/>
      <c r="CU10" s="6"/>
      <c r="CV10" s="48"/>
      <c r="CW10" s="75"/>
      <c r="CX10" s="6"/>
      <c r="CY10" s="48"/>
      <c r="CZ10" s="75"/>
      <c r="DA10" s="6"/>
      <c r="DB10" s="48"/>
      <c r="DC10" s="75"/>
      <c r="DD10" s="6"/>
      <c r="DE10" s="48"/>
      <c r="DF10" s="75"/>
      <c r="DG10" s="6"/>
      <c r="DH10" s="48"/>
      <c r="DI10" s="75"/>
      <c r="DJ10" s="6"/>
      <c r="DK10" s="48"/>
      <c r="DL10" s="75"/>
      <c r="DM10" s="6"/>
      <c r="DN10" s="48"/>
      <c r="DO10" s="75"/>
      <c r="DP10" s="6"/>
      <c r="DQ10" s="48"/>
      <c r="DR10" s="75"/>
      <c r="DS10" s="6"/>
      <c r="DT10" s="48"/>
      <c r="DU10" s="75"/>
      <c r="DV10" s="6"/>
      <c r="DW10" s="48"/>
      <c r="DX10" s="75"/>
      <c r="DY10" s="6"/>
      <c r="DZ10" s="48"/>
      <c r="EA10" s="75"/>
      <c r="EB10" s="6"/>
      <c r="EC10" s="48"/>
      <c r="ED10" s="75"/>
      <c r="EE10" s="6"/>
      <c r="EF10" s="48"/>
      <c r="EG10" s="75"/>
      <c r="EH10" s="6"/>
      <c r="EI10" s="48"/>
      <c r="EJ10" s="75"/>
      <c r="EK10" s="6"/>
      <c r="EL10" s="48"/>
      <c r="EM10" s="75"/>
      <c r="EN10" s="6"/>
      <c r="EO10" s="48"/>
      <c r="EP10" s="75"/>
      <c r="EQ10" s="6"/>
      <c r="ER10" s="48"/>
      <c r="ES10" s="75"/>
      <c r="ET10" s="6"/>
      <c r="EU10" s="48"/>
      <c r="EV10" s="75"/>
      <c r="EW10" s="6"/>
      <c r="EX10" s="48"/>
      <c r="EY10" s="75"/>
      <c r="EZ10" s="6"/>
      <c r="FA10" s="48"/>
      <c r="FB10" s="75"/>
      <c r="FC10" s="6"/>
      <c r="FD10" s="48"/>
      <c r="FE10" s="75"/>
      <c r="FF10" s="6"/>
      <c r="FG10" s="48"/>
      <c r="FH10" s="75"/>
      <c r="FI10" s="6"/>
      <c r="FJ10" s="48"/>
    </row>
    <row r="11" ht="15.75" customHeight="1">
      <c r="A11" s="19" t="s">
        <v>27</v>
      </c>
      <c r="B11" s="9">
        <f t="shared" ref="B11:C11" si="251">SUM(B12:B50)</f>
        <v>0</v>
      </c>
      <c r="C11" s="9">
        <f t="shared" si="251"/>
        <v>0</v>
      </c>
      <c r="D11" s="9">
        <f t="shared" ref="D11:D42" si="254">C11-B11</f>
        <v>0</v>
      </c>
      <c r="E11" s="99">
        <f t="shared" ref="E11:F11" si="252">SUM(E12:E50)</f>
        <v>0</v>
      </c>
      <c r="F11" s="100">
        <f t="shared" si="252"/>
        <v>0</v>
      </c>
      <c r="G11" s="100">
        <f t="shared" ref="G11:G42" si="255">F11-E11</f>
        <v>0</v>
      </c>
      <c r="H11" s="101">
        <f t="shared" ref="H11:FJ11" si="253">SUM(H12:H50)</f>
        <v>0</v>
      </c>
      <c r="I11" s="102">
        <f t="shared" si="253"/>
        <v>0</v>
      </c>
      <c r="J11" s="103">
        <f t="shared" si="253"/>
        <v>0</v>
      </c>
      <c r="K11" s="104">
        <f t="shared" si="253"/>
        <v>0</v>
      </c>
      <c r="L11" s="10">
        <f t="shared" si="253"/>
        <v>0</v>
      </c>
      <c r="M11" s="105">
        <f t="shared" si="253"/>
        <v>0</v>
      </c>
      <c r="N11" s="106">
        <f t="shared" si="253"/>
        <v>0</v>
      </c>
      <c r="O11" s="9">
        <f t="shared" si="253"/>
        <v>0</v>
      </c>
      <c r="P11" s="107">
        <f t="shared" si="253"/>
        <v>0</v>
      </c>
      <c r="Q11" s="104">
        <f t="shared" si="253"/>
        <v>0</v>
      </c>
      <c r="R11" s="10">
        <f t="shared" si="253"/>
        <v>0</v>
      </c>
      <c r="S11" s="105">
        <f t="shared" si="253"/>
        <v>0</v>
      </c>
      <c r="T11" s="106">
        <f t="shared" si="253"/>
        <v>0</v>
      </c>
      <c r="U11" s="9">
        <f t="shared" si="253"/>
        <v>0</v>
      </c>
      <c r="V11" s="107">
        <f t="shared" si="253"/>
        <v>0</v>
      </c>
      <c r="W11" s="104">
        <f t="shared" si="253"/>
        <v>0</v>
      </c>
      <c r="X11" s="10">
        <f t="shared" si="253"/>
        <v>0</v>
      </c>
      <c r="Y11" s="105">
        <f t="shared" si="253"/>
        <v>0</v>
      </c>
      <c r="Z11" s="106">
        <f t="shared" si="253"/>
        <v>0</v>
      </c>
      <c r="AA11" s="9">
        <f t="shared" si="253"/>
        <v>0</v>
      </c>
      <c r="AB11" s="107">
        <f t="shared" si="253"/>
        <v>0</v>
      </c>
      <c r="AC11" s="104">
        <f t="shared" si="253"/>
        <v>0</v>
      </c>
      <c r="AD11" s="10">
        <f t="shared" si="253"/>
        <v>0</v>
      </c>
      <c r="AE11" s="105">
        <f t="shared" si="253"/>
        <v>0</v>
      </c>
      <c r="AF11" s="106">
        <f t="shared" si="253"/>
        <v>0</v>
      </c>
      <c r="AG11" s="9">
        <f t="shared" si="253"/>
        <v>0</v>
      </c>
      <c r="AH11" s="107">
        <f t="shared" si="253"/>
        <v>0</v>
      </c>
      <c r="AI11" s="104">
        <f t="shared" si="253"/>
        <v>0</v>
      </c>
      <c r="AJ11" s="10">
        <f t="shared" si="253"/>
        <v>0</v>
      </c>
      <c r="AK11" s="105">
        <f t="shared" si="253"/>
        <v>0</v>
      </c>
      <c r="AL11" s="106">
        <f t="shared" si="253"/>
        <v>0</v>
      </c>
      <c r="AM11" s="9">
        <f t="shared" si="253"/>
        <v>0</v>
      </c>
      <c r="AN11" s="107">
        <f t="shared" si="253"/>
        <v>0</v>
      </c>
      <c r="AO11" s="104">
        <f t="shared" si="253"/>
        <v>0</v>
      </c>
      <c r="AP11" s="10">
        <f t="shared" si="253"/>
        <v>0</v>
      </c>
      <c r="AQ11" s="105">
        <f t="shared" si="253"/>
        <v>0</v>
      </c>
      <c r="AR11" s="106">
        <f t="shared" si="253"/>
        <v>0</v>
      </c>
      <c r="AS11" s="9">
        <f t="shared" si="253"/>
        <v>0</v>
      </c>
      <c r="AT11" s="107">
        <f t="shared" si="253"/>
        <v>0</v>
      </c>
      <c r="AU11" s="104">
        <f t="shared" si="253"/>
        <v>0</v>
      </c>
      <c r="AV11" s="10">
        <f t="shared" si="253"/>
        <v>0</v>
      </c>
      <c r="AW11" s="105">
        <f t="shared" si="253"/>
        <v>0</v>
      </c>
      <c r="AX11" s="106">
        <f t="shared" si="253"/>
        <v>0</v>
      </c>
      <c r="AY11" s="9">
        <f t="shared" si="253"/>
        <v>0</v>
      </c>
      <c r="AZ11" s="107">
        <f t="shared" si="253"/>
        <v>0</v>
      </c>
      <c r="BA11" s="104">
        <f t="shared" si="253"/>
        <v>0</v>
      </c>
      <c r="BB11" s="10">
        <f t="shared" si="253"/>
        <v>0</v>
      </c>
      <c r="BC11" s="105">
        <f t="shared" si="253"/>
        <v>0</v>
      </c>
      <c r="BD11" s="106">
        <f t="shared" si="253"/>
        <v>0</v>
      </c>
      <c r="BE11" s="9">
        <f t="shared" si="253"/>
        <v>0</v>
      </c>
      <c r="BF11" s="107">
        <f t="shared" si="253"/>
        <v>0</v>
      </c>
      <c r="BG11" s="104">
        <f t="shared" si="253"/>
        <v>0</v>
      </c>
      <c r="BH11" s="10">
        <f t="shared" si="253"/>
        <v>0</v>
      </c>
      <c r="BI11" s="105">
        <f t="shared" si="253"/>
        <v>0</v>
      </c>
      <c r="BJ11" s="106">
        <f t="shared" si="253"/>
        <v>0</v>
      </c>
      <c r="BK11" s="9">
        <f t="shared" si="253"/>
        <v>0</v>
      </c>
      <c r="BL11" s="107">
        <f t="shared" si="253"/>
        <v>0</v>
      </c>
      <c r="BM11" s="104">
        <f t="shared" si="253"/>
        <v>0</v>
      </c>
      <c r="BN11" s="10">
        <f t="shared" si="253"/>
        <v>0</v>
      </c>
      <c r="BO11" s="105">
        <f t="shared" si="253"/>
        <v>0</v>
      </c>
      <c r="BP11" s="106">
        <f t="shared" si="253"/>
        <v>0</v>
      </c>
      <c r="BQ11" s="9">
        <f t="shared" si="253"/>
        <v>0</v>
      </c>
      <c r="BR11" s="107">
        <f t="shared" si="253"/>
        <v>0</v>
      </c>
      <c r="BS11" s="104">
        <f t="shared" si="253"/>
        <v>0</v>
      </c>
      <c r="BT11" s="10">
        <f t="shared" si="253"/>
        <v>0</v>
      </c>
      <c r="BU11" s="105">
        <f t="shared" si="253"/>
        <v>0</v>
      </c>
      <c r="BV11" s="106">
        <f t="shared" si="253"/>
        <v>0</v>
      </c>
      <c r="BW11" s="9">
        <f t="shared" si="253"/>
        <v>0</v>
      </c>
      <c r="BX11" s="107">
        <f t="shared" si="253"/>
        <v>0</v>
      </c>
      <c r="BY11" s="104">
        <f t="shared" si="253"/>
        <v>0</v>
      </c>
      <c r="BZ11" s="10">
        <f t="shared" si="253"/>
        <v>0</v>
      </c>
      <c r="CA11" s="105">
        <f t="shared" si="253"/>
        <v>0</v>
      </c>
      <c r="CB11" s="106">
        <f t="shared" si="253"/>
        <v>0</v>
      </c>
      <c r="CC11" s="9">
        <f t="shared" si="253"/>
        <v>0</v>
      </c>
      <c r="CD11" s="107">
        <f t="shared" si="253"/>
        <v>0</v>
      </c>
      <c r="CE11" s="104">
        <f t="shared" si="253"/>
        <v>0</v>
      </c>
      <c r="CF11" s="10">
        <f t="shared" si="253"/>
        <v>0</v>
      </c>
      <c r="CG11" s="105">
        <f t="shared" si="253"/>
        <v>0</v>
      </c>
      <c r="CH11" s="106">
        <f t="shared" si="253"/>
        <v>0</v>
      </c>
      <c r="CI11" s="9">
        <f t="shared" si="253"/>
        <v>0</v>
      </c>
      <c r="CJ11" s="107">
        <f t="shared" si="253"/>
        <v>0</v>
      </c>
      <c r="CK11" s="104">
        <f t="shared" si="253"/>
        <v>0</v>
      </c>
      <c r="CL11" s="10">
        <f t="shared" si="253"/>
        <v>0</v>
      </c>
      <c r="CM11" s="105">
        <f t="shared" si="253"/>
        <v>0</v>
      </c>
      <c r="CN11" s="106">
        <f t="shared" si="253"/>
        <v>0</v>
      </c>
      <c r="CO11" s="9">
        <f t="shared" si="253"/>
        <v>0</v>
      </c>
      <c r="CP11" s="107">
        <f t="shared" si="253"/>
        <v>0</v>
      </c>
      <c r="CQ11" s="104">
        <f t="shared" si="253"/>
        <v>0</v>
      </c>
      <c r="CR11" s="10">
        <f t="shared" si="253"/>
        <v>0</v>
      </c>
      <c r="CS11" s="105">
        <f t="shared" si="253"/>
        <v>0</v>
      </c>
      <c r="CT11" s="106">
        <f t="shared" si="253"/>
        <v>0</v>
      </c>
      <c r="CU11" s="9">
        <f t="shared" si="253"/>
        <v>0</v>
      </c>
      <c r="CV11" s="107">
        <f t="shared" si="253"/>
        <v>0</v>
      </c>
      <c r="CW11" s="104">
        <f t="shared" si="253"/>
        <v>0</v>
      </c>
      <c r="CX11" s="10">
        <f t="shared" si="253"/>
        <v>0</v>
      </c>
      <c r="CY11" s="105">
        <f t="shared" si="253"/>
        <v>0</v>
      </c>
      <c r="CZ11" s="106">
        <f t="shared" si="253"/>
        <v>0</v>
      </c>
      <c r="DA11" s="9">
        <f t="shared" si="253"/>
        <v>0</v>
      </c>
      <c r="DB11" s="107">
        <f t="shared" si="253"/>
        <v>0</v>
      </c>
      <c r="DC11" s="104">
        <f t="shared" si="253"/>
        <v>0</v>
      </c>
      <c r="DD11" s="10">
        <f t="shared" si="253"/>
        <v>0</v>
      </c>
      <c r="DE11" s="105">
        <f t="shared" si="253"/>
        <v>0</v>
      </c>
      <c r="DF11" s="106">
        <f t="shared" si="253"/>
        <v>0</v>
      </c>
      <c r="DG11" s="9">
        <f t="shared" si="253"/>
        <v>0</v>
      </c>
      <c r="DH11" s="107">
        <f t="shared" si="253"/>
        <v>0</v>
      </c>
      <c r="DI11" s="104">
        <f t="shared" si="253"/>
        <v>0</v>
      </c>
      <c r="DJ11" s="10">
        <f t="shared" si="253"/>
        <v>0</v>
      </c>
      <c r="DK11" s="105">
        <f t="shared" si="253"/>
        <v>0</v>
      </c>
      <c r="DL11" s="106">
        <f t="shared" si="253"/>
        <v>0</v>
      </c>
      <c r="DM11" s="9">
        <f t="shared" si="253"/>
        <v>0</v>
      </c>
      <c r="DN11" s="107">
        <f t="shared" si="253"/>
        <v>0</v>
      </c>
      <c r="DO11" s="104">
        <f t="shared" si="253"/>
        <v>0</v>
      </c>
      <c r="DP11" s="10">
        <f t="shared" si="253"/>
        <v>0</v>
      </c>
      <c r="DQ11" s="105">
        <f t="shared" si="253"/>
        <v>0</v>
      </c>
      <c r="DR11" s="106">
        <f t="shared" si="253"/>
        <v>0</v>
      </c>
      <c r="DS11" s="9">
        <f t="shared" si="253"/>
        <v>0</v>
      </c>
      <c r="DT11" s="107">
        <f t="shared" si="253"/>
        <v>0</v>
      </c>
      <c r="DU11" s="104">
        <f t="shared" si="253"/>
        <v>0</v>
      </c>
      <c r="DV11" s="10">
        <f t="shared" si="253"/>
        <v>0</v>
      </c>
      <c r="DW11" s="105">
        <f t="shared" si="253"/>
        <v>0</v>
      </c>
      <c r="DX11" s="106">
        <f t="shared" si="253"/>
        <v>0</v>
      </c>
      <c r="DY11" s="9">
        <f t="shared" si="253"/>
        <v>0</v>
      </c>
      <c r="DZ11" s="107">
        <f t="shared" si="253"/>
        <v>0</v>
      </c>
      <c r="EA11" s="104">
        <f t="shared" si="253"/>
        <v>0</v>
      </c>
      <c r="EB11" s="10">
        <f t="shared" si="253"/>
        <v>0</v>
      </c>
      <c r="EC11" s="105">
        <f t="shared" si="253"/>
        <v>0</v>
      </c>
      <c r="ED11" s="106">
        <f t="shared" si="253"/>
        <v>0</v>
      </c>
      <c r="EE11" s="9">
        <f t="shared" si="253"/>
        <v>0</v>
      </c>
      <c r="EF11" s="107">
        <f t="shared" si="253"/>
        <v>0</v>
      </c>
      <c r="EG11" s="104">
        <f t="shared" si="253"/>
        <v>0</v>
      </c>
      <c r="EH11" s="10">
        <f t="shared" si="253"/>
        <v>0</v>
      </c>
      <c r="EI11" s="105">
        <f t="shared" si="253"/>
        <v>0</v>
      </c>
      <c r="EJ11" s="106">
        <f t="shared" si="253"/>
        <v>0</v>
      </c>
      <c r="EK11" s="9">
        <f t="shared" si="253"/>
        <v>0</v>
      </c>
      <c r="EL11" s="107">
        <f t="shared" si="253"/>
        <v>0</v>
      </c>
      <c r="EM11" s="104">
        <f t="shared" si="253"/>
        <v>0</v>
      </c>
      <c r="EN11" s="10">
        <f t="shared" si="253"/>
        <v>0</v>
      </c>
      <c r="EO11" s="105">
        <f t="shared" si="253"/>
        <v>0</v>
      </c>
      <c r="EP11" s="106">
        <f t="shared" si="253"/>
        <v>0</v>
      </c>
      <c r="EQ11" s="9">
        <f t="shared" si="253"/>
        <v>0</v>
      </c>
      <c r="ER11" s="107">
        <f t="shared" si="253"/>
        <v>0</v>
      </c>
      <c r="ES11" s="104">
        <f t="shared" si="253"/>
        <v>0</v>
      </c>
      <c r="ET11" s="10">
        <f t="shared" si="253"/>
        <v>0</v>
      </c>
      <c r="EU11" s="105">
        <f t="shared" si="253"/>
        <v>0</v>
      </c>
      <c r="EV11" s="106">
        <f t="shared" si="253"/>
        <v>0</v>
      </c>
      <c r="EW11" s="9">
        <f t="shared" si="253"/>
        <v>0</v>
      </c>
      <c r="EX11" s="107">
        <f t="shared" si="253"/>
        <v>0</v>
      </c>
      <c r="EY11" s="104">
        <f t="shared" si="253"/>
        <v>0</v>
      </c>
      <c r="EZ11" s="10">
        <f t="shared" si="253"/>
        <v>0</v>
      </c>
      <c r="FA11" s="105">
        <f t="shared" si="253"/>
        <v>0</v>
      </c>
      <c r="FB11" s="106">
        <f t="shared" si="253"/>
        <v>0</v>
      </c>
      <c r="FC11" s="9">
        <f t="shared" si="253"/>
        <v>0</v>
      </c>
      <c r="FD11" s="107">
        <f t="shared" si="253"/>
        <v>0</v>
      </c>
      <c r="FE11" s="104">
        <f t="shared" si="253"/>
        <v>0</v>
      </c>
      <c r="FF11" s="10">
        <f t="shared" si="253"/>
        <v>0</v>
      </c>
      <c r="FG11" s="105">
        <f t="shared" si="253"/>
        <v>0</v>
      </c>
      <c r="FH11" s="106">
        <f t="shared" si="253"/>
        <v>0</v>
      </c>
      <c r="FI11" s="9">
        <f t="shared" si="253"/>
        <v>0</v>
      </c>
      <c r="FJ11" s="107">
        <f t="shared" si="253"/>
        <v>0</v>
      </c>
    </row>
    <row r="12" ht="15.75" customHeight="1">
      <c r="A12" s="6" t="str">
        <f>Menus!B4</f>
        <v/>
      </c>
      <c r="B12" s="16">
        <f t="shared" ref="B12:B50" si="256">IFERROR(SUMIF($H$2:FJ$2,$H$2,H12:FJ12),"")</f>
        <v>0</v>
      </c>
      <c r="C12" s="16">
        <f t="shared" ref="C12:C50" si="257">IFERROR(SUMIF($H$2:FJ$2,$I$2,H12:FJ12),"")</f>
        <v>0</v>
      </c>
      <c r="D12" s="16">
        <f t="shared" si="254"/>
        <v>0</v>
      </c>
      <c r="E12" s="87" t="str">
        <f t="shared" ref="E12:E50" si="258">IFERROR(
  IF(
    INDEX(
      INDIRECT($B$1),
      MATCH(RIGHT($A12, LEN($A12)-4), INDIRECT($C$1), 0),
      MATCH(E$1, INDIRECT($D$1), 0)
    ) = "-",
    "",
    INDEX(
      INDIRECT($B$1),
      MATCH(RIGHT($A12, LEN($A12)-4), INDIRECT($C$1), 0),
      MATCH(E$1, INDIRECT($D$1), 0)
    )
  ),
"")
</f>
        <v/>
      </c>
      <c r="F12" s="88" t="str">
        <f t="shared" ref="F12:F50" si="259">IFERROR(
  IF(
    INDEX(
      INDIRECT($B$3),
      MATCH(RIGHT($A12, LEN($A12)-4), INDIRECT($C$3), 0),
      MATCH(E$1, INDIRECT($D$3), 0)
    ) = "-",
    "",
    INDEX(
      INDIRECT($B$3),
      MATCH(RIGHT($A12, LEN($A12)-4), INDIRECT($C$3), 0),
      MATCH(E$1, INDIRECT($D$3), 0)
    )
  ),
"")
</f>
        <v/>
      </c>
      <c r="G12" s="89">
        <f t="shared" si="255"/>
        <v>0</v>
      </c>
      <c r="H12" s="90" t="str">
        <f t="shared" ref="H12:H50" si="260">IFERROR(
  IF(
    INDEX(
      INDIRECT($B$1),
      MATCH(RIGHT($A12, LEN($A12)-4), INDIRECT($C$1), 0),
      MATCH(H$1, INDIRECT($D$1), 0)
    ) = "-",
    "",
    INDEX(
      INDIRECT($B$1),
      MATCH(RIGHT($A12, LEN($A12)-4), INDIRECT($C$1), 0),
      MATCH(H$1, INDIRECT($D$1), 0)
    )
  ),
"")
</f>
        <v/>
      </c>
      <c r="I12" s="91" t="str">
        <f t="shared" ref="I12:I50" si="261">IFERROR(
  IF(
    INDEX(
      INDIRECT($B$3),
      MATCH(RIGHT($A12, LEN($A12)-4), INDIRECT($C$3), 0),
      MATCH(H$1, INDIRECT($D$3), 0)
    ) = "-",
    "",
    INDEX(
      INDIRECT($B$3),
      MATCH(RIGHT($A12, LEN($A12)-4), INDIRECT($C$3), 0),
      MATCH(H$1, INDIRECT($D$3), 0)
    )
  ),
"")
</f>
        <v/>
      </c>
      <c r="J12" s="92">
        <f t="shared" ref="J12:J50" si="262">IFERROR(H12-I12,"")</f>
        <v>0</v>
      </c>
      <c r="K12" s="93" t="str">
        <f t="shared" ref="K12:K50" si="263">IFERROR(
  IF(
    INDEX(
      INDIRECT($B$1),
      MATCH(RIGHT($A12, LEN($A12)-4), INDIRECT($C$1), 0),
      MATCH(K$1, INDIRECT($D$1), 0)
    ) = "-",
    "",
    INDEX(
      INDIRECT($B$1),
      MATCH(RIGHT($A12, LEN($A12)-4), INDIRECT($C$1), 0),
      MATCH(K$1, INDIRECT($D$1), 0)
    )
  ),
"")
</f>
        <v/>
      </c>
      <c r="L12" s="94" t="str">
        <f t="shared" ref="L12:L50" si="264">IFERROR(
  IF(
    INDEX(
      INDIRECT($B$3),
      MATCH(RIGHT($A12, LEN($A12)-4), INDIRECT($C$3), 0),
      MATCH(K$1, INDIRECT($D$3), 0)
    ) = "-",
    "",
    INDEX(
      INDIRECT($B$3),
      MATCH(RIGHT($A12, LEN($A12)-4), INDIRECT($C$3), 0),
      MATCH(K$1, INDIRECT($D$3), 0)
    )
  ),
"")
</f>
        <v/>
      </c>
      <c r="M12" s="95">
        <f t="shared" ref="M12:M50" si="265">IFERROR(K12-L12,"")</f>
        <v>0</v>
      </c>
      <c r="N12" s="96" t="str">
        <f t="shared" ref="N12:N50" si="266">IFERROR(
  IF(
    INDEX(
      INDIRECT($B$1),
      MATCH(RIGHT($A12, LEN($A12)-4), INDIRECT($C$1), 0),
      MATCH(N$1, INDIRECT($D$1), 0)
    ) = "-",
    "",
    INDEX(
      INDIRECT($B$1),
      MATCH(RIGHT($A12, LEN($A12)-4), INDIRECT($C$1), 0),
      MATCH(N$1, INDIRECT($D$1), 0)
    )
  ),
"")
</f>
        <v/>
      </c>
      <c r="O12" s="97" t="str">
        <f t="shared" ref="O12:O50" si="267">IFERROR(
  IF(
    INDEX(
      INDIRECT($B$3),
      MATCH(RIGHT($A12, LEN($A12)-4), INDIRECT($C$3), 0),
      MATCH(N$1, INDIRECT($D$3), 0)
    ) = "-",
    "",
    INDEX(
      INDIRECT($B$3),
      MATCH(RIGHT($A12, LEN($A12)-4), INDIRECT($C$3), 0),
      MATCH(N$1, INDIRECT($D$3), 0)
    )
  ),
"")
</f>
        <v/>
      </c>
      <c r="P12" s="98">
        <f t="shared" ref="P12:P50" si="268">IFERROR(N12-O12,"")</f>
        <v>0</v>
      </c>
      <c r="Q12" s="93" t="str">
        <f t="shared" ref="Q12:Q50" si="269">IFERROR(
  IF(
    INDEX(
      INDIRECT($B$1),
      MATCH(RIGHT($A12, LEN($A12)-4), INDIRECT($C$1), 0),
      MATCH(Q$1, INDIRECT($D$1), 0)
    ) = "-",
    "",
    INDEX(
      INDIRECT($B$1),
      MATCH(RIGHT($A12, LEN($A12)-4), INDIRECT($C$1), 0),
      MATCH(Q$1, INDIRECT($D$1), 0)
    )
  ),
"")
</f>
        <v/>
      </c>
      <c r="R12" s="94" t="str">
        <f t="shared" ref="R12:R50" si="270">IFERROR(
  IF(
    INDEX(
      INDIRECT($B$3),
      MATCH(RIGHT($A12, LEN($A12)-4), INDIRECT($C$3), 0),
      MATCH(Q$1, INDIRECT($D$3), 0)
    ) = "-",
    "",
    INDEX(
      INDIRECT($B$3),
      MATCH(RIGHT($A12, LEN($A12)-4), INDIRECT($C$3), 0),
      MATCH(Q$1, INDIRECT($D$3), 0)
    )
  ),
"")
</f>
        <v/>
      </c>
      <c r="S12" s="95">
        <f t="shared" ref="S12:S50" si="271">IFERROR(Q12-R12,"")</f>
        <v>0</v>
      </c>
      <c r="T12" s="96" t="str">
        <f t="shared" ref="T12:T50" si="272">IFERROR(
  IF(
    INDEX(
      INDIRECT($B$1),
      MATCH(RIGHT($A12, LEN($A12)-4), INDIRECT($C$1), 0),
      MATCH(T$1, INDIRECT($D$1), 0)
    ) = "-",
    "",
    INDEX(
      INDIRECT($B$1),
      MATCH(RIGHT($A12, LEN($A12)-4), INDIRECT($C$1), 0),
      MATCH(T$1, INDIRECT($D$1), 0)
    )
  ),
"")
</f>
        <v/>
      </c>
      <c r="U12" s="97" t="str">
        <f t="shared" ref="U12:U50" si="273">IFERROR(
  IF(
    INDEX(
      INDIRECT($B$3),
      MATCH(RIGHT($A12, LEN($A12)-4), INDIRECT($C$3), 0),
      MATCH(T$1, INDIRECT($D$3), 0)
    ) = "-",
    "",
    INDEX(
      INDIRECT($B$3),
      MATCH(RIGHT($A12, LEN($A12)-4), INDIRECT($C$3), 0),
      MATCH(T$1, INDIRECT($D$3), 0)
    )
  ),
"")
</f>
        <v/>
      </c>
      <c r="V12" s="98">
        <f t="shared" ref="V12:V50" si="274">IFERROR(T12-U12,"")</f>
        <v>0</v>
      </c>
      <c r="W12" s="93" t="str">
        <f t="shared" ref="W12:W50" si="275">IFERROR(
  IF(
    INDEX(
      INDIRECT($B$1),
      MATCH(RIGHT($A12, LEN($A12)-4), INDIRECT($C$1), 0),
      MATCH(W$1, INDIRECT($D$1), 0)
    ) = "-",
    "",
    INDEX(
      INDIRECT($B$1),
      MATCH(RIGHT($A12, LEN($A12)-4), INDIRECT($C$1), 0),
      MATCH(W$1, INDIRECT($D$1), 0)
    )
  ),
"")
</f>
        <v/>
      </c>
      <c r="X12" s="94" t="str">
        <f t="shared" ref="X12:X50" si="276">IFERROR(
  IF(
    INDEX(
      INDIRECT($B$3),
      MATCH(RIGHT($A12, LEN($A12)-4), INDIRECT($C$3), 0),
      MATCH(W$1, INDIRECT($D$3), 0)
    ) = "-",
    "",
    INDEX(
      INDIRECT($B$3),
      MATCH(RIGHT($A12, LEN($A12)-4), INDIRECT($C$3), 0),
      MATCH(W$1, INDIRECT($D$3), 0)
    )
  ),
"")
</f>
        <v/>
      </c>
      <c r="Y12" s="95">
        <f t="shared" ref="Y12:Y50" si="277">IFERROR(W12-X12,"")</f>
        <v>0</v>
      </c>
      <c r="Z12" s="96" t="str">
        <f t="shared" ref="Z12:Z50" si="278">IFERROR(
  IF(
    INDEX(
      INDIRECT($B$1),
      MATCH(RIGHT($A12, LEN($A12)-4), INDIRECT($C$1), 0),
      MATCH(Z$1, INDIRECT($D$1), 0)
    ) = "-",
    "",
    INDEX(
      INDIRECT($B$1),
      MATCH(RIGHT($A12, LEN($A12)-4), INDIRECT($C$1), 0),
      MATCH(Z$1, INDIRECT($D$1), 0)
    )
  ),
"")
</f>
        <v/>
      </c>
      <c r="AA12" s="97" t="str">
        <f t="shared" ref="AA12:AA50" si="279">IFERROR(
  IF(
    INDEX(
      INDIRECT($B$3),
      MATCH(RIGHT($A12, LEN($A12)-4), INDIRECT($C$3), 0),
      MATCH(Z$1, INDIRECT($D$3), 0)
    ) = "-",
    "",
    INDEX(
      INDIRECT($B$3),
      MATCH(RIGHT($A12, LEN($A12)-4), INDIRECT($C$3), 0),
      MATCH(Z$1, INDIRECT($D$3), 0)
    )
  ),
"")
</f>
        <v/>
      </c>
      <c r="AB12" s="98">
        <f t="shared" ref="AB12:AB50" si="280">IFERROR(Z12-AA12,"")</f>
        <v>0</v>
      </c>
      <c r="AC12" s="93" t="str">
        <f t="shared" ref="AC12:AC50" si="281">IFERROR(
  IF(
    INDEX(
      INDIRECT($B$1),
      MATCH(RIGHT($A12, LEN($A12)-4), INDIRECT($C$1), 0),
      MATCH(AC$1, INDIRECT($D$1), 0)
    ) = "-",
    "",
    INDEX(
      INDIRECT($B$1),
      MATCH(RIGHT($A12, LEN($A12)-4), INDIRECT($C$1), 0),
      MATCH(AC$1, INDIRECT($D$1), 0)
    )
  ),
"")
</f>
        <v/>
      </c>
      <c r="AD12" s="94" t="str">
        <f t="shared" ref="AD12:AD50" si="282">IFERROR(
  IF(
    INDEX(
      INDIRECT($B$3),
      MATCH(RIGHT($A12, LEN($A12)-4), INDIRECT($C$3), 0),
      MATCH(AC$1, INDIRECT($D$3), 0)
    ) = "-",
    "",
    INDEX(
      INDIRECT($B$3),
      MATCH(RIGHT($A12, LEN($A12)-4), INDIRECT($C$3), 0),
      MATCH(AC$1, INDIRECT($D$3), 0)
    )
  ),
"")
</f>
        <v/>
      </c>
      <c r="AE12" s="95">
        <f t="shared" ref="AE12:AE50" si="283">IFERROR(AC12-AD12,"")</f>
        <v>0</v>
      </c>
      <c r="AF12" s="96" t="str">
        <f t="shared" ref="AF12:AF50" si="284">IFERROR(
  IF(
    INDEX(
      INDIRECT($B$1),
      MATCH(RIGHT($A12, LEN($A12)-4), INDIRECT($C$1), 0),
      MATCH(AF$1, INDIRECT($D$1), 0)
    ) = "-",
    "",
    INDEX(
      INDIRECT($B$1),
      MATCH(RIGHT($A12, LEN($A12)-4), INDIRECT($C$1), 0),
      MATCH(AF$1, INDIRECT($D$1), 0)
    )
  ),
"")
</f>
        <v/>
      </c>
      <c r="AG12" s="97" t="str">
        <f t="shared" ref="AG12:AG50" si="285">IFERROR(
  IF(
    INDEX(
      INDIRECT($B$3),
      MATCH(RIGHT($A12, LEN($A12)-4), INDIRECT($C$3), 0),
      MATCH(AF$1, INDIRECT($D$3), 0)
    ) = "-",
    "",
    INDEX(
      INDIRECT($B$3),
      MATCH(RIGHT($A12, LEN($A12)-4), INDIRECT($C$3), 0),
      MATCH(AF$1, INDIRECT($D$3), 0)
    )
  ),
"")
</f>
        <v/>
      </c>
      <c r="AH12" s="98">
        <f t="shared" ref="AH12:AH50" si="286">IFERROR(AF12-AG12,"")</f>
        <v>0</v>
      </c>
      <c r="AI12" s="93" t="str">
        <f t="shared" ref="AI12:AI50" si="287">IFERROR(
  IF(
    INDEX(
      INDIRECT($B$1),
      MATCH(RIGHT($A12, LEN($A12)-4), INDIRECT($C$1), 0),
      MATCH(AI$1, INDIRECT($D$1), 0)
    ) = "-",
    "",
    INDEX(
      INDIRECT($B$1),
      MATCH(RIGHT($A12, LEN($A12)-4), INDIRECT($C$1), 0),
      MATCH(AI$1, INDIRECT($D$1), 0)
    )
  ),
"")
</f>
        <v/>
      </c>
      <c r="AJ12" s="94" t="str">
        <f t="shared" ref="AJ12:AJ50" si="288">IFERROR(
  IF(
    INDEX(
      INDIRECT($B$3),
      MATCH(RIGHT($A12, LEN($A12)-4), INDIRECT($C$3), 0),
      MATCH(AI$1, INDIRECT($D$3), 0)
    ) = "-",
    "",
    INDEX(
      INDIRECT($B$3),
      MATCH(RIGHT($A12, LEN($A12)-4), INDIRECT($C$3), 0),
      MATCH(AI$1, INDIRECT($D$3), 0)
    )
  ),
"")
</f>
        <v/>
      </c>
      <c r="AK12" s="95">
        <f t="shared" ref="AK12:AK50" si="289">IFERROR(AI12-AJ12,"")</f>
        <v>0</v>
      </c>
      <c r="AL12" s="96" t="str">
        <f t="shared" ref="AL12:AL50" si="290">IFERROR(
  IF(
    INDEX(
      INDIRECT($B$1),
      MATCH(RIGHT($A12, LEN($A12)-4), INDIRECT($C$1), 0),
      MATCH(AL$1, INDIRECT($D$1), 0)
    ) = "-",
    "",
    INDEX(
      INDIRECT($B$1),
      MATCH(RIGHT($A12, LEN($A12)-4), INDIRECT($C$1), 0),
      MATCH(AL$1, INDIRECT($D$1), 0)
    )
  ),
"")
</f>
        <v/>
      </c>
      <c r="AM12" s="97" t="str">
        <f t="shared" ref="AM12:AM50" si="291">IFERROR(
  IF(
    INDEX(
      INDIRECT($B$3),
      MATCH(RIGHT($A12, LEN($A12)-4), INDIRECT($C$3), 0),
      MATCH(AL$1, INDIRECT($D$3), 0)
    ) = "-",
    "",
    INDEX(
      INDIRECT($B$3),
      MATCH(RIGHT($A12, LEN($A12)-4), INDIRECT($C$3), 0),
      MATCH(AL$1, INDIRECT($D$3), 0)
    )
  ),
"")
</f>
        <v/>
      </c>
      <c r="AN12" s="98">
        <f t="shared" ref="AN12:AN50" si="292">IFERROR(AL12-AM12,"")</f>
        <v>0</v>
      </c>
      <c r="AO12" s="93" t="str">
        <f t="shared" ref="AO12:AO50" si="293">IFERROR(
  IF(
    INDEX(
      INDIRECT($B$1),
      MATCH(RIGHT($A12, LEN($A12)-4), INDIRECT($C$1), 0),
      MATCH(AO$1, INDIRECT($D$1), 0)
    ) = "-",
    "",
    INDEX(
      INDIRECT($B$1),
      MATCH(RIGHT($A12, LEN($A12)-4), INDIRECT($C$1), 0),
      MATCH(AO$1, INDIRECT($D$1), 0)
    )
  ),
"")
</f>
        <v/>
      </c>
      <c r="AP12" s="94" t="str">
        <f t="shared" ref="AP12:AP50" si="294">IFERROR(
  IF(
    INDEX(
      INDIRECT($B$3),
      MATCH(RIGHT($A12, LEN($A12)-4), INDIRECT($C$3), 0),
      MATCH(AO$1, INDIRECT($D$3), 0)
    ) = "-",
    "",
    INDEX(
      INDIRECT($B$3),
      MATCH(RIGHT($A12, LEN($A12)-4), INDIRECT($C$3), 0),
      MATCH(AO$1, INDIRECT($D$3), 0)
    )
  ),
"")
</f>
        <v/>
      </c>
      <c r="AQ12" s="95">
        <f t="shared" ref="AQ12:AQ50" si="295">IFERROR(AO12-AP12,"")</f>
        <v>0</v>
      </c>
      <c r="AR12" s="96" t="str">
        <f t="shared" ref="AR12:AR50" si="296">IFERROR(
  IF(
    INDEX(
      INDIRECT($B$1),
      MATCH(RIGHT($A12, LEN($A12)-4), INDIRECT($C$1), 0),
      MATCH(AR$1, INDIRECT($D$1), 0)
    ) = "-",
    "",
    INDEX(
      INDIRECT($B$1),
      MATCH(RIGHT($A12, LEN($A12)-4), INDIRECT($C$1), 0),
      MATCH(AR$1, INDIRECT($D$1), 0)
    )
  ),
"")
</f>
        <v/>
      </c>
      <c r="AS12" s="97" t="str">
        <f t="shared" ref="AS12:AS50" si="297">IFERROR(
  IF(
    INDEX(
      INDIRECT($B$3),
      MATCH(RIGHT($A12, LEN($A12)-4), INDIRECT($C$3), 0),
      MATCH(AR$1, INDIRECT($D$3), 0)
    ) = "-",
    "",
    INDEX(
      INDIRECT($B$3),
      MATCH(RIGHT($A12, LEN($A12)-4), INDIRECT($C$3), 0),
      MATCH(AR$1, INDIRECT($D$3), 0)
    )
  ),
"")
</f>
        <v/>
      </c>
      <c r="AT12" s="98">
        <f t="shared" ref="AT12:AT50" si="298">IFERROR(AR12-AS12,"")</f>
        <v>0</v>
      </c>
      <c r="AU12" s="93" t="str">
        <f t="shared" ref="AU12:AU50" si="299">IFERROR(
  IF(
    INDEX(
      INDIRECT($B$1),
      MATCH(RIGHT($A12, LEN($A12)-4), INDIRECT($C$1), 0),
      MATCH(AU$1, INDIRECT($D$1), 0)
    ) = "-",
    "",
    INDEX(
      INDIRECT($B$1),
      MATCH(RIGHT($A12, LEN($A12)-4), INDIRECT($C$1), 0),
      MATCH(AU$1, INDIRECT($D$1), 0)
    )
  ),
"")
</f>
        <v/>
      </c>
      <c r="AV12" s="94" t="str">
        <f t="shared" ref="AV12:AV50" si="300">IFERROR(
  IF(
    INDEX(
      INDIRECT($B$3),
      MATCH(RIGHT($A12, LEN($A12)-4), INDIRECT($C$3), 0),
      MATCH(AU$1, INDIRECT($D$3), 0)
    ) = "-",
    "",
    INDEX(
      INDIRECT($B$3),
      MATCH(RIGHT($A12, LEN($A12)-4), INDIRECT($C$3), 0),
      MATCH(AU$1, INDIRECT($D$3), 0)
    )
  ),
"")
</f>
        <v/>
      </c>
      <c r="AW12" s="95">
        <f t="shared" ref="AW12:AW50" si="301">IFERROR(AU12-AV12,"")</f>
        <v>0</v>
      </c>
      <c r="AX12" s="96" t="str">
        <f t="shared" ref="AX12:AX50" si="302">IFERROR(
  IF(
    INDEX(
      INDIRECT($B$1),
      MATCH(RIGHT($A12, LEN($A12)-4), INDIRECT($C$1), 0),
      MATCH(AX$1, INDIRECT($D$1), 0)
    ) = "-",
    "",
    INDEX(
      INDIRECT($B$1),
      MATCH(RIGHT($A12, LEN($A12)-4), INDIRECT($C$1), 0),
      MATCH(AX$1, INDIRECT($D$1), 0)
    )
  ),
"")
</f>
        <v/>
      </c>
      <c r="AY12" s="97" t="str">
        <f t="shared" ref="AY12:AY50" si="303">IFERROR(
  IF(
    INDEX(
      INDIRECT($B$3),
      MATCH(RIGHT($A12, LEN($A12)-4), INDIRECT($C$3), 0),
      MATCH(AX$1, INDIRECT($D$3), 0)
    ) = "-",
    "",
    INDEX(
      INDIRECT($B$3),
      MATCH(RIGHT($A12, LEN($A12)-4), INDIRECT($C$3), 0),
      MATCH(AX$1, INDIRECT($D$3), 0)
    )
  ),
"")
</f>
        <v/>
      </c>
      <c r="AZ12" s="98">
        <f t="shared" ref="AZ12:AZ50" si="304">IFERROR(AX12-AY12,"")</f>
        <v>0</v>
      </c>
      <c r="BA12" s="93" t="str">
        <f t="shared" ref="BA12:BA50" si="305">IFERROR(
  IF(
    INDEX(
      INDIRECT($B$1),
      MATCH(RIGHT($A12, LEN($A12)-4), INDIRECT($C$1), 0),
      MATCH(BA$1, INDIRECT($D$1), 0)
    ) = "-",
    "",
    INDEX(
      INDIRECT($B$1),
      MATCH(RIGHT($A12, LEN($A12)-4), INDIRECT($C$1), 0),
      MATCH(BA$1, INDIRECT($D$1), 0)
    )
  ),
"")
</f>
        <v/>
      </c>
      <c r="BB12" s="94" t="str">
        <f t="shared" ref="BB12:BB50" si="306">IFERROR(
  IF(
    INDEX(
      INDIRECT($B$3),
      MATCH(RIGHT($A12, LEN($A12)-4), INDIRECT($C$3), 0),
      MATCH(BA$1, INDIRECT($D$3), 0)
    ) = "-",
    "",
    INDEX(
      INDIRECT($B$3),
      MATCH(RIGHT($A12, LEN($A12)-4), INDIRECT($C$3), 0),
      MATCH(BA$1, INDIRECT($D$3), 0)
    )
  ),
"")
</f>
        <v/>
      </c>
      <c r="BC12" s="95">
        <f t="shared" ref="BC12:BC50" si="307">IFERROR(BA12-BB12,"")</f>
        <v>0</v>
      </c>
      <c r="BD12" s="96" t="str">
        <f t="shared" ref="BD12:BD50" si="308">IFERROR(
  IF(
    INDEX(
      INDIRECT($B$1),
      MATCH(RIGHT($A12, LEN($A12)-4), INDIRECT($C$1), 0),
      MATCH(BD$1, INDIRECT($D$1), 0)
    ) = "-",
    "",
    INDEX(
      INDIRECT($B$1),
      MATCH(RIGHT($A12, LEN($A12)-4), INDIRECT($C$1), 0),
      MATCH(BD$1, INDIRECT($D$1), 0)
    )
  ),
"")
</f>
        <v/>
      </c>
      <c r="BE12" s="97" t="str">
        <f t="shared" ref="BE12:BE50" si="309">IFERROR(
  IF(
    INDEX(
      INDIRECT($B$3),
      MATCH(RIGHT($A12, LEN($A12)-4), INDIRECT($C$3), 0),
      MATCH(BD$1, INDIRECT($D$3), 0)
    ) = "-",
    "",
    INDEX(
      INDIRECT($B$3),
      MATCH(RIGHT($A12, LEN($A12)-4), INDIRECT($C$3), 0),
      MATCH(BD$1, INDIRECT($D$3), 0)
    )
  ),
"")
</f>
        <v/>
      </c>
      <c r="BF12" s="98">
        <f t="shared" ref="BF12:BF50" si="310">IFERROR(BD12-BE12,"")</f>
        <v>0</v>
      </c>
      <c r="BG12" s="93" t="str">
        <f t="shared" ref="BG12:BG50" si="311">IFERROR(
  IF(
    INDEX(
      INDIRECT($B$1),
      MATCH(RIGHT($A12, LEN($A12)-4), INDIRECT($C$1), 0),
      MATCH(BG$1, INDIRECT($D$1), 0)
    ) = "-",
    "",
    INDEX(
      INDIRECT($B$1),
      MATCH(RIGHT($A12, LEN($A12)-4), INDIRECT($C$1), 0),
      MATCH(BG$1, INDIRECT($D$1), 0)
    )
  ),
"")
</f>
        <v/>
      </c>
      <c r="BH12" s="94" t="str">
        <f t="shared" ref="BH12:BH50" si="312">IFERROR(
  IF(
    INDEX(
      INDIRECT($B$3),
      MATCH(RIGHT($A12, LEN($A12)-4), INDIRECT($C$3), 0),
      MATCH(BG$1, INDIRECT($D$3), 0)
    ) = "-",
    "",
    INDEX(
      INDIRECT($B$3),
      MATCH(RIGHT($A12, LEN($A12)-4), INDIRECT($C$3), 0),
      MATCH(BG$1, INDIRECT($D$3), 0)
    )
  ),
"")
</f>
        <v/>
      </c>
      <c r="BI12" s="95">
        <f t="shared" ref="BI12:BI50" si="313">IFERROR(BG12-BH12,"")</f>
        <v>0</v>
      </c>
      <c r="BJ12" s="96" t="str">
        <f t="shared" ref="BJ12:BJ50" si="314">IFERROR(
  IF(
    INDEX(
      INDIRECT($B$1),
      MATCH(RIGHT($A12, LEN($A12)-4), INDIRECT($C$1), 0),
      MATCH(BJ$1, INDIRECT($D$1), 0)
    ) = "-",
    "",
    INDEX(
      INDIRECT($B$1),
      MATCH(RIGHT($A12, LEN($A12)-4), INDIRECT($C$1), 0),
      MATCH(BJ$1, INDIRECT($D$1), 0)
    )
  ),
"")
</f>
        <v/>
      </c>
      <c r="BK12" s="97" t="str">
        <f t="shared" ref="BK12:BK50" si="315">IFERROR(
  IF(
    INDEX(
      INDIRECT($B$3),
      MATCH(RIGHT($A12, LEN($A12)-4), INDIRECT($C$3), 0),
      MATCH(BJ$1, INDIRECT($D$3), 0)
    ) = "-",
    "",
    INDEX(
      INDIRECT($B$3),
      MATCH(RIGHT($A12, LEN($A12)-4), INDIRECT($C$3), 0),
      MATCH(BJ$1, INDIRECT($D$3), 0)
    )
  ),
"")
</f>
        <v/>
      </c>
      <c r="BL12" s="98">
        <f t="shared" ref="BL12:BL50" si="316">IFERROR(BJ12-BK12,"")</f>
        <v>0</v>
      </c>
      <c r="BM12" s="93" t="str">
        <f t="shared" ref="BM12:BM50" si="317">IFERROR(
  IF(
    INDEX(
      INDIRECT($B$1),
      MATCH(RIGHT($A12, LEN($A12)-4), INDIRECT($C$1), 0),
      MATCH(BM$1, INDIRECT($D$1), 0)
    ) = "-",
    "",
    INDEX(
      INDIRECT($B$1),
      MATCH(RIGHT($A12, LEN($A12)-4), INDIRECT($C$1), 0),
      MATCH(BM$1, INDIRECT($D$1), 0)
    )
  ),
"")
</f>
        <v/>
      </c>
      <c r="BN12" s="94" t="str">
        <f t="shared" ref="BN12:BN50" si="318">IFERROR(
  IF(
    INDEX(
      INDIRECT($B$3),
      MATCH(RIGHT($A12, LEN($A12)-4), INDIRECT($C$3), 0),
      MATCH(BM$1, INDIRECT($D$3), 0)
    ) = "-",
    "",
    INDEX(
      INDIRECT($B$3),
      MATCH(RIGHT($A12, LEN($A12)-4), INDIRECT($C$3), 0),
      MATCH(BM$1, INDIRECT($D$3), 0)
    )
  ),
"")
</f>
        <v/>
      </c>
      <c r="BO12" s="95">
        <f t="shared" ref="BO12:BO50" si="319">IFERROR(BM12-BN12,"")</f>
        <v>0</v>
      </c>
      <c r="BP12" s="96" t="str">
        <f t="shared" ref="BP12:BP50" si="320">IFERROR(
  IF(
    INDEX(
      INDIRECT($B$1),
      MATCH(RIGHT($A12, LEN($A12)-4), INDIRECT($C$1), 0),
      MATCH(BP$1, INDIRECT($D$1), 0)
    ) = "-",
    "",
    INDEX(
      INDIRECT($B$1),
      MATCH(RIGHT($A12, LEN($A12)-4), INDIRECT($C$1), 0),
      MATCH(BP$1, INDIRECT($D$1), 0)
    )
  ),
"")
</f>
        <v/>
      </c>
      <c r="BQ12" s="97" t="str">
        <f t="shared" ref="BQ12:BQ50" si="321">IFERROR(
  IF(
    INDEX(
      INDIRECT($B$3),
      MATCH(RIGHT($A12, LEN($A12)-4), INDIRECT($C$3), 0),
      MATCH(BP$1, INDIRECT($D$3), 0)
    ) = "-",
    "",
    INDEX(
      INDIRECT($B$3),
      MATCH(RIGHT($A12, LEN($A12)-4), INDIRECT($C$3), 0),
      MATCH(BP$1, INDIRECT($D$3), 0)
    )
  ),
"")
</f>
        <v/>
      </c>
      <c r="BR12" s="98">
        <f t="shared" ref="BR12:BR50" si="322">IFERROR(BP12-BQ12,"")</f>
        <v>0</v>
      </c>
      <c r="BS12" s="93" t="str">
        <f t="shared" ref="BS12:BS50" si="323">IFERROR(
  IF(
    INDEX(
      INDIRECT($B$1),
      MATCH(RIGHT($A12, LEN($A12)-4), INDIRECT($C$1), 0),
      MATCH(BS$1, INDIRECT($D$1), 0)
    ) = "-",
    "",
    INDEX(
      INDIRECT($B$1),
      MATCH(RIGHT($A12, LEN($A12)-4), INDIRECT($C$1), 0),
      MATCH(BS$1, INDIRECT($D$1), 0)
    )
  ),
"")
</f>
        <v/>
      </c>
      <c r="BT12" s="94" t="str">
        <f t="shared" ref="BT12:BT50" si="324">IFERROR(
  IF(
    INDEX(
      INDIRECT($B$3),
      MATCH(RIGHT($A12, LEN($A12)-4), INDIRECT($C$3), 0),
      MATCH(BS$1, INDIRECT($D$3), 0)
    ) = "-",
    "",
    INDEX(
      INDIRECT($B$3),
      MATCH(RIGHT($A12, LEN($A12)-4), INDIRECT($C$3), 0),
      MATCH(BS$1, INDIRECT($D$3), 0)
    )
  ),
"")
</f>
        <v/>
      </c>
      <c r="BU12" s="95">
        <f t="shared" ref="BU12:BU50" si="325">IFERROR(BS12-BT12,"")</f>
        <v>0</v>
      </c>
      <c r="BV12" s="96" t="str">
        <f t="shared" ref="BV12:BV50" si="326">IFERROR(
  IF(
    INDEX(
      INDIRECT($B$1),
      MATCH(RIGHT($A12, LEN($A12)-4), INDIRECT($C$1), 0),
      MATCH(BV$1, INDIRECT($D$1), 0)
    ) = "-",
    "",
    INDEX(
      INDIRECT($B$1),
      MATCH(RIGHT($A12, LEN($A12)-4), INDIRECT($C$1), 0),
      MATCH(BV$1, INDIRECT($D$1), 0)
    )
  ),
"")
</f>
        <v/>
      </c>
      <c r="BW12" s="97" t="str">
        <f t="shared" ref="BW12:BW50" si="327">IFERROR(
  IF(
    INDEX(
      INDIRECT($B$3),
      MATCH(RIGHT($A12, LEN($A12)-4), INDIRECT($C$3), 0),
      MATCH(BV$1, INDIRECT($D$3), 0)
    ) = "-",
    "",
    INDEX(
      INDIRECT($B$3),
      MATCH(RIGHT($A12, LEN($A12)-4), INDIRECT($C$3), 0),
      MATCH(BV$1, INDIRECT($D$3), 0)
    )
  ),
"")
</f>
        <v/>
      </c>
      <c r="BX12" s="98">
        <f t="shared" ref="BX12:BX50" si="328">IFERROR(BV12-BW12,"")</f>
        <v>0</v>
      </c>
      <c r="BY12" s="93" t="str">
        <f t="shared" ref="BY12:BY50" si="329">IFERROR(
  IF(
    INDEX(
      INDIRECT($B$1),
      MATCH(RIGHT($A12, LEN($A12)-4), INDIRECT($C$1), 0),
      MATCH(BY$1, INDIRECT($D$1), 0)
    ) = "-",
    "",
    INDEX(
      INDIRECT($B$1),
      MATCH(RIGHT($A12, LEN($A12)-4), INDIRECT($C$1), 0),
      MATCH(BY$1, INDIRECT($D$1), 0)
    )
  ),
"")
</f>
        <v/>
      </c>
      <c r="BZ12" s="94" t="str">
        <f t="shared" ref="BZ12:BZ50" si="330">IFERROR(
  IF(
    INDEX(
      INDIRECT($B$3),
      MATCH(RIGHT($A12, LEN($A12)-4), INDIRECT($C$3), 0),
      MATCH(BY$1, INDIRECT($D$3), 0)
    ) = "-",
    "",
    INDEX(
      INDIRECT($B$3),
      MATCH(RIGHT($A12, LEN($A12)-4), INDIRECT($C$3), 0),
      MATCH(BY$1, INDIRECT($D$3), 0)
    )
  ),
"")
</f>
        <v/>
      </c>
      <c r="CA12" s="95">
        <f t="shared" ref="CA12:CA50" si="331">IFERROR(BY12-BZ12,"")</f>
        <v>0</v>
      </c>
      <c r="CB12" s="96" t="str">
        <f t="shared" ref="CB12:CB50" si="332">IFERROR(
  IF(
    INDEX(
      INDIRECT($B$1),
      MATCH(RIGHT($A12, LEN($A12)-4), INDIRECT($C$1), 0),
      MATCH(CB$1, INDIRECT($D$1), 0)
    ) = "-",
    "",
    INDEX(
      INDIRECT($B$1),
      MATCH(RIGHT($A12, LEN($A12)-4), INDIRECT($C$1), 0),
      MATCH(CB$1, INDIRECT($D$1), 0)
    )
  ),
"")
</f>
        <v/>
      </c>
      <c r="CC12" s="97" t="str">
        <f t="shared" ref="CC12:CC50" si="333">IFERROR(
  IF(
    INDEX(
      INDIRECT($B$3),
      MATCH(RIGHT($A12, LEN($A12)-4), INDIRECT($C$3), 0),
      MATCH(CB$1, INDIRECT($D$3), 0)
    ) = "-",
    "",
    INDEX(
      INDIRECT($B$3),
      MATCH(RIGHT($A12, LEN($A12)-4), INDIRECT($C$3), 0),
      MATCH(CB$1, INDIRECT($D$3), 0)
    )
  ),
"")
</f>
        <v/>
      </c>
      <c r="CD12" s="98">
        <f t="shared" ref="CD12:CD50" si="334">IFERROR(CB12-CC12,"")</f>
        <v>0</v>
      </c>
      <c r="CE12" s="93" t="str">
        <f t="shared" ref="CE12:CE50" si="335">IFERROR(
  IF(
    INDEX(
      INDIRECT($B$1),
      MATCH(RIGHT($A12, LEN($A12)-4), INDIRECT($C$1), 0),
      MATCH(CE$1, INDIRECT($D$1), 0)
    ) = "-",
    "",
    INDEX(
      INDIRECT($B$1),
      MATCH(RIGHT($A12, LEN($A12)-4), INDIRECT($C$1), 0),
      MATCH(CE$1, INDIRECT($D$1), 0)
    )
  ),
"")
</f>
        <v/>
      </c>
      <c r="CF12" s="94" t="str">
        <f t="shared" ref="CF12:CF50" si="336">IFERROR(
  IF(
    INDEX(
      INDIRECT($B$3),
      MATCH(RIGHT($A12, LEN($A12)-4), INDIRECT($C$3), 0),
      MATCH(CE$1, INDIRECT($D$3), 0)
    ) = "-",
    "",
    INDEX(
      INDIRECT($B$3),
      MATCH(RIGHT($A12, LEN($A12)-4), INDIRECT($C$3), 0),
      MATCH(CE$1, INDIRECT($D$3), 0)
    )
  ),
"")
</f>
        <v/>
      </c>
      <c r="CG12" s="95">
        <f t="shared" ref="CG12:CG50" si="337">IFERROR(CE12-CF12,"")</f>
        <v>0</v>
      </c>
      <c r="CH12" s="96" t="str">
        <f t="shared" ref="CH12:CH50" si="338">IFERROR(
  IF(
    INDEX(
      INDIRECT($B$1),
      MATCH(RIGHT($A12, LEN($A12)-4), INDIRECT($C$1), 0),
      MATCH(CH$1, INDIRECT($D$1), 0)
    ) = "-",
    "",
    INDEX(
      INDIRECT($B$1),
      MATCH(RIGHT($A12, LEN($A12)-4), INDIRECT($C$1), 0),
      MATCH(CH$1, INDIRECT($D$1), 0)
    )
  ),
"")
</f>
        <v/>
      </c>
      <c r="CI12" s="97" t="str">
        <f t="shared" ref="CI12:CI50" si="339">IFERROR(
  IF(
    INDEX(
      INDIRECT($B$3),
      MATCH(RIGHT($A12, LEN($A12)-4), INDIRECT($C$3), 0),
      MATCH(CH$1, INDIRECT($D$3), 0)
    ) = "-",
    "",
    INDEX(
      INDIRECT($B$3),
      MATCH(RIGHT($A12, LEN($A12)-4), INDIRECT($C$3), 0),
      MATCH(CH$1, INDIRECT($D$3), 0)
    )
  ),
"")
</f>
        <v/>
      </c>
      <c r="CJ12" s="98">
        <f t="shared" ref="CJ12:CJ50" si="340">IFERROR(CH12-CI12,"")</f>
        <v>0</v>
      </c>
      <c r="CK12" s="93" t="str">
        <f t="shared" ref="CK12:CK50" si="341">IFERROR(
  IF(
    INDEX(
      INDIRECT($B$1),
      MATCH(RIGHT($A12, LEN($A12)-4), INDIRECT($C$1), 0),
      MATCH(CK$1, INDIRECT($D$1), 0)
    ) = "-",
    "",
    INDEX(
      INDIRECT($B$1),
      MATCH(RIGHT($A12, LEN($A12)-4), INDIRECT($C$1), 0),
      MATCH(CK$1, INDIRECT($D$1), 0)
    )
  ),
"")
</f>
        <v/>
      </c>
      <c r="CL12" s="94" t="str">
        <f t="shared" ref="CL12:CL50" si="342">IFERROR(
  IF(
    INDEX(
      INDIRECT($B$3),
      MATCH(RIGHT($A12, LEN($A12)-4), INDIRECT($C$3), 0),
      MATCH(CK$1, INDIRECT($D$3), 0)
    ) = "-",
    "",
    INDEX(
      INDIRECT($B$3),
      MATCH(RIGHT($A12, LEN($A12)-4), INDIRECT($C$3), 0),
      MATCH(CK$1, INDIRECT($D$3), 0)
    )
  ),
"")
</f>
        <v/>
      </c>
      <c r="CM12" s="95">
        <f t="shared" ref="CM12:CM50" si="343">IFERROR(CK12-CL12,"")</f>
        <v>0</v>
      </c>
      <c r="CN12" s="96" t="str">
        <f t="shared" ref="CN12:CN50" si="344">IFERROR(
  IF(
    INDEX(
      INDIRECT($B$1),
      MATCH(RIGHT($A12, LEN($A12)-4), INDIRECT($C$1), 0),
      MATCH(CN$1, INDIRECT($D$1), 0)
    ) = "-",
    "",
    INDEX(
      INDIRECT($B$1),
      MATCH(RIGHT($A12, LEN($A12)-4), INDIRECT($C$1), 0),
      MATCH(CN$1, INDIRECT($D$1), 0)
    )
  ),
"")
</f>
        <v/>
      </c>
      <c r="CO12" s="97" t="str">
        <f t="shared" ref="CO12:CO50" si="345">IFERROR(
  IF(
    INDEX(
      INDIRECT($B$3),
      MATCH(RIGHT($A12, LEN($A12)-4), INDIRECT($C$3), 0),
      MATCH(CN$1, INDIRECT($D$3), 0)
    ) = "-",
    "",
    INDEX(
      INDIRECT($B$3),
      MATCH(RIGHT($A12, LEN($A12)-4), INDIRECT($C$3), 0),
      MATCH(CN$1, INDIRECT($D$3), 0)
    )
  ),
"")
</f>
        <v/>
      </c>
      <c r="CP12" s="98">
        <f t="shared" ref="CP12:CP50" si="346">IFERROR(CN12-CO12,"")</f>
        <v>0</v>
      </c>
      <c r="CQ12" s="93" t="str">
        <f t="shared" ref="CQ12:CQ50" si="347">IFERROR(
  IF(
    INDEX(
      INDIRECT($B$1),
      MATCH(RIGHT($A12, LEN($A12)-4), INDIRECT($C$1), 0),
      MATCH(CQ$1, INDIRECT($D$1), 0)
    ) = "-",
    "",
    INDEX(
      INDIRECT($B$1),
      MATCH(RIGHT($A12, LEN($A12)-4), INDIRECT($C$1), 0),
      MATCH(CQ$1, INDIRECT($D$1), 0)
    )
  ),
"")
</f>
        <v/>
      </c>
      <c r="CR12" s="94" t="str">
        <f t="shared" ref="CR12:CR50" si="348">IFERROR(
  IF(
    INDEX(
      INDIRECT($B$3),
      MATCH(RIGHT($A12, LEN($A12)-4), INDIRECT($C$3), 0),
      MATCH(CQ$1, INDIRECT($D$3), 0)
    ) = "-",
    "",
    INDEX(
      INDIRECT($B$3),
      MATCH(RIGHT($A12, LEN($A12)-4), INDIRECT($C$3), 0),
      MATCH(CQ$1, INDIRECT($D$3), 0)
    )
  ),
"")
</f>
        <v/>
      </c>
      <c r="CS12" s="95">
        <f t="shared" ref="CS12:CS50" si="349">IFERROR(CQ12-CR12,"")</f>
        <v>0</v>
      </c>
      <c r="CT12" s="96" t="str">
        <f t="shared" ref="CT12:CT50" si="350">IFERROR(
  IF(
    INDEX(
      INDIRECT($B$1),
      MATCH(RIGHT($A12, LEN($A12)-4), INDIRECT($C$1), 0),
      MATCH(CT$1, INDIRECT($D$1), 0)
    ) = "-",
    "",
    INDEX(
      INDIRECT($B$1),
      MATCH(RIGHT($A12, LEN($A12)-4), INDIRECT($C$1), 0),
      MATCH(CT$1, INDIRECT($D$1), 0)
    )
  ),
"")
</f>
        <v/>
      </c>
      <c r="CU12" s="97" t="str">
        <f t="shared" ref="CU12:CU50" si="351">IFERROR(
  IF(
    INDEX(
      INDIRECT($B$3),
      MATCH(RIGHT($A12, LEN($A12)-4), INDIRECT($C$3), 0),
      MATCH(CT$1, INDIRECT($D$3), 0)
    ) = "-",
    "",
    INDEX(
      INDIRECT($B$3),
      MATCH(RIGHT($A12, LEN($A12)-4), INDIRECT($C$3), 0),
      MATCH(CT$1, INDIRECT($D$3), 0)
    )
  ),
"")
</f>
        <v/>
      </c>
      <c r="CV12" s="98">
        <f t="shared" ref="CV12:CV50" si="352">IFERROR(CT12-CU12,"")</f>
        <v>0</v>
      </c>
      <c r="CW12" s="93" t="str">
        <f t="shared" ref="CW12:CW50" si="353">IFERROR(
  IF(
    INDEX(
      INDIRECT($B$1),
      MATCH(RIGHT($A12, LEN($A12)-4), INDIRECT($C$1), 0),
      MATCH(CW$1, INDIRECT($D$1), 0)
    ) = "-",
    "",
    INDEX(
      INDIRECT($B$1),
      MATCH(RIGHT($A12, LEN($A12)-4), INDIRECT($C$1), 0),
      MATCH(CW$1, INDIRECT($D$1), 0)
    )
  ),
"")
</f>
        <v/>
      </c>
      <c r="CX12" s="94" t="str">
        <f t="shared" ref="CX12:CX50" si="354">IFERROR(
  IF(
    INDEX(
      INDIRECT($B$3),
      MATCH(RIGHT($A12, LEN($A12)-4), INDIRECT($C$3), 0),
      MATCH(CW$1, INDIRECT($D$3), 0)
    ) = "-",
    "",
    INDEX(
      INDIRECT($B$3),
      MATCH(RIGHT($A12, LEN($A12)-4), INDIRECT($C$3), 0),
      MATCH(CW$1, INDIRECT($D$3), 0)
    )
  ),
"")
</f>
        <v/>
      </c>
      <c r="CY12" s="95">
        <f t="shared" ref="CY12:CY50" si="355">IFERROR(CW12-CX12,"")</f>
        <v>0</v>
      </c>
      <c r="CZ12" s="96" t="str">
        <f t="shared" ref="CZ12:CZ50" si="356">IFERROR(
  IF(
    INDEX(
      INDIRECT($B$1),
      MATCH(RIGHT($A12, LEN($A12)-4), INDIRECT($C$1), 0),
      MATCH(CZ$1, INDIRECT($D$1), 0)
    ) = "-",
    "",
    INDEX(
      INDIRECT($B$1),
      MATCH(RIGHT($A12, LEN($A12)-4), INDIRECT($C$1), 0),
      MATCH(CZ$1, INDIRECT($D$1), 0)
    )
  ),
"")
</f>
        <v/>
      </c>
      <c r="DA12" s="97" t="str">
        <f t="shared" ref="DA12:DA50" si="357">IFERROR(
  IF(
    INDEX(
      INDIRECT($B$3),
      MATCH(RIGHT($A12, LEN($A12)-4), INDIRECT($C$3), 0),
      MATCH(CZ$1, INDIRECT($D$3), 0)
    ) = "-",
    "",
    INDEX(
      INDIRECT($B$3),
      MATCH(RIGHT($A12, LEN($A12)-4), INDIRECT($C$3), 0),
      MATCH(CZ$1, INDIRECT($D$3), 0)
    )
  ),
"")
</f>
        <v/>
      </c>
      <c r="DB12" s="98">
        <f t="shared" ref="DB12:DB50" si="358">IFERROR(CZ12-DA12,"")</f>
        <v>0</v>
      </c>
      <c r="DC12" s="93" t="str">
        <f t="shared" ref="DC12:DC50" si="359">IFERROR(
  IF(
    INDEX(
      INDIRECT($B$1),
      MATCH(RIGHT($A12, LEN($A12)-4), INDIRECT($C$1), 0),
      MATCH(DC$1, INDIRECT($D$1), 0)
    ) = "-",
    "",
    INDEX(
      INDIRECT($B$1),
      MATCH(RIGHT($A12, LEN($A12)-4), INDIRECT($C$1), 0),
      MATCH(DC$1, INDIRECT($D$1), 0)
    )
  ),
"")
</f>
        <v/>
      </c>
      <c r="DD12" s="94" t="str">
        <f t="shared" ref="DD12:DD50" si="360">IFERROR(
  IF(
    INDEX(
      INDIRECT($B$3),
      MATCH(RIGHT($A12, LEN($A12)-4), INDIRECT($C$3), 0),
      MATCH(DC$1, INDIRECT($D$3), 0)
    ) = "-",
    "",
    INDEX(
      INDIRECT($B$3),
      MATCH(RIGHT($A12, LEN($A12)-4), INDIRECT($C$3), 0),
      MATCH(DC$1, INDIRECT($D$3), 0)
    )
  ),
"")
</f>
        <v/>
      </c>
      <c r="DE12" s="95">
        <f t="shared" ref="DE12:DE50" si="361">IFERROR(DC12-DD12,"")</f>
        <v>0</v>
      </c>
      <c r="DF12" s="96" t="str">
        <f t="shared" ref="DF12:DF50" si="362">IFERROR(
  IF(
    INDEX(
      INDIRECT($B$1),
      MATCH(RIGHT($A12, LEN($A12)-4), INDIRECT($C$1), 0),
      MATCH(DF$1, INDIRECT($D$1), 0)
    ) = "-",
    "",
    INDEX(
      INDIRECT($B$1),
      MATCH(RIGHT($A12, LEN($A12)-4), INDIRECT($C$1), 0),
      MATCH(DF$1, INDIRECT($D$1), 0)
    )
  ),
"")
</f>
        <v/>
      </c>
      <c r="DG12" s="97" t="str">
        <f t="shared" ref="DG12:DG50" si="363">IFERROR(
  IF(
    INDEX(
      INDIRECT($B$3),
      MATCH(RIGHT($A12, LEN($A12)-4), INDIRECT($C$3), 0),
      MATCH(DF$1, INDIRECT($D$3), 0)
    ) = "-",
    "",
    INDEX(
      INDIRECT($B$3),
      MATCH(RIGHT($A12, LEN($A12)-4), INDIRECT($C$3), 0),
      MATCH(DF$1, INDIRECT($D$3), 0)
    )
  ),
"")
</f>
        <v/>
      </c>
      <c r="DH12" s="98">
        <f t="shared" ref="DH12:DH50" si="364">IFERROR(DF12-DG12,"")</f>
        <v>0</v>
      </c>
      <c r="DI12" s="93" t="str">
        <f t="shared" ref="DI12:DI50" si="365">IFERROR(
  IF(
    INDEX(
      INDIRECT($B$1),
      MATCH(RIGHT($A12, LEN($A12)-4), INDIRECT($C$1), 0),
      MATCH(DI$1, INDIRECT($D$1), 0)
    ) = "-",
    "",
    INDEX(
      INDIRECT($B$1),
      MATCH(RIGHT($A12, LEN($A12)-4), INDIRECT($C$1), 0),
      MATCH(DI$1, INDIRECT($D$1), 0)
    )
  ),
"")
</f>
        <v/>
      </c>
      <c r="DJ12" s="94" t="str">
        <f t="shared" ref="DJ12:DJ50" si="366">IFERROR(
  IF(
    INDEX(
      INDIRECT($B$3),
      MATCH(RIGHT($A12, LEN($A12)-4), INDIRECT($C$3), 0),
      MATCH(DI$1, INDIRECT($D$3), 0)
    ) = "-",
    "",
    INDEX(
      INDIRECT($B$3),
      MATCH(RIGHT($A12, LEN($A12)-4), INDIRECT($C$3), 0),
      MATCH(DI$1, INDIRECT($D$3), 0)
    )
  ),
"")
</f>
        <v/>
      </c>
      <c r="DK12" s="95">
        <f t="shared" ref="DK12:DK50" si="367">IFERROR(DI12-DJ12,"")</f>
        <v>0</v>
      </c>
      <c r="DL12" s="96" t="str">
        <f t="shared" ref="DL12:DL50" si="368">IFERROR(
  IF(
    INDEX(
      INDIRECT($B$1),
      MATCH(RIGHT($A12, LEN($A12)-4), INDIRECT($C$1), 0),
      MATCH(DL$1, INDIRECT($D$1), 0)
    ) = "-",
    "",
    INDEX(
      INDIRECT($B$1),
      MATCH(RIGHT($A12, LEN($A12)-4), INDIRECT($C$1), 0),
      MATCH(DL$1, INDIRECT($D$1), 0)
    )
  ),
"")
</f>
        <v/>
      </c>
      <c r="DM12" s="97" t="str">
        <f t="shared" ref="DM12:DM50" si="369">IFERROR(
  IF(
    INDEX(
      INDIRECT($B$3),
      MATCH(RIGHT($A12, LEN($A12)-4), INDIRECT($C$3), 0),
      MATCH(DL$1, INDIRECT($D$3), 0)
    ) = "-",
    "",
    INDEX(
      INDIRECT($B$3),
      MATCH(RIGHT($A12, LEN($A12)-4), INDIRECT($C$3), 0),
      MATCH(DL$1, INDIRECT($D$3), 0)
    )
  ),
"")
</f>
        <v/>
      </c>
      <c r="DN12" s="98">
        <f t="shared" ref="DN12:DN50" si="370">IFERROR(DL12-DM12,"")</f>
        <v>0</v>
      </c>
      <c r="DO12" s="93" t="str">
        <f t="shared" ref="DO12:DO50" si="371">IFERROR(
  IF(
    INDEX(
      INDIRECT($B$1),
      MATCH(RIGHT($A12, LEN($A12)-4), INDIRECT($C$1), 0),
      MATCH(DO$1, INDIRECT($D$1), 0)
    ) = "-",
    "",
    INDEX(
      INDIRECT($B$1),
      MATCH(RIGHT($A12, LEN($A12)-4), INDIRECT($C$1), 0),
      MATCH(DO$1, INDIRECT($D$1), 0)
    )
  ),
"")
</f>
        <v/>
      </c>
      <c r="DP12" s="94" t="str">
        <f t="shared" ref="DP12:DP50" si="372">IFERROR(
  IF(
    INDEX(
      INDIRECT($B$3),
      MATCH(RIGHT($A12, LEN($A12)-4), INDIRECT($C$3), 0),
      MATCH(DO$1, INDIRECT($D$3), 0)
    ) = "-",
    "",
    INDEX(
      INDIRECT($B$3),
      MATCH(RIGHT($A12, LEN($A12)-4), INDIRECT($C$3), 0),
      MATCH(DO$1, INDIRECT($D$3), 0)
    )
  ),
"")
</f>
        <v/>
      </c>
      <c r="DQ12" s="95">
        <f t="shared" ref="DQ12:DQ50" si="373">IFERROR(DO12-DP12,"")</f>
        <v>0</v>
      </c>
      <c r="DR12" s="96" t="str">
        <f t="shared" ref="DR12:DR50" si="374">IFERROR(
  IF(
    INDEX(
      INDIRECT($B$1),
      MATCH(RIGHT($A12, LEN($A12)-4), INDIRECT($C$1), 0),
      MATCH(DR$1, INDIRECT($D$1), 0)
    ) = "-",
    "",
    INDEX(
      INDIRECT($B$1),
      MATCH(RIGHT($A12, LEN($A12)-4), INDIRECT($C$1), 0),
      MATCH(DR$1, INDIRECT($D$1), 0)
    )
  ),
"")
</f>
        <v/>
      </c>
      <c r="DS12" s="97" t="str">
        <f t="shared" ref="DS12:DS50" si="375">IFERROR(
  IF(
    INDEX(
      INDIRECT($B$3),
      MATCH(RIGHT($A12, LEN($A12)-4), INDIRECT($C$3), 0),
      MATCH(DR$1, INDIRECT($D$3), 0)
    ) = "-",
    "",
    INDEX(
      INDIRECT($B$3),
      MATCH(RIGHT($A12, LEN($A12)-4), INDIRECT($C$3), 0),
      MATCH(DR$1, INDIRECT($D$3), 0)
    )
  ),
"")
</f>
        <v/>
      </c>
      <c r="DT12" s="98">
        <f t="shared" ref="DT12:DT50" si="376">IFERROR(DR12-DS12,"")</f>
        <v>0</v>
      </c>
      <c r="DU12" s="93" t="str">
        <f t="shared" ref="DU12:DU50" si="377">IFERROR(
  IF(
    INDEX(
      INDIRECT($B$1),
      MATCH(RIGHT($A12, LEN($A12)-4), INDIRECT($C$1), 0),
      MATCH(DU$1, INDIRECT($D$1), 0)
    ) = "-",
    "",
    INDEX(
      INDIRECT($B$1),
      MATCH(RIGHT($A12, LEN($A12)-4), INDIRECT($C$1), 0),
      MATCH(DU$1, INDIRECT($D$1), 0)
    )
  ),
"")
</f>
        <v/>
      </c>
      <c r="DV12" s="94" t="str">
        <f t="shared" ref="DV12:DV50" si="378">IFERROR(
  IF(
    INDEX(
      INDIRECT($B$3),
      MATCH(RIGHT($A12, LEN($A12)-4), INDIRECT($C$3), 0),
      MATCH(DU$1, INDIRECT($D$3), 0)
    ) = "-",
    "",
    INDEX(
      INDIRECT($B$3),
      MATCH(RIGHT($A12, LEN($A12)-4), INDIRECT($C$3), 0),
      MATCH(DU$1, INDIRECT($D$3), 0)
    )
  ),
"")
</f>
        <v/>
      </c>
      <c r="DW12" s="95">
        <f t="shared" ref="DW12:DW50" si="379">IFERROR(DU12-DV12,"")</f>
        <v>0</v>
      </c>
      <c r="DX12" s="96" t="str">
        <f t="shared" ref="DX12:DX50" si="380">IFERROR(
  IF(
    INDEX(
      INDIRECT($B$1),
      MATCH(RIGHT($A12, LEN($A12)-4), INDIRECT($C$1), 0),
      MATCH(DX$1, INDIRECT($D$1), 0)
    ) = "-",
    "",
    INDEX(
      INDIRECT($B$1),
      MATCH(RIGHT($A12, LEN($A12)-4), INDIRECT($C$1), 0),
      MATCH(DX$1, INDIRECT($D$1), 0)
    )
  ),
"")
</f>
        <v/>
      </c>
      <c r="DY12" s="97" t="str">
        <f t="shared" ref="DY12:DY50" si="381">IFERROR(
  IF(
    INDEX(
      INDIRECT($B$3),
      MATCH(RIGHT($A12, LEN($A12)-4), INDIRECT($C$3), 0),
      MATCH(DX$1, INDIRECT($D$3), 0)
    ) = "-",
    "",
    INDEX(
      INDIRECT($B$3),
      MATCH(RIGHT($A12, LEN($A12)-4), INDIRECT($C$3), 0),
      MATCH(DX$1, INDIRECT($D$3), 0)
    )
  ),
"")
</f>
        <v/>
      </c>
      <c r="DZ12" s="98">
        <f t="shared" ref="DZ12:DZ50" si="382">IFERROR(DX12-DY12,"")</f>
        <v>0</v>
      </c>
      <c r="EA12" s="93" t="str">
        <f t="shared" ref="EA12:EA50" si="383">IFERROR(
  IF(
    INDEX(
      INDIRECT($B$1),
      MATCH(RIGHT($A12, LEN($A12)-4), INDIRECT($C$1), 0),
      MATCH(EA$1, INDIRECT($D$1), 0)
    ) = "-",
    "",
    INDEX(
      INDIRECT($B$1),
      MATCH(RIGHT($A12, LEN($A12)-4), INDIRECT($C$1), 0),
      MATCH(EA$1, INDIRECT($D$1), 0)
    )
  ),
"")
</f>
        <v/>
      </c>
      <c r="EB12" s="94" t="str">
        <f t="shared" ref="EB12:EB50" si="384">IFERROR(
  IF(
    INDEX(
      INDIRECT($B$3),
      MATCH(RIGHT($A12, LEN($A12)-4), INDIRECT($C$3), 0),
      MATCH(EA$1, INDIRECT($D$3), 0)
    ) = "-",
    "",
    INDEX(
      INDIRECT($B$3),
      MATCH(RIGHT($A12, LEN($A12)-4), INDIRECT($C$3), 0),
      MATCH(EA$1, INDIRECT($D$3), 0)
    )
  ),
"")
</f>
        <v/>
      </c>
      <c r="EC12" s="95">
        <f t="shared" ref="EC12:EC50" si="385">IFERROR(EA12-EB12,"")</f>
        <v>0</v>
      </c>
      <c r="ED12" s="96" t="str">
        <f t="shared" ref="ED12:ED50" si="386">IFERROR(
  IF(
    INDEX(
      INDIRECT($B$1),
      MATCH(RIGHT($A12, LEN($A12)-4), INDIRECT($C$1), 0),
      MATCH(ED$1, INDIRECT($D$1), 0)
    ) = "-",
    "",
    INDEX(
      INDIRECT($B$1),
      MATCH(RIGHT($A12, LEN($A12)-4), INDIRECT($C$1), 0),
      MATCH(ED$1, INDIRECT($D$1), 0)
    )
  ),
"")
</f>
        <v/>
      </c>
      <c r="EE12" s="97" t="str">
        <f t="shared" ref="EE12:EE50" si="387">IFERROR(
  IF(
    INDEX(
      INDIRECT($B$3),
      MATCH(RIGHT($A12, LEN($A12)-4), INDIRECT($C$3), 0),
      MATCH(ED$1, INDIRECT($D$3), 0)
    ) = "-",
    "",
    INDEX(
      INDIRECT($B$3),
      MATCH(RIGHT($A12, LEN($A12)-4), INDIRECT($C$3), 0),
      MATCH(ED$1, INDIRECT($D$3), 0)
    )
  ),
"")
</f>
        <v/>
      </c>
      <c r="EF12" s="98">
        <f t="shared" ref="EF12:EF50" si="388">IFERROR(ED12-EE12,"")</f>
        <v>0</v>
      </c>
      <c r="EG12" s="93" t="str">
        <f t="shared" ref="EG12:EG50" si="389">IFERROR(
  IF(
    INDEX(
      INDIRECT($B$1),
      MATCH(RIGHT($A12, LEN($A12)-4), INDIRECT($C$1), 0),
      MATCH(EG$1, INDIRECT($D$1), 0)
    ) = "-",
    "",
    INDEX(
      INDIRECT($B$1),
      MATCH(RIGHT($A12, LEN($A12)-4), INDIRECT($C$1), 0),
      MATCH(EG$1, INDIRECT($D$1), 0)
    )
  ),
"")
</f>
        <v/>
      </c>
      <c r="EH12" s="94" t="str">
        <f t="shared" ref="EH12:EH50" si="390">IFERROR(
  IF(
    INDEX(
      INDIRECT($B$3),
      MATCH(RIGHT($A12, LEN($A12)-4), INDIRECT($C$3), 0),
      MATCH(EG$1, INDIRECT($D$3), 0)
    ) = "-",
    "",
    INDEX(
      INDIRECT($B$3),
      MATCH(RIGHT($A12, LEN($A12)-4), INDIRECT($C$3), 0),
      MATCH(EG$1, INDIRECT($D$3), 0)
    )
  ),
"")
</f>
        <v/>
      </c>
      <c r="EI12" s="95">
        <f t="shared" ref="EI12:EI50" si="391">IFERROR(EG12-EH12,"")</f>
        <v>0</v>
      </c>
      <c r="EJ12" s="96" t="str">
        <f t="shared" ref="EJ12:EJ50" si="392">IFERROR(
  IF(
    INDEX(
      INDIRECT($B$1),
      MATCH(RIGHT($A12, LEN($A12)-4), INDIRECT($C$1), 0),
      MATCH(EJ$1, INDIRECT($D$1), 0)
    ) = "-",
    "",
    INDEX(
      INDIRECT($B$1),
      MATCH(RIGHT($A12, LEN($A12)-4), INDIRECT($C$1), 0),
      MATCH(EJ$1, INDIRECT($D$1), 0)
    )
  ),
"")
</f>
        <v/>
      </c>
      <c r="EK12" s="97" t="str">
        <f t="shared" ref="EK12:EK50" si="393">IFERROR(
  IF(
    INDEX(
      INDIRECT($B$3),
      MATCH(RIGHT($A12, LEN($A12)-4), INDIRECT($C$3), 0),
      MATCH(EJ$1, INDIRECT($D$3), 0)
    ) = "-",
    "",
    INDEX(
      INDIRECT($B$3),
      MATCH(RIGHT($A12, LEN($A12)-4), INDIRECT($C$3), 0),
      MATCH(EJ$1, INDIRECT($D$3), 0)
    )
  ),
"")
</f>
        <v/>
      </c>
      <c r="EL12" s="98">
        <f t="shared" ref="EL12:EL50" si="394">IFERROR(EJ12-EK12,"")</f>
        <v>0</v>
      </c>
      <c r="EM12" s="93" t="str">
        <f t="shared" ref="EM12:EM50" si="395">IFERROR(
  IF(
    INDEX(
      INDIRECT($B$1),
      MATCH(RIGHT($A12, LEN($A12)-4), INDIRECT($C$1), 0),
      MATCH(EM$1, INDIRECT($D$1), 0)
    ) = "-",
    "",
    INDEX(
      INDIRECT($B$1),
      MATCH(RIGHT($A12, LEN($A12)-4), INDIRECT($C$1), 0),
      MATCH(EM$1, INDIRECT($D$1), 0)
    )
  ),
"")
</f>
        <v/>
      </c>
      <c r="EN12" s="94" t="str">
        <f t="shared" ref="EN12:EN50" si="396">IFERROR(
  IF(
    INDEX(
      INDIRECT($B$3),
      MATCH(RIGHT($A12, LEN($A12)-4), INDIRECT($C$3), 0),
      MATCH(EM$1, INDIRECT($D$3), 0)
    ) = "-",
    "",
    INDEX(
      INDIRECT($B$3),
      MATCH(RIGHT($A12, LEN($A12)-4), INDIRECT($C$3), 0),
      MATCH(EM$1, INDIRECT($D$3), 0)
    )
  ),
"")
</f>
        <v/>
      </c>
      <c r="EO12" s="95">
        <f t="shared" ref="EO12:EO50" si="397">IFERROR(EM12-EN12,"")</f>
        <v>0</v>
      </c>
      <c r="EP12" s="96" t="str">
        <f t="shared" ref="EP12:EP50" si="398">IFERROR(
  IF(
    INDEX(
      INDIRECT($B$1),
      MATCH(RIGHT($A12, LEN($A12)-4), INDIRECT($C$1), 0),
      MATCH(EP$1, INDIRECT($D$1), 0)
    ) = "-",
    "",
    INDEX(
      INDIRECT($B$1),
      MATCH(RIGHT($A12, LEN($A12)-4), INDIRECT($C$1), 0),
      MATCH(EP$1, INDIRECT($D$1), 0)
    )
  ),
"")
</f>
        <v/>
      </c>
      <c r="EQ12" s="97" t="str">
        <f t="shared" ref="EQ12:EQ50" si="399">IFERROR(
  IF(
    INDEX(
      INDIRECT($B$3),
      MATCH(RIGHT($A12, LEN($A12)-4), INDIRECT($C$3), 0),
      MATCH(EP$1, INDIRECT($D$3), 0)
    ) = "-",
    "",
    INDEX(
      INDIRECT($B$3),
      MATCH(RIGHT($A12, LEN($A12)-4), INDIRECT($C$3), 0),
      MATCH(EP$1, INDIRECT($D$3), 0)
    )
  ),
"")
</f>
        <v/>
      </c>
      <c r="ER12" s="98">
        <f t="shared" ref="ER12:ER50" si="400">IFERROR(EP12-EQ12,"")</f>
        <v>0</v>
      </c>
      <c r="ES12" s="93" t="str">
        <f t="shared" ref="ES12:ES50" si="401">IFERROR(
  IF(
    INDEX(
      INDIRECT($B$1),
      MATCH(RIGHT($A12, LEN($A12)-4), INDIRECT($C$1), 0),
      MATCH(ES$1, INDIRECT($D$1), 0)
    ) = "-",
    "",
    INDEX(
      INDIRECT($B$1),
      MATCH(RIGHT($A12, LEN($A12)-4), INDIRECT($C$1), 0),
      MATCH(ES$1, INDIRECT($D$1), 0)
    )
  ),
"")
</f>
        <v/>
      </c>
      <c r="ET12" s="94" t="str">
        <f t="shared" ref="ET12:ET50" si="402">IFERROR(
  IF(
    INDEX(
      INDIRECT($B$3),
      MATCH(RIGHT($A12, LEN($A12)-4), INDIRECT($C$3), 0),
      MATCH(ES$1, INDIRECT($D$3), 0)
    ) = "-",
    "",
    INDEX(
      INDIRECT($B$3),
      MATCH(RIGHT($A12, LEN($A12)-4), INDIRECT($C$3), 0),
      MATCH(ES$1, INDIRECT($D$3), 0)
    )
  ),
"")
</f>
        <v/>
      </c>
      <c r="EU12" s="95">
        <f t="shared" ref="EU12:EU50" si="403">IFERROR(ES12-ET12,"")</f>
        <v>0</v>
      </c>
      <c r="EV12" s="96" t="str">
        <f t="shared" ref="EV12:EV50" si="404">IFERROR(
  IF(
    INDEX(
      INDIRECT($B$1),
      MATCH(RIGHT($A12, LEN($A12)-4), INDIRECT($C$1), 0),
      MATCH(EV$1, INDIRECT($D$1), 0)
    ) = "-",
    "",
    INDEX(
      INDIRECT($B$1),
      MATCH(RIGHT($A12, LEN($A12)-4), INDIRECT($C$1), 0),
      MATCH(EV$1, INDIRECT($D$1), 0)
    )
  ),
"")
</f>
        <v/>
      </c>
      <c r="EW12" s="97" t="str">
        <f t="shared" ref="EW12:EW50" si="405">IFERROR(
  IF(
    INDEX(
      INDIRECT($B$3),
      MATCH(RIGHT($A12, LEN($A12)-4), INDIRECT($C$3), 0),
      MATCH(EV$1, INDIRECT($D$3), 0)
    ) = "-",
    "",
    INDEX(
      INDIRECT($B$3),
      MATCH(RIGHT($A12, LEN($A12)-4), INDIRECT($C$3), 0),
      MATCH(EV$1, INDIRECT($D$3), 0)
    )
  ),
"")
</f>
        <v/>
      </c>
      <c r="EX12" s="98">
        <f t="shared" ref="EX12:EX50" si="406">IFERROR(EV12-EW12,"")</f>
        <v>0</v>
      </c>
      <c r="EY12" s="93" t="str">
        <f t="shared" ref="EY12:EY50" si="407">IFERROR(
  IF(
    INDEX(
      INDIRECT($B$1),
      MATCH(RIGHT($A12, LEN($A12)-4), INDIRECT($C$1), 0),
      MATCH(EY$1, INDIRECT($D$1), 0)
    ) = "-",
    "",
    INDEX(
      INDIRECT($B$1),
      MATCH(RIGHT($A12, LEN($A12)-4), INDIRECT($C$1), 0),
      MATCH(EY$1, INDIRECT($D$1), 0)
    )
  ),
"")
</f>
        <v/>
      </c>
      <c r="EZ12" s="94" t="str">
        <f t="shared" ref="EZ12:EZ50" si="408">IFERROR(
  IF(
    INDEX(
      INDIRECT($B$3),
      MATCH(RIGHT($A12, LEN($A12)-4), INDIRECT($C$3), 0),
      MATCH(EY$1, INDIRECT($D$3), 0)
    ) = "-",
    "",
    INDEX(
      INDIRECT($B$3),
      MATCH(RIGHT($A12, LEN($A12)-4), INDIRECT($C$3), 0),
      MATCH(EY$1, INDIRECT($D$3), 0)
    )
  ),
"")
</f>
        <v/>
      </c>
      <c r="FA12" s="95">
        <f t="shared" ref="FA12:FA50" si="409">IFERROR(EY12-EZ12,"")</f>
        <v>0</v>
      </c>
      <c r="FB12" s="96" t="str">
        <f t="shared" ref="FB12:FB50" si="410">IFERROR(
  IF(
    INDEX(
      INDIRECT($B$1),
      MATCH(RIGHT($A12, LEN($A12)-4), INDIRECT($C$1), 0),
      MATCH(FB$1, INDIRECT($D$1), 0)
    ) = "-",
    "",
    INDEX(
      INDIRECT($B$1),
      MATCH(RIGHT($A12, LEN($A12)-4), INDIRECT($C$1), 0),
      MATCH(FB$1, INDIRECT($D$1), 0)
    )
  ),
"")
</f>
        <v/>
      </c>
      <c r="FC12" s="97" t="str">
        <f t="shared" ref="FC12:FC50" si="411">IFERROR(
  IF(
    INDEX(
      INDIRECT($B$3),
      MATCH(RIGHT($A12, LEN($A12)-4), INDIRECT($C$3), 0),
      MATCH(FB$1, INDIRECT($D$3), 0)
    ) = "-",
    "",
    INDEX(
      INDIRECT($B$3),
      MATCH(RIGHT($A12, LEN($A12)-4), INDIRECT($C$3), 0),
      MATCH(FB$1, INDIRECT($D$3), 0)
    )
  ),
"")
</f>
        <v/>
      </c>
      <c r="FD12" s="98">
        <f t="shared" ref="FD12:FD50" si="412">IFERROR(FB12-FC12,"")</f>
        <v>0</v>
      </c>
      <c r="FE12" s="93" t="str">
        <f t="shared" ref="FE12:FE50" si="413">IFERROR(
  IF(
    INDEX(
      INDIRECT($B$1),
      MATCH(RIGHT($A12, LEN($A12)-4), INDIRECT($C$1), 0),
      MATCH(FE$1, INDIRECT($D$1), 0)
    ) = "-",
    "",
    INDEX(
      INDIRECT($B$1),
      MATCH(RIGHT($A12, LEN($A12)-4), INDIRECT($C$1), 0),
      MATCH(FE$1, INDIRECT($D$1), 0)
    )
  ),
"")
</f>
        <v/>
      </c>
      <c r="FF12" s="94" t="str">
        <f t="shared" ref="FF12:FF50" si="414">IFERROR(
  IF(
    INDEX(
      INDIRECT($B$3),
      MATCH(RIGHT($A12, LEN($A12)-4), INDIRECT($C$3), 0),
      MATCH(FE$1, INDIRECT($D$3), 0)
    ) = "-",
    "",
    INDEX(
      INDIRECT($B$3),
      MATCH(RIGHT($A12, LEN($A12)-4), INDIRECT($C$3), 0),
      MATCH(FE$1, INDIRECT($D$3), 0)
    )
  ),
"")
</f>
        <v/>
      </c>
      <c r="FG12" s="95">
        <f t="shared" ref="FG12:FG50" si="415">IFERROR(FE12-FF12,"")</f>
        <v>0</v>
      </c>
      <c r="FH12" s="96" t="str">
        <f t="shared" ref="FH12:FH50" si="416">IFERROR(
  IF(
    INDEX(
      INDIRECT($B$1),
      MATCH(RIGHT($A12, LEN($A12)-4), INDIRECT($C$1), 0),
      MATCH(FH$1, INDIRECT($D$1), 0)
    ) = "-",
    "",
    INDEX(
      INDIRECT($B$1),
      MATCH(RIGHT($A12, LEN($A12)-4), INDIRECT($C$1), 0),
      MATCH(FH$1, INDIRECT($D$1), 0)
    )
  ),
"")
</f>
        <v/>
      </c>
      <c r="FI12" s="97" t="str">
        <f t="shared" ref="FI12:FI50" si="417">IFERROR(
  IF(
    INDEX(
      INDIRECT($B$3),
      MATCH(RIGHT($A12, LEN($A12)-4), INDIRECT($C$3), 0),
      MATCH(FH$1, INDIRECT($D$3), 0)
    ) = "-",
    "",
    INDEX(
      INDIRECT($B$3),
      MATCH(RIGHT($A12, LEN($A12)-4), INDIRECT($C$3), 0),
      MATCH(FH$1, INDIRECT($D$3), 0)
    )
  ),
"")
</f>
        <v/>
      </c>
      <c r="FJ12" s="98">
        <f t="shared" ref="FJ12:FJ50" si="418">IFERROR(FH12-FI12,"")</f>
        <v>0</v>
      </c>
    </row>
    <row r="13" ht="15.75" customHeight="1">
      <c r="A13" s="6" t="str">
        <f>Menus!B5</f>
        <v/>
      </c>
      <c r="B13" s="16">
        <f t="shared" si="256"/>
        <v>0</v>
      </c>
      <c r="C13" s="16">
        <f t="shared" si="257"/>
        <v>0</v>
      </c>
      <c r="D13" s="16">
        <f t="shared" si="254"/>
        <v>0</v>
      </c>
      <c r="E13" s="87" t="str">
        <f t="shared" si="258"/>
        <v/>
      </c>
      <c r="F13" s="88" t="str">
        <f t="shared" si="259"/>
        <v/>
      </c>
      <c r="G13" s="89">
        <f t="shared" si="255"/>
        <v>0</v>
      </c>
      <c r="H13" s="90" t="str">
        <f t="shared" si="260"/>
        <v/>
      </c>
      <c r="I13" s="91" t="str">
        <f t="shared" si="261"/>
        <v/>
      </c>
      <c r="J13" s="92">
        <f t="shared" si="262"/>
        <v>0</v>
      </c>
      <c r="K13" s="93" t="str">
        <f t="shared" si="263"/>
        <v/>
      </c>
      <c r="L13" s="94" t="str">
        <f t="shared" si="264"/>
        <v/>
      </c>
      <c r="M13" s="95">
        <f t="shared" si="265"/>
        <v>0</v>
      </c>
      <c r="N13" s="96" t="str">
        <f t="shared" si="266"/>
        <v/>
      </c>
      <c r="O13" s="97" t="str">
        <f t="shared" si="267"/>
        <v/>
      </c>
      <c r="P13" s="98">
        <f t="shared" si="268"/>
        <v>0</v>
      </c>
      <c r="Q13" s="93" t="str">
        <f t="shared" si="269"/>
        <v/>
      </c>
      <c r="R13" s="94" t="str">
        <f t="shared" si="270"/>
        <v/>
      </c>
      <c r="S13" s="95">
        <f t="shared" si="271"/>
        <v>0</v>
      </c>
      <c r="T13" s="96" t="str">
        <f t="shared" si="272"/>
        <v/>
      </c>
      <c r="U13" s="97" t="str">
        <f t="shared" si="273"/>
        <v/>
      </c>
      <c r="V13" s="98">
        <f t="shared" si="274"/>
        <v>0</v>
      </c>
      <c r="W13" s="93" t="str">
        <f t="shared" si="275"/>
        <v/>
      </c>
      <c r="X13" s="94" t="str">
        <f t="shared" si="276"/>
        <v/>
      </c>
      <c r="Y13" s="95">
        <f t="shared" si="277"/>
        <v>0</v>
      </c>
      <c r="Z13" s="96" t="str">
        <f t="shared" si="278"/>
        <v/>
      </c>
      <c r="AA13" s="97" t="str">
        <f t="shared" si="279"/>
        <v/>
      </c>
      <c r="AB13" s="98">
        <f t="shared" si="280"/>
        <v>0</v>
      </c>
      <c r="AC13" s="93" t="str">
        <f t="shared" si="281"/>
        <v/>
      </c>
      <c r="AD13" s="94" t="str">
        <f t="shared" si="282"/>
        <v/>
      </c>
      <c r="AE13" s="95">
        <f t="shared" si="283"/>
        <v>0</v>
      </c>
      <c r="AF13" s="96" t="str">
        <f t="shared" si="284"/>
        <v/>
      </c>
      <c r="AG13" s="97" t="str">
        <f t="shared" si="285"/>
        <v/>
      </c>
      <c r="AH13" s="98">
        <f t="shared" si="286"/>
        <v>0</v>
      </c>
      <c r="AI13" s="93" t="str">
        <f t="shared" si="287"/>
        <v/>
      </c>
      <c r="AJ13" s="94" t="str">
        <f t="shared" si="288"/>
        <v/>
      </c>
      <c r="AK13" s="95">
        <f t="shared" si="289"/>
        <v>0</v>
      </c>
      <c r="AL13" s="96" t="str">
        <f t="shared" si="290"/>
        <v/>
      </c>
      <c r="AM13" s="97" t="str">
        <f t="shared" si="291"/>
        <v/>
      </c>
      <c r="AN13" s="98">
        <f t="shared" si="292"/>
        <v>0</v>
      </c>
      <c r="AO13" s="93" t="str">
        <f t="shared" si="293"/>
        <v/>
      </c>
      <c r="AP13" s="94" t="str">
        <f t="shared" si="294"/>
        <v/>
      </c>
      <c r="AQ13" s="95">
        <f t="shared" si="295"/>
        <v>0</v>
      </c>
      <c r="AR13" s="96" t="str">
        <f t="shared" si="296"/>
        <v/>
      </c>
      <c r="AS13" s="97" t="str">
        <f t="shared" si="297"/>
        <v/>
      </c>
      <c r="AT13" s="98">
        <f t="shared" si="298"/>
        <v>0</v>
      </c>
      <c r="AU13" s="93" t="str">
        <f t="shared" si="299"/>
        <v/>
      </c>
      <c r="AV13" s="94" t="str">
        <f t="shared" si="300"/>
        <v/>
      </c>
      <c r="AW13" s="95">
        <f t="shared" si="301"/>
        <v>0</v>
      </c>
      <c r="AX13" s="96" t="str">
        <f t="shared" si="302"/>
        <v/>
      </c>
      <c r="AY13" s="97" t="str">
        <f t="shared" si="303"/>
        <v/>
      </c>
      <c r="AZ13" s="98">
        <f t="shared" si="304"/>
        <v>0</v>
      </c>
      <c r="BA13" s="93" t="str">
        <f t="shared" si="305"/>
        <v/>
      </c>
      <c r="BB13" s="94" t="str">
        <f t="shared" si="306"/>
        <v/>
      </c>
      <c r="BC13" s="95">
        <f t="shared" si="307"/>
        <v>0</v>
      </c>
      <c r="BD13" s="96" t="str">
        <f t="shared" si="308"/>
        <v/>
      </c>
      <c r="BE13" s="97" t="str">
        <f t="shared" si="309"/>
        <v/>
      </c>
      <c r="BF13" s="98">
        <f t="shared" si="310"/>
        <v>0</v>
      </c>
      <c r="BG13" s="93" t="str">
        <f t="shared" si="311"/>
        <v/>
      </c>
      <c r="BH13" s="94" t="str">
        <f t="shared" si="312"/>
        <v/>
      </c>
      <c r="BI13" s="95">
        <f t="shared" si="313"/>
        <v>0</v>
      </c>
      <c r="BJ13" s="96" t="str">
        <f t="shared" si="314"/>
        <v/>
      </c>
      <c r="BK13" s="97" t="str">
        <f t="shared" si="315"/>
        <v/>
      </c>
      <c r="BL13" s="98">
        <f t="shared" si="316"/>
        <v>0</v>
      </c>
      <c r="BM13" s="93" t="str">
        <f t="shared" si="317"/>
        <v/>
      </c>
      <c r="BN13" s="94" t="str">
        <f t="shared" si="318"/>
        <v/>
      </c>
      <c r="BO13" s="95">
        <f t="shared" si="319"/>
        <v>0</v>
      </c>
      <c r="BP13" s="96" t="str">
        <f t="shared" si="320"/>
        <v/>
      </c>
      <c r="BQ13" s="97" t="str">
        <f t="shared" si="321"/>
        <v/>
      </c>
      <c r="BR13" s="98">
        <f t="shared" si="322"/>
        <v>0</v>
      </c>
      <c r="BS13" s="93" t="str">
        <f t="shared" si="323"/>
        <v/>
      </c>
      <c r="BT13" s="94" t="str">
        <f t="shared" si="324"/>
        <v/>
      </c>
      <c r="BU13" s="95">
        <f t="shared" si="325"/>
        <v>0</v>
      </c>
      <c r="BV13" s="96" t="str">
        <f t="shared" si="326"/>
        <v/>
      </c>
      <c r="BW13" s="97" t="str">
        <f t="shared" si="327"/>
        <v/>
      </c>
      <c r="BX13" s="98">
        <f t="shared" si="328"/>
        <v>0</v>
      </c>
      <c r="BY13" s="93" t="str">
        <f t="shared" si="329"/>
        <v/>
      </c>
      <c r="BZ13" s="94" t="str">
        <f t="shared" si="330"/>
        <v/>
      </c>
      <c r="CA13" s="95">
        <f t="shared" si="331"/>
        <v>0</v>
      </c>
      <c r="CB13" s="96" t="str">
        <f t="shared" si="332"/>
        <v/>
      </c>
      <c r="CC13" s="97" t="str">
        <f t="shared" si="333"/>
        <v/>
      </c>
      <c r="CD13" s="98">
        <f t="shared" si="334"/>
        <v>0</v>
      </c>
      <c r="CE13" s="93" t="str">
        <f t="shared" si="335"/>
        <v/>
      </c>
      <c r="CF13" s="94" t="str">
        <f t="shared" si="336"/>
        <v/>
      </c>
      <c r="CG13" s="95">
        <f t="shared" si="337"/>
        <v>0</v>
      </c>
      <c r="CH13" s="96" t="str">
        <f t="shared" si="338"/>
        <v/>
      </c>
      <c r="CI13" s="97" t="str">
        <f t="shared" si="339"/>
        <v/>
      </c>
      <c r="CJ13" s="98">
        <f t="shared" si="340"/>
        <v>0</v>
      </c>
      <c r="CK13" s="93" t="str">
        <f t="shared" si="341"/>
        <v/>
      </c>
      <c r="CL13" s="94" t="str">
        <f t="shared" si="342"/>
        <v/>
      </c>
      <c r="CM13" s="95">
        <f t="shared" si="343"/>
        <v>0</v>
      </c>
      <c r="CN13" s="96" t="str">
        <f t="shared" si="344"/>
        <v/>
      </c>
      <c r="CO13" s="97" t="str">
        <f t="shared" si="345"/>
        <v/>
      </c>
      <c r="CP13" s="98">
        <f t="shared" si="346"/>
        <v>0</v>
      </c>
      <c r="CQ13" s="93" t="str">
        <f t="shared" si="347"/>
        <v/>
      </c>
      <c r="CR13" s="94" t="str">
        <f t="shared" si="348"/>
        <v/>
      </c>
      <c r="CS13" s="95">
        <f t="shared" si="349"/>
        <v>0</v>
      </c>
      <c r="CT13" s="96" t="str">
        <f t="shared" si="350"/>
        <v/>
      </c>
      <c r="CU13" s="97" t="str">
        <f t="shared" si="351"/>
        <v/>
      </c>
      <c r="CV13" s="98">
        <f t="shared" si="352"/>
        <v>0</v>
      </c>
      <c r="CW13" s="93" t="str">
        <f t="shared" si="353"/>
        <v/>
      </c>
      <c r="CX13" s="94" t="str">
        <f t="shared" si="354"/>
        <v/>
      </c>
      <c r="CY13" s="95">
        <f t="shared" si="355"/>
        <v>0</v>
      </c>
      <c r="CZ13" s="96" t="str">
        <f t="shared" si="356"/>
        <v/>
      </c>
      <c r="DA13" s="97" t="str">
        <f t="shared" si="357"/>
        <v/>
      </c>
      <c r="DB13" s="98">
        <f t="shared" si="358"/>
        <v>0</v>
      </c>
      <c r="DC13" s="93" t="str">
        <f t="shared" si="359"/>
        <v/>
      </c>
      <c r="DD13" s="94" t="str">
        <f t="shared" si="360"/>
        <v/>
      </c>
      <c r="DE13" s="95">
        <f t="shared" si="361"/>
        <v>0</v>
      </c>
      <c r="DF13" s="96" t="str">
        <f t="shared" si="362"/>
        <v/>
      </c>
      <c r="DG13" s="97" t="str">
        <f t="shared" si="363"/>
        <v/>
      </c>
      <c r="DH13" s="98">
        <f t="shared" si="364"/>
        <v>0</v>
      </c>
      <c r="DI13" s="93" t="str">
        <f t="shared" si="365"/>
        <v/>
      </c>
      <c r="DJ13" s="94" t="str">
        <f t="shared" si="366"/>
        <v/>
      </c>
      <c r="DK13" s="95">
        <f t="shared" si="367"/>
        <v>0</v>
      </c>
      <c r="DL13" s="96" t="str">
        <f t="shared" si="368"/>
        <v/>
      </c>
      <c r="DM13" s="97" t="str">
        <f t="shared" si="369"/>
        <v/>
      </c>
      <c r="DN13" s="98">
        <f t="shared" si="370"/>
        <v>0</v>
      </c>
      <c r="DO13" s="93" t="str">
        <f t="shared" si="371"/>
        <v/>
      </c>
      <c r="DP13" s="94" t="str">
        <f t="shared" si="372"/>
        <v/>
      </c>
      <c r="DQ13" s="95">
        <f t="shared" si="373"/>
        <v>0</v>
      </c>
      <c r="DR13" s="96" t="str">
        <f t="shared" si="374"/>
        <v/>
      </c>
      <c r="DS13" s="97" t="str">
        <f t="shared" si="375"/>
        <v/>
      </c>
      <c r="DT13" s="98">
        <f t="shared" si="376"/>
        <v>0</v>
      </c>
      <c r="DU13" s="93" t="str">
        <f t="shared" si="377"/>
        <v/>
      </c>
      <c r="DV13" s="94" t="str">
        <f t="shared" si="378"/>
        <v/>
      </c>
      <c r="DW13" s="95">
        <f t="shared" si="379"/>
        <v>0</v>
      </c>
      <c r="DX13" s="96" t="str">
        <f t="shared" si="380"/>
        <v/>
      </c>
      <c r="DY13" s="97" t="str">
        <f t="shared" si="381"/>
        <v/>
      </c>
      <c r="DZ13" s="98">
        <f t="shared" si="382"/>
        <v>0</v>
      </c>
      <c r="EA13" s="93" t="str">
        <f t="shared" si="383"/>
        <v/>
      </c>
      <c r="EB13" s="94" t="str">
        <f t="shared" si="384"/>
        <v/>
      </c>
      <c r="EC13" s="95">
        <f t="shared" si="385"/>
        <v>0</v>
      </c>
      <c r="ED13" s="96" t="str">
        <f t="shared" si="386"/>
        <v/>
      </c>
      <c r="EE13" s="97" t="str">
        <f t="shared" si="387"/>
        <v/>
      </c>
      <c r="EF13" s="98">
        <f t="shared" si="388"/>
        <v>0</v>
      </c>
      <c r="EG13" s="93" t="str">
        <f t="shared" si="389"/>
        <v/>
      </c>
      <c r="EH13" s="94" t="str">
        <f t="shared" si="390"/>
        <v/>
      </c>
      <c r="EI13" s="95">
        <f t="shared" si="391"/>
        <v>0</v>
      </c>
      <c r="EJ13" s="96" t="str">
        <f t="shared" si="392"/>
        <v/>
      </c>
      <c r="EK13" s="97" t="str">
        <f t="shared" si="393"/>
        <v/>
      </c>
      <c r="EL13" s="98">
        <f t="shared" si="394"/>
        <v>0</v>
      </c>
      <c r="EM13" s="93" t="str">
        <f t="shared" si="395"/>
        <v/>
      </c>
      <c r="EN13" s="94" t="str">
        <f t="shared" si="396"/>
        <v/>
      </c>
      <c r="EO13" s="95">
        <f t="shared" si="397"/>
        <v>0</v>
      </c>
      <c r="EP13" s="96" t="str">
        <f t="shared" si="398"/>
        <v/>
      </c>
      <c r="EQ13" s="97" t="str">
        <f t="shared" si="399"/>
        <v/>
      </c>
      <c r="ER13" s="98">
        <f t="shared" si="400"/>
        <v>0</v>
      </c>
      <c r="ES13" s="93" t="str">
        <f t="shared" si="401"/>
        <v/>
      </c>
      <c r="ET13" s="94" t="str">
        <f t="shared" si="402"/>
        <v/>
      </c>
      <c r="EU13" s="95">
        <f t="shared" si="403"/>
        <v>0</v>
      </c>
      <c r="EV13" s="96" t="str">
        <f t="shared" si="404"/>
        <v/>
      </c>
      <c r="EW13" s="97" t="str">
        <f t="shared" si="405"/>
        <v/>
      </c>
      <c r="EX13" s="98">
        <f t="shared" si="406"/>
        <v>0</v>
      </c>
      <c r="EY13" s="93" t="str">
        <f t="shared" si="407"/>
        <v/>
      </c>
      <c r="EZ13" s="94" t="str">
        <f t="shared" si="408"/>
        <v/>
      </c>
      <c r="FA13" s="95">
        <f t="shared" si="409"/>
        <v>0</v>
      </c>
      <c r="FB13" s="96" t="str">
        <f t="shared" si="410"/>
        <v/>
      </c>
      <c r="FC13" s="97" t="str">
        <f t="shared" si="411"/>
        <v/>
      </c>
      <c r="FD13" s="98">
        <f t="shared" si="412"/>
        <v>0</v>
      </c>
      <c r="FE13" s="93" t="str">
        <f t="shared" si="413"/>
        <v/>
      </c>
      <c r="FF13" s="94" t="str">
        <f t="shared" si="414"/>
        <v/>
      </c>
      <c r="FG13" s="95">
        <f t="shared" si="415"/>
        <v>0</v>
      </c>
      <c r="FH13" s="96" t="str">
        <f t="shared" si="416"/>
        <v/>
      </c>
      <c r="FI13" s="97" t="str">
        <f t="shared" si="417"/>
        <v/>
      </c>
      <c r="FJ13" s="98">
        <f t="shared" si="418"/>
        <v>0</v>
      </c>
    </row>
    <row r="14" ht="15.75" customHeight="1">
      <c r="A14" s="6" t="str">
        <f>Menus!B6</f>
        <v/>
      </c>
      <c r="B14" s="16">
        <f t="shared" si="256"/>
        <v>0</v>
      </c>
      <c r="C14" s="16">
        <f t="shared" si="257"/>
        <v>0</v>
      </c>
      <c r="D14" s="16">
        <f t="shared" si="254"/>
        <v>0</v>
      </c>
      <c r="E14" s="87" t="str">
        <f t="shared" si="258"/>
        <v/>
      </c>
      <c r="F14" s="88" t="str">
        <f t="shared" si="259"/>
        <v/>
      </c>
      <c r="G14" s="89">
        <f t="shared" si="255"/>
        <v>0</v>
      </c>
      <c r="H14" s="90" t="str">
        <f t="shared" si="260"/>
        <v/>
      </c>
      <c r="I14" s="91" t="str">
        <f t="shared" si="261"/>
        <v/>
      </c>
      <c r="J14" s="92">
        <f t="shared" si="262"/>
        <v>0</v>
      </c>
      <c r="K14" s="93" t="str">
        <f t="shared" si="263"/>
        <v/>
      </c>
      <c r="L14" s="94" t="str">
        <f t="shared" si="264"/>
        <v/>
      </c>
      <c r="M14" s="95">
        <f t="shared" si="265"/>
        <v>0</v>
      </c>
      <c r="N14" s="96" t="str">
        <f t="shared" si="266"/>
        <v/>
      </c>
      <c r="O14" s="97" t="str">
        <f t="shared" si="267"/>
        <v/>
      </c>
      <c r="P14" s="98">
        <f t="shared" si="268"/>
        <v>0</v>
      </c>
      <c r="Q14" s="93" t="str">
        <f t="shared" si="269"/>
        <v/>
      </c>
      <c r="R14" s="94" t="str">
        <f t="shared" si="270"/>
        <v/>
      </c>
      <c r="S14" s="95">
        <f t="shared" si="271"/>
        <v>0</v>
      </c>
      <c r="T14" s="96" t="str">
        <f t="shared" si="272"/>
        <v/>
      </c>
      <c r="U14" s="97" t="str">
        <f t="shared" si="273"/>
        <v/>
      </c>
      <c r="V14" s="98">
        <f t="shared" si="274"/>
        <v>0</v>
      </c>
      <c r="W14" s="93" t="str">
        <f t="shared" si="275"/>
        <v/>
      </c>
      <c r="X14" s="94" t="str">
        <f t="shared" si="276"/>
        <v/>
      </c>
      <c r="Y14" s="95">
        <f t="shared" si="277"/>
        <v>0</v>
      </c>
      <c r="Z14" s="96" t="str">
        <f t="shared" si="278"/>
        <v/>
      </c>
      <c r="AA14" s="97" t="str">
        <f t="shared" si="279"/>
        <v/>
      </c>
      <c r="AB14" s="98">
        <f t="shared" si="280"/>
        <v>0</v>
      </c>
      <c r="AC14" s="93" t="str">
        <f t="shared" si="281"/>
        <v/>
      </c>
      <c r="AD14" s="94" t="str">
        <f t="shared" si="282"/>
        <v/>
      </c>
      <c r="AE14" s="95">
        <f t="shared" si="283"/>
        <v>0</v>
      </c>
      <c r="AF14" s="96" t="str">
        <f t="shared" si="284"/>
        <v/>
      </c>
      <c r="AG14" s="97" t="str">
        <f t="shared" si="285"/>
        <v/>
      </c>
      <c r="AH14" s="98">
        <f t="shared" si="286"/>
        <v>0</v>
      </c>
      <c r="AI14" s="93" t="str">
        <f t="shared" si="287"/>
        <v/>
      </c>
      <c r="AJ14" s="94" t="str">
        <f t="shared" si="288"/>
        <v/>
      </c>
      <c r="AK14" s="95">
        <f t="shared" si="289"/>
        <v>0</v>
      </c>
      <c r="AL14" s="96" t="str">
        <f t="shared" si="290"/>
        <v/>
      </c>
      <c r="AM14" s="97" t="str">
        <f t="shared" si="291"/>
        <v/>
      </c>
      <c r="AN14" s="98">
        <f t="shared" si="292"/>
        <v>0</v>
      </c>
      <c r="AO14" s="93" t="str">
        <f t="shared" si="293"/>
        <v/>
      </c>
      <c r="AP14" s="94" t="str">
        <f t="shared" si="294"/>
        <v/>
      </c>
      <c r="AQ14" s="95">
        <f t="shared" si="295"/>
        <v>0</v>
      </c>
      <c r="AR14" s="96" t="str">
        <f t="shared" si="296"/>
        <v/>
      </c>
      <c r="AS14" s="97" t="str">
        <f t="shared" si="297"/>
        <v/>
      </c>
      <c r="AT14" s="98">
        <f t="shared" si="298"/>
        <v>0</v>
      </c>
      <c r="AU14" s="93" t="str">
        <f t="shared" si="299"/>
        <v/>
      </c>
      <c r="AV14" s="94" t="str">
        <f t="shared" si="300"/>
        <v/>
      </c>
      <c r="AW14" s="95">
        <f t="shared" si="301"/>
        <v>0</v>
      </c>
      <c r="AX14" s="96" t="str">
        <f t="shared" si="302"/>
        <v/>
      </c>
      <c r="AY14" s="97" t="str">
        <f t="shared" si="303"/>
        <v/>
      </c>
      <c r="AZ14" s="98">
        <f t="shared" si="304"/>
        <v>0</v>
      </c>
      <c r="BA14" s="93" t="str">
        <f t="shared" si="305"/>
        <v/>
      </c>
      <c r="BB14" s="94" t="str">
        <f t="shared" si="306"/>
        <v/>
      </c>
      <c r="BC14" s="95">
        <f t="shared" si="307"/>
        <v>0</v>
      </c>
      <c r="BD14" s="96" t="str">
        <f t="shared" si="308"/>
        <v/>
      </c>
      <c r="BE14" s="97" t="str">
        <f t="shared" si="309"/>
        <v/>
      </c>
      <c r="BF14" s="98">
        <f t="shared" si="310"/>
        <v>0</v>
      </c>
      <c r="BG14" s="93" t="str">
        <f t="shared" si="311"/>
        <v/>
      </c>
      <c r="BH14" s="94" t="str">
        <f t="shared" si="312"/>
        <v/>
      </c>
      <c r="BI14" s="95">
        <f t="shared" si="313"/>
        <v>0</v>
      </c>
      <c r="BJ14" s="96" t="str">
        <f t="shared" si="314"/>
        <v/>
      </c>
      <c r="BK14" s="97" t="str">
        <f t="shared" si="315"/>
        <v/>
      </c>
      <c r="BL14" s="98">
        <f t="shared" si="316"/>
        <v>0</v>
      </c>
      <c r="BM14" s="93" t="str">
        <f t="shared" si="317"/>
        <v/>
      </c>
      <c r="BN14" s="94" t="str">
        <f t="shared" si="318"/>
        <v/>
      </c>
      <c r="BO14" s="95">
        <f t="shared" si="319"/>
        <v>0</v>
      </c>
      <c r="BP14" s="96" t="str">
        <f t="shared" si="320"/>
        <v/>
      </c>
      <c r="BQ14" s="97" t="str">
        <f t="shared" si="321"/>
        <v/>
      </c>
      <c r="BR14" s="98">
        <f t="shared" si="322"/>
        <v>0</v>
      </c>
      <c r="BS14" s="93" t="str">
        <f t="shared" si="323"/>
        <v/>
      </c>
      <c r="BT14" s="94" t="str">
        <f t="shared" si="324"/>
        <v/>
      </c>
      <c r="BU14" s="95">
        <f t="shared" si="325"/>
        <v>0</v>
      </c>
      <c r="BV14" s="96" t="str">
        <f t="shared" si="326"/>
        <v/>
      </c>
      <c r="BW14" s="97" t="str">
        <f t="shared" si="327"/>
        <v/>
      </c>
      <c r="BX14" s="98">
        <f t="shared" si="328"/>
        <v>0</v>
      </c>
      <c r="BY14" s="93" t="str">
        <f t="shared" si="329"/>
        <v/>
      </c>
      <c r="BZ14" s="94" t="str">
        <f t="shared" si="330"/>
        <v/>
      </c>
      <c r="CA14" s="95">
        <f t="shared" si="331"/>
        <v>0</v>
      </c>
      <c r="CB14" s="96" t="str">
        <f t="shared" si="332"/>
        <v/>
      </c>
      <c r="CC14" s="97" t="str">
        <f t="shared" si="333"/>
        <v/>
      </c>
      <c r="CD14" s="98">
        <f t="shared" si="334"/>
        <v>0</v>
      </c>
      <c r="CE14" s="93" t="str">
        <f t="shared" si="335"/>
        <v/>
      </c>
      <c r="CF14" s="94" t="str">
        <f t="shared" si="336"/>
        <v/>
      </c>
      <c r="CG14" s="95">
        <f t="shared" si="337"/>
        <v>0</v>
      </c>
      <c r="CH14" s="96" t="str">
        <f t="shared" si="338"/>
        <v/>
      </c>
      <c r="CI14" s="97" t="str">
        <f t="shared" si="339"/>
        <v/>
      </c>
      <c r="CJ14" s="98">
        <f t="shared" si="340"/>
        <v>0</v>
      </c>
      <c r="CK14" s="93" t="str">
        <f t="shared" si="341"/>
        <v/>
      </c>
      <c r="CL14" s="94" t="str">
        <f t="shared" si="342"/>
        <v/>
      </c>
      <c r="CM14" s="95">
        <f t="shared" si="343"/>
        <v>0</v>
      </c>
      <c r="CN14" s="96" t="str">
        <f t="shared" si="344"/>
        <v/>
      </c>
      <c r="CO14" s="97" t="str">
        <f t="shared" si="345"/>
        <v/>
      </c>
      <c r="CP14" s="98">
        <f t="shared" si="346"/>
        <v>0</v>
      </c>
      <c r="CQ14" s="93" t="str">
        <f t="shared" si="347"/>
        <v/>
      </c>
      <c r="CR14" s="94" t="str">
        <f t="shared" si="348"/>
        <v/>
      </c>
      <c r="CS14" s="95">
        <f t="shared" si="349"/>
        <v>0</v>
      </c>
      <c r="CT14" s="96" t="str">
        <f t="shared" si="350"/>
        <v/>
      </c>
      <c r="CU14" s="97" t="str">
        <f t="shared" si="351"/>
        <v/>
      </c>
      <c r="CV14" s="98">
        <f t="shared" si="352"/>
        <v>0</v>
      </c>
      <c r="CW14" s="93" t="str">
        <f t="shared" si="353"/>
        <v/>
      </c>
      <c r="CX14" s="94" t="str">
        <f t="shared" si="354"/>
        <v/>
      </c>
      <c r="CY14" s="95">
        <f t="shared" si="355"/>
        <v>0</v>
      </c>
      <c r="CZ14" s="96" t="str">
        <f t="shared" si="356"/>
        <v/>
      </c>
      <c r="DA14" s="97" t="str">
        <f t="shared" si="357"/>
        <v/>
      </c>
      <c r="DB14" s="98">
        <f t="shared" si="358"/>
        <v>0</v>
      </c>
      <c r="DC14" s="93" t="str">
        <f t="shared" si="359"/>
        <v/>
      </c>
      <c r="DD14" s="94" t="str">
        <f t="shared" si="360"/>
        <v/>
      </c>
      <c r="DE14" s="95">
        <f t="shared" si="361"/>
        <v>0</v>
      </c>
      <c r="DF14" s="96" t="str">
        <f t="shared" si="362"/>
        <v/>
      </c>
      <c r="DG14" s="97" t="str">
        <f t="shared" si="363"/>
        <v/>
      </c>
      <c r="DH14" s="98">
        <f t="shared" si="364"/>
        <v>0</v>
      </c>
      <c r="DI14" s="93" t="str">
        <f t="shared" si="365"/>
        <v/>
      </c>
      <c r="DJ14" s="94" t="str">
        <f t="shared" si="366"/>
        <v/>
      </c>
      <c r="DK14" s="95">
        <f t="shared" si="367"/>
        <v>0</v>
      </c>
      <c r="DL14" s="96" t="str">
        <f t="shared" si="368"/>
        <v/>
      </c>
      <c r="DM14" s="97" t="str">
        <f t="shared" si="369"/>
        <v/>
      </c>
      <c r="DN14" s="98">
        <f t="shared" si="370"/>
        <v>0</v>
      </c>
      <c r="DO14" s="93" t="str">
        <f t="shared" si="371"/>
        <v/>
      </c>
      <c r="DP14" s="94" t="str">
        <f t="shared" si="372"/>
        <v/>
      </c>
      <c r="DQ14" s="95">
        <f t="shared" si="373"/>
        <v>0</v>
      </c>
      <c r="DR14" s="96" t="str">
        <f t="shared" si="374"/>
        <v/>
      </c>
      <c r="DS14" s="97" t="str">
        <f t="shared" si="375"/>
        <v/>
      </c>
      <c r="DT14" s="98">
        <f t="shared" si="376"/>
        <v>0</v>
      </c>
      <c r="DU14" s="93" t="str">
        <f t="shared" si="377"/>
        <v/>
      </c>
      <c r="DV14" s="94" t="str">
        <f t="shared" si="378"/>
        <v/>
      </c>
      <c r="DW14" s="95">
        <f t="shared" si="379"/>
        <v>0</v>
      </c>
      <c r="DX14" s="96" t="str">
        <f t="shared" si="380"/>
        <v/>
      </c>
      <c r="DY14" s="97" t="str">
        <f t="shared" si="381"/>
        <v/>
      </c>
      <c r="DZ14" s="98">
        <f t="shared" si="382"/>
        <v>0</v>
      </c>
      <c r="EA14" s="93" t="str">
        <f t="shared" si="383"/>
        <v/>
      </c>
      <c r="EB14" s="94" t="str">
        <f t="shared" si="384"/>
        <v/>
      </c>
      <c r="EC14" s="95">
        <f t="shared" si="385"/>
        <v>0</v>
      </c>
      <c r="ED14" s="96" t="str">
        <f t="shared" si="386"/>
        <v/>
      </c>
      <c r="EE14" s="97" t="str">
        <f t="shared" si="387"/>
        <v/>
      </c>
      <c r="EF14" s="98">
        <f t="shared" si="388"/>
        <v>0</v>
      </c>
      <c r="EG14" s="93" t="str">
        <f t="shared" si="389"/>
        <v/>
      </c>
      <c r="EH14" s="94" t="str">
        <f t="shared" si="390"/>
        <v/>
      </c>
      <c r="EI14" s="95">
        <f t="shared" si="391"/>
        <v>0</v>
      </c>
      <c r="EJ14" s="96" t="str">
        <f t="shared" si="392"/>
        <v/>
      </c>
      <c r="EK14" s="97" t="str">
        <f t="shared" si="393"/>
        <v/>
      </c>
      <c r="EL14" s="98">
        <f t="shared" si="394"/>
        <v>0</v>
      </c>
      <c r="EM14" s="93" t="str">
        <f t="shared" si="395"/>
        <v/>
      </c>
      <c r="EN14" s="94" t="str">
        <f t="shared" si="396"/>
        <v/>
      </c>
      <c r="EO14" s="95">
        <f t="shared" si="397"/>
        <v>0</v>
      </c>
      <c r="EP14" s="96" t="str">
        <f t="shared" si="398"/>
        <v/>
      </c>
      <c r="EQ14" s="97" t="str">
        <f t="shared" si="399"/>
        <v/>
      </c>
      <c r="ER14" s="98">
        <f t="shared" si="400"/>
        <v>0</v>
      </c>
      <c r="ES14" s="93" t="str">
        <f t="shared" si="401"/>
        <v/>
      </c>
      <c r="ET14" s="94" t="str">
        <f t="shared" si="402"/>
        <v/>
      </c>
      <c r="EU14" s="95">
        <f t="shared" si="403"/>
        <v>0</v>
      </c>
      <c r="EV14" s="96" t="str">
        <f t="shared" si="404"/>
        <v/>
      </c>
      <c r="EW14" s="97" t="str">
        <f t="shared" si="405"/>
        <v/>
      </c>
      <c r="EX14" s="98">
        <f t="shared" si="406"/>
        <v>0</v>
      </c>
      <c r="EY14" s="93" t="str">
        <f t="shared" si="407"/>
        <v/>
      </c>
      <c r="EZ14" s="94" t="str">
        <f t="shared" si="408"/>
        <v/>
      </c>
      <c r="FA14" s="95">
        <f t="shared" si="409"/>
        <v>0</v>
      </c>
      <c r="FB14" s="96" t="str">
        <f t="shared" si="410"/>
        <v/>
      </c>
      <c r="FC14" s="97" t="str">
        <f t="shared" si="411"/>
        <v/>
      </c>
      <c r="FD14" s="98">
        <f t="shared" si="412"/>
        <v>0</v>
      </c>
      <c r="FE14" s="93" t="str">
        <f t="shared" si="413"/>
        <v/>
      </c>
      <c r="FF14" s="94" t="str">
        <f t="shared" si="414"/>
        <v/>
      </c>
      <c r="FG14" s="95">
        <f t="shared" si="415"/>
        <v>0</v>
      </c>
      <c r="FH14" s="96" t="str">
        <f t="shared" si="416"/>
        <v/>
      </c>
      <c r="FI14" s="97" t="str">
        <f t="shared" si="417"/>
        <v/>
      </c>
      <c r="FJ14" s="98">
        <f t="shared" si="418"/>
        <v>0</v>
      </c>
    </row>
    <row r="15" ht="15.75" customHeight="1">
      <c r="A15" s="6" t="str">
        <f>Menus!B7</f>
        <v/>
      </c>
      <c r="B15" s="16">
        <f t="shared" si="256"/>
        <v>0</v>
      </c>
      <c r="C15" s="16">
        <f t="shared" si="257"/>
        <v>0</v>
      </c>
      <c r="D15" s="16">
        <f t="shared" si="254"/>
        <v>0</v>
      </c>
      <c r="E15" s="87" t="str">
        <f t="shared" si="258"/>
        <v/>
      </c>
      <c r="F15" s="88" t="str">
        <f t="shared" si="259"/>
        <v/>
      </c>
      <c r="G15" s="89">
        <f t="shared" si="255"/>
        <v>0</v>
      </c>
      <c r="H15" s="90" t="str">
        <f t="shared" si="260"/>
        <v/>
      </c>
      <c r="I15" s="91" t="str">
        <f t="shared" si="261"/>
        <v/>
      </c>
      <c r="J15" s="92">
        <f t="shared" si="262"/>
        <v>0</v>
      </c>
      <c r="K15" s="93" t="str">
        <f t="shared" si="263"/>
        <v/>
      </c>
      <c r="L15" s="94" t="str">
        <f t="shared" si="264"/>
        <v/>
      </c>
      <c r="M15" s="95">
        <f t="shared" si="265"/>
        <v>0</v>
      </c>
      <c r="N15" s="96" t="str">
        <f t="shared" si="266"/>
        <v/>
      </c>
      <c r="O15" s="97" t="str">
        <f t="shared" si="267"/>
        <v/>
      </c>
      <c r="P15" s="98">
        <f t="shared" si="268"/>
        <v>0</v>
      </c>
      <c r="Q15" s="93" t="str">
        <f t="shared" si="269"/>
        <v/>
      </c>
      <c r="R15" s="94" t="str">
        <f t="shared" si="270"/>
        <v/>
      </c>
      <c r="S15" s="95">
        <f t="shared" si="271"/>
        <v>0</v>
      </c>
      <c r="T15" s="96" t="str">
        <f t="shared" si="272"/>
        <v/>
      </c>
      <c r="U15" s="97" t="str">
        <f t="shared" si="273"/>
        <v/>
      </c>
      <c r="V15" s="98">
        <f t="shared" si="274"/>
        <v>0</v>
      </c>
      <c r="W15" s="93" t="str">
        <f t="shared" si="275"/>
        <v/>
      </c>
      <c r="X15" s="94" t="str">
        <f t="shared" si="276"/>
        <v/>
      </c>
      <c r="Y15" s="95">
        <f t="shared" si="277"/>
        <v>0</v>
      </c>
      <c r="Z15" s="96" t="str">
        <f t="shared" si="278"/>
        <v/>
      </c>
      <c r="AA15" s="97" t="str">
        <f t="shared" si="279"/>
        <v/>
      </c>
      <c r="AB15" s="98">
        <f t="shared" si="280"/>
        <v>0</v>
      </c>
      <c r="AC15" s="93" t="str">
        <f t="shared" si="281"/>
        <v/>
      </c>
      <c r="AD15" s="94" t="str">
        <f t="shared" si="282"/>
        <v/>
      </c>
      <c r="AE15" s="95">
        <f t="shared" si="283"/>
        <v>0</v>
      </c>
      <c r="AF15" s="96" t="str">
        <f t="shared" si="284"/>
        <v/>
      </c>
      <c r="AG15" s="97" t="str">
        <f t="shared" si="285"/>
        <v/>
      </c>
      <c r="AH15" s="98">
        <f t="shared" si="286"/>
        <v>0</v>
      </c>
      <c r="AI15" s="93" t="str">
        <f t="shared" si="287"/>
        <v/>
      </c>
      <c r="AJ15" s="94" t="str">
        <f t="shared" si="288"/>
        <v/>
      </c>
      <c r="AK15" s="95">
        <f t="shared" si="289"/>
        <v>0</v>
      </c>
      <c r="AL15" s="96" t="str">
        <f t="shared" si="290"/>
        <v/>
      </c>
      <c r="AM15" s="97" t="str">
        <f t="shared" si="291"/>
        <v/>
      </c>
      <c r="AN15" s="98">
        <f t="shared" si="292"/>
        <v>0</v>
      </c>
      <c r="AO15" s="93" t="str">
        <f t="shared" si="293"/>
        <v/>
      </c>
      <c r="AP15" s="94" t="str">
        <f t="shared" si="294"/>
        <v/>
      </c>
      <c r="AQ15" s="95">
        <f t="shared" si="295"/>
        <v>0</v>
      </c>
      <c r="AR15" s="96" t="str">
        <f t="shared" si="296"/>
        <v/>
      </c>
      <c r="AS15" s="97" t="str">
        <f t="shared" si="297"/>
        <v/>
      </c>
      <c r="AT15" s="98">
        <f t="shared" si="298"/>
        <v>0</v>
      </c>
      <c r="AU15" s="93" t="str">
        <f t="shared" si="299"/>
        <v/>
      </c>
      <c r="AV15" s="94" t="str">
        <f t="shared" si="300"/>
        <v/>
      </c>
      <c r="AW15" s="95">
        <f t="shared" si="301"/>
        <v>0</v>
      </c>
      <c r="AX15" s="96" t="str">
        <f t="shared" si="302"/>
        <v/>
      </c>
      <c r="AY15" s="97" t="str">
        <f t="shared" si="303"/>
        <v/>
      </c>
      <c r="AZ15" s="98">
        <f t="shared" si="304"/>
        <v>0</v>
      </c>
      <c r="BA15" s="93" t="str">
        <f t="shared" si="305"/>
        <v/>
      </c>
      <c r="BB15" s="94" t="str">
        <f t="shared" si="306"/>
        <v/>
      </c>
      <c r="BC15" s="95">
        <f t="shared" si="307"/>
        <v>0</v>
      </c>
      <c r="BD15" s="96" t="str">
        <f t="shared" si="308"/>
        <v/>
      </c>
      <c r="BE15" s="97" t="str">
        <f t="shared" si="309"/>
        <v/>
      </c>
      <c r="BF15" s="98">
        <f t="shared" si="310"/>
        <v>0</v>
      </c>
      <c r="BG15" s="93" t="str">
        <f t="shared" si="311"/>
        <v/>
      </c>
      <c r="BH15" s="94" t="str">
        <f t="shared" si="312"/>
        <v/>
      </c>
      <c r="BI15" s="95">
        <f t="shared" si="313"/>
        <v>0</v>
      </c>
      <c r="BJ15" s="96" t="str">
        <f t="shared" si="314"/>
        <v/>
      </c>
      <c r="BK15" s="97" t="str">
        <f t="shared" si="315"/>
        <v/>
      </c>
      <c r="BL15" s="98">
        <f t="shared" si="316"/>
        <v>0</v>
      </c>
      <c r="BM15" s="93" t="str">
        <f t="shared" si="317"/>
        <v/>
      </c>
      <c r="BN15" s="94" t="str">
        <f t="shared" si="318"/>
        <v/>
      </c>
      <c r="BO15" s="95">
        <f t="shared" si="319"/>
        <v>0</v>
      </c>
      <c r="BP15" s="96" t="str">
        <f t="shared" si="320"/>
        <v/>
      </c>
      <c r="BQ15" s="97" t="str">
        <f t="shared" si="321"/>
        <v/>
      </c>
      <c r="BR15" s="98">
        <f t="shared" si="322"/>
        <v>0</v>
      </c>
      <c r="BS15" s="93" t="str">
        <f t="shared" si="323"/>
        <v/>
      </c>
      <c r="BT15" s="94" t="str">
        <f t="shared" si="324"/>
        <v/>
      </c>
      <c r="BU15" s="95">
        <f t="shared" si="325"/>
        <v>0</v>
      </c>
      <c r="BV15" s="96" t="str">
        <f t="shared" si="326"/>
        <v/>
      </c>
      <c r="BW15" s="97" t="str">
        <f t="shared" si="327"/>
        <v/>
      </c>
      <c r="BX15" s="98">
        <f t="shared" si="328"/>
        <v>0</v>
      </c>
      <c r="BY15" s="93" t="str">
        <f t="shared" si="329"/>
        <v/>
      </c>
      <c r="BZ15" s="94" t="str">
        <f t="shared" si="330"/>
        <v/>
      </c>
      <c r="CA15" s="95">
        <f t="shared" si="331"/>
        <v>0</v>
      </c>
      <c r="CB15" s="96" t="str">
        <f t="shared" si="332"/>
        <v/>
      </c>
      <c r="CC15" s="97" t="str">
        <f t="shared" si="333"/>
        <v/>
      </c>
      <c r="CD15" s="98">
        <f t="shared" si="334"/>
        <v>0</v>
      </c>
      <c r="CE15" s="93" t="str">
        <f t="shared" si="335"/>
        <v/>
      </c>
      <c r="CF15" s="94" t="str">
        <f t="shared" si="336"/>
        <v/>
      </c>
      <c r="CG15" s="95">
        <f t="shared" si="337"/>
        <v>0</v>
      </c>
      <c r="CH15" s="96" t="str">
        <f t="shared" si="338"/>
        <v/>
      </c>
      <c r="CI15" s="97" t="str">
        <f t="shared" si="339"/>
        <v/>
      </c>
      <c r="CJ15" s="98">
        <f t="shared" si="340"/>
        <v>0</v>
      </c>
      <c r="CK15" s="93" t="str">
        <f t="shared" si="341"/>
        <v/>
      </c>
      <c r="CL15" s="94" t="str">
        <f t="shared" si="342"/>
        <v/>
      </c>
      <c r="CM15" s="95">
        <f t="shared" si="343"/>
        <v>0</v>
      </c>
      <c r="CN15" s="96" t="str">
        <f t="shared" si="344"/>
        <v/>
      </c>
      <c r="CO15" s="97" t="str">
        <f t="shared" si="345"/>
        <v/>
      </c>
      <c r="CP15" s="98">
        <f t="shared" si="346"/>
        <v>0</v>
      </c>
      <c r="CQ15" s="93" t="str">
        <f t="shared" si="347"/>
        <v/>
      </c>
      <c r="CR15" s="94" t="str">
        <f t="shared" si="348"/>
        <v/>
      </c>
      <c r="CS15" s="95">
        <f t="shared" si="349"/>
        <v>0</v>
      </c>
      <c r="CT15" s="96" t="str">
        <f t="shared" si="350"/>
        <v/>
      </c>
      <c r="CU15" s="97" t="str">
        <f t="shared" si="351"/>
        <v/>
      </c>
      <c r="CV15" s="98">
        <f t="shared" si="352"/>
        <v>0</v>
      </c>
      <c r="CW15" s="93" t="str">
        <f t="shared" si="353"/>
        <v/>
      </c>
      <c r="CX15" s="94" t="str">
        <f t="shared" si="354"/>
        <v/>
      </c>
      <c r="CY15" s="95">
        <f t="shared" si="355"/>
        <v>0</v>
      </c>
      <c r="CZ15" s="96" t="str">
        <f t="shared" si="356"/>
        <v/>
      </c>
      <c r="DA15" s="97" t="str">
        <f t="shared" si="357"/>
        <v/>
      </c>
      <c r="DB15" s="98">
        <f t="shared" si="358"/>
        <v>0</v>
      </c>
      <c r="DC15" s="93" t="str">
        <f t="shared" si="359"/>
        <v/>
      </c>
      <c r="DD15" s="94" t="str">
        <f t="shared" si="360"/>
        <v/>
      </c>
      <c r="DE15" s="95">
        <f t="shared" si="361"/>
        <v>0</v>
      </c>
      <c r="DF15" s="96" t="str">
        <f t="shared" si="362"/>
        <v/>
      </c>
      <c r="DG15" s="97" t="str">
        <f t="shared" si="363"/>
        <v/>
      </c>
      <c r="DH15" s="98">
        <f t="shared" si="364"/>
        <v>0</v>
      </c>
      <c r="DI15" s="93" t="str">
        <f t="shared" si="365"/>
        <v/>
      </c>
      <c r="DJ15" s="94" t="str">
        <f t="shared" si="366"/>
        <v/>
      </c>
      <c r="DK15" s="95">
        <f t="shared" si="367"/>
        <v>0</v>
      </c>
      <c r="DL15" s="96" t="str">
        <f t="shared" si="368"/>
        <v/>
      </c>
      <c r="DM15" s="97" t="str">
        <f t="shared" si="369"/>
        <v/>
      </c>
      <c r="DN15" s="98">
        <f t="shared" si="370"/>
        <v>0</v>
      </c>
      <c r="DO15" s="93" t="str">
        <f t="shared" si="371"/>
        <v/>
      </c>
      <c r="DP15" s="94" t="str">
        <f t="shared" si="372"/>
        <v/>
      </c>
      <c r="DQ15" s="95">
        <f t="shared" si="373"/>
        <v>0</v>
      </c>
      <c r="DR15" s="96" t="str">
        <f t="shared" si="374"/>
        <v/>
      </c>
      <c r="DS15" s="97" t="str">
        <f t="shared" si="375"/>
        <v/>
      </c>
      <c r="DT15" s="98">
        <f t="shared" si="376"/>
        <v>0</v>
      </c>
      <c r="DU15" s="93" t="str">
        <f t="shared" si="377"/>
        <v/>
      </c>
      <c r="DV15" s="94" t="str">
        <f t="shared" si="378"/>
        <v/>
      </c>
      <c r="DW15" s="95">
        <f t="shared" si="379"/>
        <v>0</v>
      </c>
      <c r="DX15" s="96" t="str">
        <f t="shared" si="380"/>
        <v/>
      </c>
      <c r="DY15" s="97" t="str">
        <f t="shared" si="381"/>
        <v/>
      </c>
      <c r="DZ15" s="98">
        <f t="shared" si="382"/>
        <v>0</v>
      </c>
      <c r="EA15" s="93" t="str">
        <f t="shared" si="383"/>
        <v/>
      </c>
      <c r="EB15" s="94" t="str">
        <f t="shared" si="384"/>
        <v/>
      </c>
      <c r="EC15" s="95">
        <f t="shared" si="385"/>
        <v>0</v>
      </c>
      <c r="ED15" s="96" t="str">
        <f t="shared" si="386"/>
        <v/>
      </c>
      <c r="EE15" s="97" t="str">
        <f t="shared" si="387"/>
        <v/>
      </c>
      <c r="EF15" s="98">
        <f t="shared" si="388"/>
        <v>0</v>
      </c>
      <c r="EG15" s="93" t="str">
        <f t="shared" si="389"/>
        <v/>
      </c>
      <c r="EH15" s="94" t="str">
        <f t="shared" si="390"/>
        <v/>
      </c>
      <c r="EI15" s="95">
        <f t="shared" si="391"/>
        <v>0</v>
      </c>
      <c r="EJ15" s="96" t="str">
        <f t="shared" si="392"/>
        <v/>
      </c>
      <c r="EK15" s="97" t="str">
        <f t="shared" si="393"/>
        <v/>
      </c>
      <c r="EL15" s="98">
        <f t="shared" si="394"/>
        <v>0</v>
      </c>
      <c r="EM15" s="93" t="str">
        <f t="shared" si="395"/>
        <v/>
      </c>
      <c r="EN15" s="94" t="str">
        <f t="shared" si="396"/>
        <v/>
      </c>
      <c r="EO15" s="95">
        <f t="shared" si="397"/>
        <v>0</v>
      </c>
      <c r="EP15" s="96" t="str">
        <f t="shared" si="398"/>
        <v/>
      </c>
      <c r="EQ15" s="97" t="str">
        <f t="shared" si="399"/>
        <v/>
      </c>
      <c r="ER15" s="98">
        <f t="shared" si="400"/>
        <v>0</v>
      </c>
      <c r="ES15" s="93" t="str">
        <f t="shared" si="401"/>
        <v/>
      </c>
      <c r="ET15" s="94" t="str">
        <f t="shared" si="402"/>
        <v/>
      </c>
      <c r="EU15" s="95">
        <f t="shared" si="403"/>
        <v>0</v>
      </c>
      <c r="EV15" s="96" t="str">
        <f t="shared" si="404"/>
        <v/>
      </c>
      <c r="EW15" s="97" t="str">
        <f t="shared" si="405"/>
        <v/>
      </c>
      <c r="EX15" s="98">
        <f t="shared" si="406"/>
        <v>0</v>
      </c>
      <c r="EY15" s="93" t="str">
        <f t="shared" si="407"/>
        <v/>
      </c>
      <c r="EZ15" s="94" t="str">
        <f t="shared" si="408"/>
        <v/>
      </c>
      <c r="FA15" s="95">
        <f t="shared" si="409"/>
        <v>0</v>
      </c>
      <c r="FB15" s="96" t="str">
        <f t="shared" si="410"/>
        <v/>
      </c>
      <c r="FC15" s="97" t="str">
        <f t="shared" si="411"/>
        <v/>
      </c>
      <c r="FD15" s="98">
        <f t="shared" si="412"/>
        <v>0</v>
      </c>
      <c r="FE15" s="93" t="str">
        <f t="shared" si="413"/>
        <v/>
      </c>
      <c r="FF15" s="94" t="str">
        <f t="shared" si="414"/>
        <v/>
      </c>
      <c r="FG15" s="95">
        <f t="shared" si="415"/>
        <v>0</v>
      </c>
      <c r="FH15" s="96" t="str">
        <f t="shared" si="416"/>
        <v/>
      </c>
      <c r="FI15" s="97" t="str">
        <f t="shared" si="417"/>
        <v/>
      </c>
      <c r="FJ15" s="98">
        <f t="shared" si="418"/>
        <v>0</v>
      </c>
    </row>
    <row r="16" ht="15.75" customHeight="1">
      <c r="A16" s="20" t="str">
        <f>Menus!B8</f>
        <v/>
      </c>
      <c r="B16" s="16">
        <f t="shared" si="256"/>
        <v>0</v>
      </c>
      <c r="C16" s="16">
        <f t="shared" si="257"/>
        <v>0</v>
      </c>
      <c r="D16" s="16">
        <f t="shared" si="254"/>
        <v>0</v>
      </c>
      <c r="E16" s="87" t="str">
        <f t="shared" si="258"/>
        <v/>
      </c>
      <c r="F16" s="88" t="str">
        <f t="shared" si="259"/>
        <v/>
      </c>
      <c r="G16" s="89">
        <f t="shared" si="255"/>
        <v>0</v>
      </c>
      <c r="H16" s="90" t="str">
        <f t="shared" si="260"/>
        <v/>
      </c>
      <c r="I16" s="91" t="str">
        <f t="shared" si="261"/>
        <v/>
      </c>
      <c r="J16" s="92">
        <f t="shared" si="262"/>
        <v>0</v>
      </c>
      <c r="K16" s="93" t="str">
        <f t="shared" si="263"/>
        <v/>
      </c>
      <c r="L16" s="94" t="str">
        <f t="shared" si="264"/>
        <v/>
      </c>
      <c r="M16" s="95">
        <f t="shared" si="265"/>
        <v>0</v>
      </c>
      <c r="N16" s="96" t="str">
        <f t="shared" si="266"/>
        <v/>
      </c>
      <c r="O16" s="97" t="str">
        <f t="shared" si="267"/>
        <v/>
      </c>
      <c r="P16" s="98">
        <f t="shared" si="268"/>
        <v>0</v>
      </c>
      <c r="Q16" s="93" t="str">
        <f t="shared" si="269"/>
        <v/>
      </c>
      <c r="R16" s="94" t="str">
        <f t="shared" si="270"/>
        <v/>
      </c>
      <c r="S16" s="95">
        <f t="shared" si="271"/>
        <v>0</v>
      </c>
      <c r="T16" s="96" t="str">
        <f t="shared" si="272"/>
        <v/>
      </c>
      <c r="U16" s="97" t="str">
        <f t="shared" si="273"/>
        <v/>
      </c>
      <c r="V16" s="98">
        <f t="shared" si="274"/>
        <v>0</v>
      </c>
      <c r="W16" s="93" t="str">
        <f t="shared" si="275"/>
        <v/>
      </c>
      <c r="X16" s="94" t="str">
        <f t="shared" si="276"/>
        <v/>
      </c>
      <c r="Y16" s="95">
        <f t="shared" si="277"/>
        <v>0</v>
      </c>
      <c r="Z16" s="96" t="str">
        <f t="shared" si="278"/>
        <v/>
      </c>
      <c r="AA16" s="97" t="str">
        <f t="shared" si="279"/>
        <v/>
      </c>
      <c r="AB16" s="98">
        <f t="shared" si="280"/>
        <v>0</v>
      </c>
      <c r="AC16" s="93" t="str">
        <f t="shared" si="281"/>
        <v/>
      </c>
      <c r="AD16" s="94" t="str">
        <f t="shared" si="282"/>
        <v/>
      </c>
      <c r="AE16" s="95">
        <f t="shared" si="283"/>
        <v>0</v>
      </c>
      <c r="AF16" s="96" t="str">
        <f t="shared" si="284"/>
        <v/>
      </c>
      <c r="AG16" s="97" t="str">
        <f t="shared" si="285"/>
        <v/>
      </c>
      <c r="AH16" s="98">
        <f t="shared" si="286"/>
        <v>0</v>
      </c>
      <c r="AI16" s="93" t="str">
        <f t="shared" si="287"/>
        <v/>
      </c>
      <c r="AJ16" s="94" t="str">
        <f t="shared" si="288"/>
        <v/>
      </c>
      <c r="AK16" s="95">
        <f t="shared" si="289"/>
        <v>0</v>
      </c>
      <c r="AL16" s="96" t="str">
        <f t="shared" si="290"/>
        <v/>
      </c>
      <c r="AM16" s="97" t="str">
        <f t="shared" si="291"/>
        <v/>
      </c>
      <c r="AN16" s="98">
        <f t="shared" si="292"/>
        <v>0</v>
      </c>
      <c r="AO16" s="93" t="str">
        <f t="shared" si="293"/>
        <v/>
      </c>
      <c r="AP16" s="94" t="str">
        <f t="shared" si="294"/>
        <v/>
      </c>
      <c r="AQ16" s="95">
        <f t="shared" si="295"/>
        <v>0</v>
      </c>
      <c r="AR16" s="96" t="str">
        <f t="shared" si="296"/>
        <v/>
      </c>
      <c r="AS16" s="97" t="str">
        <f t="shared" si="297"/>
        <v/>
      </c>
      <c r="AT16" s="98">
        <f t="shared" si="298"/>
        <v>0</v>
      </c>
      <c r="AU16" s="93" t="str">
        <f t="shared" si="299"/>
        <v/>
      </c>
      <c r="AV16" s="94" t="str">
        <f t="shared" si="300"/>
        <v/>
      </c>
      <c r="AW16" s="95">
        <f t="shared" si="301"/>
        <v>0</v>
      </c>
      <c r="AX16" s="96" t="str">
        <f t="shared" si="302"/>
        <v/>
      </c>
      <c r="AY16" s="97" t="str">
        <f t="shared" si="303"/>
        <v/>
      </c>
      <c r="AZ16" s="98">
        <f t="shared" si="304"/>
        <v>0</v>
      </c>
      <c r="BA16" s="93" t="str">
        <f t="shared" si="305"/>
        <v/>
      </c>
      <c r="BB16" s="94" t="str">
        <f t="shared" si="306"/>
        <v/>
      </c>
      <c r="BC16" s="95">
        <f t="shared" si="307"/>
        <v>0</v>
      </c>
      <c r="BD16" s="96" t="str">
        <f t="shared" si="308"/>
        <v/>
      </c>
      <c r="BE16" s="97" t="str">
        <f t="shared" si="309"/>
        <v/>
      </c>
      <c r="BF16" s="98">
        <f t="shared" si="310"/>
        <v>0</v>
      </c>
      <c r="BG16" s="93" t="str">
        <f t="shared" si="311"/>
        <v/>
      </c>
      <c r="BH16" s="94" t="str">
        <f t="shared" si="312"/>
        <v/>
      </c>
      <c r="BI16" s="95">
        <f t="shared" si="313"/>
        <v>0</v>
      </c>
      <c r="BJ16" s="96" t="str">
        <f t="shared" si="314"/>
        <v/>
      </c>
      <c r="BK16" s="97" t="str">
        <f t="shared" si="315"/>
        <v/>
      </c>
      <c r="BL16" s="98">
        <f t="shared" si="316"/>
        <v>0</v>
      </c>
      <c r="BM16" s="93" t="str">
        <f t="shared" si="317"/>
        <v/>
      </c>
      <c r="BN16" s="94" t="str">
        <f t="shared" si="318"/>
        <v/>
      </c>
      <c r="BO16" s="95">
        <f t="shared" si="319"/>
        <v>0</v>
      </c>
      <c r="BP16" s="96" t="str">
        <f t="shared" si="320"/>
        <v/>
      </c>
      <c r="BQ16" s="97" t="str">
        <f t="shared" si="321"/>
        <v/>
      </c>
      <c r="BR16" s="98">
        <f t="shared" si="322"/>
        <v>0</v>
      </c>
      <c r="BS16" s="93" t="str">
        <f t="shared" si="323"/>
        <v/>
      </c>
      <c r="BT16" s="94" t="str">
        <f t="shared" si="324"/>
        <v/>
      </c>
      <c r="BU16" s="95">
        <f t="shared" si="325"/>
        <v>0</v>
      </c>
      <c r="BV16" s="96" t="str">
        <f t="shared" si="326"/>
        <v/>
      </c>
      <c r="BW16" s="97" t="str">
        <f t="shared" si="327"/>
        <v/>
      </c>
      <c r="BX16" s="98">
        <f t="shared" si="328"/>
        <v>0</v>
      </c>
      <c r="BY16" s="93" t="str">
        <f t="shared" si="329"/>
        <v/>
      </c>
      <c r="BZ16" s="94" t="str">
        <f t="shared" si="330"/>
        <v/>
      </c>
      <c r="CA16" s="95">
        <f t="shared" si="331"/>
        <v>0</v>
      </c>
      <c r="CB16" s="96" t="str">
        <f t="shared" si="332"/>
        <v/>
      </c>
      <c r="CC16" s="97" t="str">
        <f t="shared" si="333"/>
        <v/>
      </c>
      <c r="CD16" s="98">
        <f t="shared" si="334"/>
        <v>0</v>
      </c>
      <c r="CE16" s="93" t="str">
        <f t="shared" si="335"/>
        <v/>
      </c>
      <c r="CF16" s="94" t="str">
        <f t="shared" si="336"/>
        <v/>
      </c>
      <c r="CG16" s="95">
        <f t="shared" si="337"/>
        <v>0</v>
      </c>
      <c r="CH16" s="96" t="str">
        <f t="shared" si="338"/>
        <v/>
      </c>
      <c r="CI16" s="97" t="str">
        <f t="shared" si="339"/>
        <v/>
      </c>
      <c r="CJ16" s="98">
        <f t="shared" si="340"/>
        <v>0</v>
      </c>
      <c r="CK16" s="93" t="str">
        <f t="shared" si="341"/>
        <v/>
      </c>
      <c r="CL16" s="94" t="str">
        <f t="shared" si="342"/>
        <v/>
      </c>
      <c r="CM16" s="95">
        <f t="shared" si="343"/>
        <v>0</v>
      </c>
      <c r="CN16" s="96" t="str">
        <f t="shared" si="344"/>
        <v/>
      </c>
      <c r="CO16" s="97" t="str">
        <f t="shared" si="345"/>
        <v/>
      </c>
      <c r="CP16" s="98">
        <f t="shared" si="346"/>
        <v>0</v>
      </c>
      <c r="CQ16" s="93" t="str">
        <f t="shared" si="347"/>
        <v/>
      </c>
      <c r="CR16" s="94" t="str">
        <f t="shared" si="348"/>
        <v/>
      </c>
      <c r="CS16" s="95">
        <f t="shared" si="349"/>
        <v>0</v>
      </c>
      <c r="CT16" s="96" t="str">
        <f t="shared" si="350"/>
        <v/>
      </c>
      <c r="CU16" s="97" t="str">
        <f t="shared" si="351"/>
        <v/>
      </c>
      <c r="CV16" s="98">
        <f t="shared" si="352"/>
        <v>0</v>
      </c>
      <c r="CW16" s="93" t="str">
        <f t="shared" si="353"/>
        <v/>
      </c>
      <c r="CX16" s="94" t="str">
        <f t="shared" si="354"/>
        <v/>
      </c>
      <c r="CY16" s="95">
        <f t="shared" si="355"/>
        <v>0</v>
      </c>
      <c r="CZ16" s="96" t="str">
        <f t="shared" si="356"/>
        <v/>
      </c>
      <c r="DA16" s="97" t="str">
        <f t="shared" si="357"/>
        <v/>
      </c>
      <c r="DB16" s="98">
        <f t="shared" si="358"/>
        <v>0</v>
      </c>
      <c r="DC16" s="93" t="str">
        <f t="shared" si="359"/>
        <v/>
      </c>
      <c r="DD16" s="94" t="str">
        <f t="shared" si="360"/>
        <v/>
      </c>
      <c r="DE16" s="95">
        <f t="shared" si="361"/>
        <v>0</v>
      </c>
      <c r="DF16" s="96" t="str">
        <f t="shared" si="362"/>
        <v/>
      </c>
      <c r="DG16" s="97" t="str">
        <f t="shared" si="363"/>
        <v/>
      </c>
      <c r="DH16" s="98">
        <f t="shared" si="364"/>
        <v>0</v>
      </c>
      <c r="DI16" s="93" t="str">
        <f t="shared" si="365"/>
        <v/>
      </c>
      <c r="DJ16" s="94" t="str">
        <f t="shared" si="366"/>
        <v/>
      </c>
      <c r="DK16" s="95">
        <f t="shared" si="367"/>
        <v>0</v>
      </c>
      <c r="DL16" s="96" t="str">
        <f t="shared" si="368"/>
        <v/>
      </c>
      <c r="DM16" s="97" t="str">
        <f t="shared" si="369"/>
        <v/>
      </c>
      <c r="DN16" s="98">
        <f t="shared" si="370"/>
        <v>0</v>
      </c>
      <c r="DO16" s="93" t="str">
        <f t="shared" si="371"/>
        <v/>
      </c>
      <c r="DP16" s="94" t="str">
        <f t="shared" si="372"/>
        <v/>
      </c>
      <c r="DQ16" s="95">
        <f t="shared" si="373"/>
        <v>0</v>
      </c>
      <c r="DR16" s="96" t="str">
        <f t="shared" si="374"/>
        <v/>
      </c>
      <c r="DS16" s="97" t="str">
        <f t="shared" si="375"/>
        <v/>
      </c>
      <c r="DT16" s="98">
        <f t="shared" si="376"/>
        <v>0</v>
      </c>
      <c r="DU16" s="93" t="str">
        <f t="shared" si="377"/>
        <v/>
      </c>
      <c r="DV16" s="94" t="str">
        <f t="shared" si="378"/>
        <v/>
      </c>
      <c r="DW16" s="95">
        <f t="shared" si="379"/>
        <v>0</v>
      </c>
      <c r="DX16" s="96" t="str">
        <f t="shared" si="380"/>
        <v/>
      </c>
      <c r="DY16" s="97" t="str">
        <f t="shared" si="381"/>
        <v/>
      </c>
      <c r="DZ16" s="98">
        <f t="shared" si="382"/>
        <v>0</v>
      </c>
      <c r="EA16" s="93" t="str">
        <f t="shared" si="383"/>
        <v/>
      </c>
      <c r="EB16" s="94" t="str">
        <f t="shared" si="384"/>
        <v/>
      </c>
      <c r="EC16" s="95">
        <f t="shared" si="385"/>
        <v>0</v>
      </c>
      <c r="ED16" s="96" t="str">
        <f t="shared" si="386"/>
        <v/>
      </c>
      <c r="EE16" s="97" t="str">
        <f t="shared" si="387"/>
        <v/>
      </c>
      <c r="EF16" s="98">
        <f t="shared" si="388"/>
        <v>0</v>
      </c>
      <c r="EG16" s="93" t="str">
        <f t="shared" si="389"/>
        <v/>
      </c>
      <c r="EH16" s="94" t="str">
        <f t="shared" si="390"/>
        <v/>
      </c>
      <c r="EI16" s="95">
        <f t="shared" si="391"/>
        <v>0</v>
      </c>
      <c r="EJ16" s="96" t="str">
        <f t="shared" si="392"/>
        <v/>
      </c>
      <c r="EK16" s="97" t="str">
        <f t="shared" si="393"/>
        <v/>
      </c>
      <c r="EL16" s="98">
        <f t="shared" si="394"/>
        <v>0</v>
      </c>
      <c r="EM16" s="93" t="str">
        <f t="shared" si="395"/>
        <v/>
      </c>
      <c r="EN16" s="94" t="str">
        <f t="shared" si="396"/>
        <v/>
      </c>
      <c r="EO16" s="95">
        <f t="shared" si="397"/>
        <v>0</v>
      </c>
      <c r="EP16" s="96" t="str">
        <f t="shared" si="398"/>
        <v/>
      </c>
      <c r="EQ16" s="97" t="str">
        <f t="shared" si="399"/>
        <v/>
      </c>
      <c r="ER16" s="98">
        <f t="shared" si="400"/>
        <v>0</v>
      </c>
      <c r="ES16" s="93" t="str">
        <f t="shared" si="401"/>
        <v/>
      </c>
      <c r="ET16" s="94" t="str">
        <f t="shared" si="402"/>
        <v/>
      </c>
      <c r="EU16" s="95">
        <f t="shared" si="403"/>
        <v>0</v>
      </c>
      <c r="EV16" s="96" t="str">
        <f t="shared" si="404"/>
        <v/>
      </c>
      <c r="EW16" s="97" t="str">
        <f t="shared" si="405"/>
        <v/>
      </c>
      <c r="EX16" s="98">
        <f t="shared" si="406"/>
        <v>0</v>
      </c>
      <c r="EY16" s="93" t="str">
        <f t="shared" si="407"/>
        <v/>
      </c>
      <c r="EZ16" s="94" t="str">
        <f t="shared" si="408"/>
        <v/>
      </c>
      <c r="FA16" s="95">
        <f t="shared" si="409"/>
        <v>0</v>
      </c>
      <c r="FB16" s="96" t="str">
        <f t="shared" si="410"/>
        <v/>
      </c>
      <c r="FC16" s="97" t="str">
        <f t="shared" si="411"/>
        <v/>
      </c>
      <c r="FD16" s="98">
        <f t="shared" si="412"/>
        <v>0</v>
      </c>
      <c r="FE16" s="93" t="str">
        <f t="shared" si="413"/>
        <v/>
      </c>
      <c r="FF16" s="94" t="str">
        <f t="shared" si="414"/>
        <v/>
      </c>
      <c r="FG16" s="95">
        <f t="shared" si="415"/>
        <v>0</v>
      </c>
      <c r="FH16" s="96" t="str">
        <f t="shared" si="416"/>
        <v/>
      </c>
      <c r="FI16" s="97" t="str">
        <f t="shared" si="417"/>
        <v/>
      </c>
      <c r="FJ16" s="98">
        <f t="shared" si="418"/>
        <v>0</v>
      </c>
    </row>
    <row r="17" ht="15.75" customHeight="1">
      <c r="A17" s="6" t="str">
        <f>Menus!B9</f>
        <v/>
      </c>
      <c r="B17" s="16">
        <f t="shared" si="256"/>
        <v>0</v>
      </c>
      <c r="C17" s="16">
        <f t="shared" si="257"/>
        <v>0</v>
      </c>
      <c r="D17" s="16">
        <f t="shared" si="254"/>
        <v>0</v>
      </c>
      <c r="E17" s="87" t="str">
        <f t="shared" si="258"/>
        <v/>
      </c>
      <c r="F17" s="88" t="str">
        <f t="shared" si="259"/>
        <v/>
      </c>
      <c r="G17" s="89">
        <f t="shared" si="255"/>
        <v>0</v>
      </c>
      <c r="H17" s="90" t="str">
        <f t="shared" si="260"/>
        <v/>
      </c>
      <c r="I17" s="91" t="str">
        <f t="shared" si="261"/>
        <v/>
      </c>
      <c r="J17" s="92">
        <f t="shared" si="262"/>
        <v>0</v>
      </c>
      <c r="K17" s="93" t="str">
        <f t="shared" si="263"/>
        <v/>
      </c>
      <c r="L17" s="94" t="str">
        <f t="shared" si="264"/>
        <v/>
      </c>
      <c r="M17" s="95">
        <f t="shared" si="265"/>
        <v>0</v>
      </c>
      <c r="N17" s="96" t="str">
        <f t="shared" si="266"/>
        <v/>
      </c>
      <c r="O17" s="97" t="str">
        <f t="shared" si="267"/>
        <v/>
      </c>
      <c r="P17" s="98">
        <f t="shared" si="268"/>
        <v>0</v>
      </c>
      <c r="Q17" s="93" t="str">
        <f t="shared" si="269"/>
        <v/>
      </c>
      <c r="R17" s="94" t="str">
        <f t="shared" si="270"/>
        <v/>
      </c>
      <c r="S17" s="95">
        <f t="shared" si="271"/>
        <v>0</v>
      </c>
      <c r="T17" s="96" t="str">
        <f t="shared" si="272"/>
        <v/>
      </c>
      <c r="U17" s="97" t="str">
        <f t="shared" si="273"/>
        <v/>
      </c>
      <c r="V17" s="98">
        <f t="shared" si="274"/>
        <v>0</v>
      </c>
      <c r="W17" s="93" t="str">
        <f t="shared" si="275"/>
        <v/>
      </c>
      <c r="X17" s="94" t="str">
        <f t="shared" si="276"/>
        <v/>
      </c>
      <c r="Y17" s="95">
        <f t="shared" si="277"/>
        <v>0</v>
      </c>
      <c r="Z17" s="96" t="str">
        <f t="shared" si="278"/>
        <v/>
      </c>
      <c r="AA17" s="97" t="str">
        <f t="shared" si="279"/>
        <v/>
      </c>
      <c r="AB17" s="98">
        <f t="shared" si="280"/>
        <v>0</v>
      </c>
      <c r="AC17" s="93" t="str">
        <f t="shared" si="281"/>
        <v/>
      </c>
      <c r="AD17" s="94" t="str">
        <f t="shared" si="282"/>
        <v/>
      </c>
      <c r="AE17" s="95">
        <f t="shared" si="283"/>
        <v>0</v>
      </c>
      <c r="AF17" s="96" t="str">
        <f t="shared" si="284"/>
        <v/>
      </c>
      <c r="AG17" s="97" t="str">
        <f t="shared" si="285"/>
        <v/>
      </c>
      <c r="AH17" s="98">
        <f t="shared" si="286"/>
        <v>0</v>
      </c>
      <c r="AI17" s="93" t="str">
        <f t="shared" si="287"/>
        <v/>
      </c>
      <c r="AJ17" s="94" t="str">
        <f t="shared" si="288"/>
        <v/>
      </c>
      <c r="AK17" s="95">
        <f t="shared" si="289"/>
        <v>0</v>
      </c>
      <c r="AL17" s="96" t="str">
        <f t="shared" si="290"/>
        <v/>
      </c>
      <c r="AM17" s="97" t="str">
        <f t="shared" si="291"/>
        <v/>
      </c>
      <c r="AN17" s="98">
        <f t="shared" si="292"/>
        <v>0</v>
      </c>
      <c r="AO17" s="93" t="str">
        <f t="shared" si="293"/>
        <v/>
      </c>
      <c r="AP17" s="94" t="str">
        <f t="shared" si="294"/>
        <v/>
      </c>
      <c r="AQ17" s="95">
        <f t="shared" si="295"/>
        <v>0</v>
      </c>
      <c r="AR17" s="96" t="str">
        <f t="shared" si="296"/>
        <v/>
      </c>
      <c r="AS17" s="97" t="str">
        <f t="shared" si="297"/>
        <v/>
      </c>
      <c r="AT17" s="98">
        <f t="shared" si="298"/>
        <v>0</v>
      </c>
      <c r="AU17" s="93" t="str">
        <f t="shared" si="299"/>
        <v/>
      </c>
      <c r="AV17" s="94" t="str">
        <f t="shared" si="300"/>
        <v/>
      </c>
      <c r="AW17" s="95">
        <f t="shared" si="301"/>
        <v>0</v>
      </c>
      <c r="AX17" s="96" t="str">
        <f t="shared" si="302"/>
        <v/>
      </c>
      <c r="AY17" s="97" t="str">
        <f t="shared" si="303"/>
        <v/>
      </c>
      <c r="AZ17" s="98">
        <f t="shared" si="304"/>
        <v>0</v>
      </c>
      <c r="BA17" s="93" t="str">
        <f t="shared" si="305"/>
        <v/>
      </c>
      <c r="BB17" s="94" t="str">
        <f t="shared" si="306"/>
        <v/>
      </c>
      <c r="BC17" s="95">
        <f t="shared" si="307"/>
        <v>0</v>
      </c>
      <c r="BD17" s="96" t="str">
        <f t="shared" si="308"/>
        <v/>
      </c>
      <c r="BE17" s="97" t="str">
        <f t="shared" si="309"/>
        <v/>
      </c>
      <c r="BF17" s="98">
        <f t="shared" si="310"/>
        <v>0</v>
      </c>
      <c r="BG17" s="93" t="str">
        <f t="shared" si="311"/>
        <v/>
      </c>
      <c r="BH17" s="94" t="str">
        <f t="shared" si="312"/>
        <v/>
      </c>
      <c r="BI17" s="95">
        <f t="shared" si="313"/>
        <v>0</v>
      </c>
      <c r="BJ17" s="96" t="str">
        <f t="shared" si="314"/>
        <v/>
      </c>
      <c r="BK17" s="97" t="str">
        <f t="shared" si="315"/>
        <v/>
      </c>
      <c r="BL17" s="98">
        <f t="shared" si="316"/>
        <v>0</v>
      </c>
      <c r="BM17" s="93" t="str">
        <f t="shared" si="317"/>
        <v/>
      </c>
      <c r="BN17" s="94" t="str">
        <f t="shared" si="318"/>
        <v/>
      </c>
      <c r="BO17" s="95">
        <f t="shared" si="319"/>
        <v>0</v>
      </c>
      <c r="BP17" s="96" t="str">
        <f t="shared" si="320"/>
        <v/>
      </c>
      <c r="BQ17" s="97" t="str">
        <f t="shared" si="321"/>
        <v/>
      </c>
      <c r="BR17" s="98">
        <f t="shared" si="322"/>
        <v>0</v>
      </c>
      <c r="BS17" s="93" t="str">
        <f t="shared" si="323"/>
        <v/>
      </c>
      <c r="BT17" s="94" t="str">
        <f t="shared" si="324"/>
        <v/>
      </c>
      <c r="BU17" s="95">
        <f t="shared" si="325"/>
        <v>0</v>
      </c>
      <c r="BV17" s="96" t="str">
        <f t="shared" si="326"/>
        <v/>
      </c>
      <c r="BW17" s="97" t="str">
        <f t="shared" si="327"/>
        <v/>
      </c>
      <c r="BX17" s="98">
        <f t="shared" si="328"/>
        <v>0</v>
      </c>
      <c r="BY17" s="93" t="str">
        <f t="shared" si="329"/>
        <v/>
      </c>
      <c r="BZ17" s="94" t="str">
        <f t="shared" si="330"/>
        <v/>
      </c>
      <c r="CA17" s="95">
        <f t="shared" si="331"/>
        <v>0</v>
      </c>
      <c r="CB17" s="96" t="str">
        <f t="shared" si="332"/>
        <v/>
      </c>
      <c r="CC17" s="97" t="str">
        <f t="shared" si="333"/>
        <v/>
      </c>
      <c r="CD17" s="98">
        <f t="shared" si="334"/>
        <v>0</v>
      </c>
      <c r="CE17" s="93" t="str">
        <f t="shared" si="335"/>
        <v/>
      </c>
      <c r="CF17" s="94" t="str">
        <f t="shared" si="336"/>
        <v/>
      </c>
      <c r="CG17" s="95">
        <f t="shared" si="337"/>
        <v>0</v>
      </c>
      <c r="CH17" s="96" t="str">
        <f t="shared" si="338"/>
        <v/>
      </c>
      <c r="CI17" s="97" t="str">
        <f t="shared" si="339"/>
        <v/>
      </c>
      <c r="CJ17" s="98">
        <f t="shared" si="340"/>
        <v>0</v>
      </c>
      <c r="CK17" s="93" t="str">
        <f t="shared" si="341"/>
        <v/>
      </c>
      <c r="CL17" s="94" t="str">
        <f t="shared" si="342"/>
        <v/>
      </c>
      <c r="CM17" s="95">
        <f t="shared" si="343"/>
        <v>0</v>
      </c>
      <c r="CN17" s="96" t="str">
        <f t="shared" si="344"/>
        <v/>
      </c>
      <c r="CO17" s="97" t="str">
        <f t="shared" si="345"/>
        <v/>
      </c>
      <c r="CP17" s="98">
        <f t="shared" si="346"/>
        <v>0</v>
      </c>
      <c r="CQ17" s="93" t="str">
        <f t="shared" si="347"/>
        <v/>
      </c>
      <c r="CR17" s="94" t="str">
        <f t="shared" si="348"/>
        <v/>
      </c>
      <c r="CS17" s="95">
        <f t="shared" si="349"/>
        <v>0</v>
      </c>
      <c r="CT17" s="96" t="str">
        <f t="shared" si="350"/>
        <v/>
      </c>
      <c r="CU17" s="97" t="str">
        <f t="shared" si="351"/>
        <v/>
      </c>
      <c r="CV17" s="98">
        <f t="shared" si="352"/>
        <v>0</v>
      </c>
      <c r="CW17" s="93" t="str">
        <f t="shared" si="353"/>
        <v/>
      </c>
      <c r="CX17" s="94" t="str">
        <f t="shared" si="354"/>
        <v/>
      </c>
      <c r="CY17" s="95">
        <f t="shared" si="355"/>
        <v>0</v>
      </c>
      <c r="CZ17" s="96" t="str">
        <f t="shared" si="356"/>
        <v/>
      </c>
      <c r="DA17" s="97" t="str">
        <f t="shared" si="357"/>
        <v/>
      </c>
      <c r="DB17" s="98">
        <f t="shared" si="358"/>
        <v>0</v>
      </c>
      <c r="DC17" s="93" t="str">
        <f t="shared" si="359"/>
        <v/>
      </c>
      <c r="DD17" s="94" t="str">
        <f t="shared" si="360"/>
        <v/>
      </c>
      <c r="DE17" s="95">
        <f t="shared" si="361"/>
        <v>0</v>
      </c>
      <c r="DF17" s="96" t="str">
        <f t="shared" si="362"/>
        <v/>
      </c>
      <c r="DG17" s="97" t="str">
        <f t="shared" si="363"/>
        <v/>
      </c>
      <c r="DH17" s="98">
        <f t="shared" si="364"/>
        <v>0</v>
      </c>
      <c r="DI17" s="93" t="str">
        <f t="shared" si="365"/>
        <v/>
      </c>
      <c r="DJ17" s="94" t="str">
        <f t="shared" si="366"/>
        <v/>
      </c>
      <c r="DK17" s="95">
        <f t="shared" si="367"/>
        <v>0</v>
      </c>
      <c r="DL17" s="96" t="str">
        <f t="shared" si="368"/>
        <v/>
      </c>
      <c r="DM17" s="97" t="str">
        <f t="shared" si="369"/>
        <v/>
      </c>
      <c r="DN17" s="98">
        <f t="shared" si="370"/>
        <v>0</v>
      </c>
      <c r="DO17" s="93" t="str">
        <f t="shared" si="371"/>
        <v/>
      </c>
      <c r="DP17" s="94" t="str">
        <f t="shared" si="372"/>
        <v/>
      </c>
      <c r="DQ17" s="95">
        <f t="shared" si="373"/>
        <v>0</v>
      </c>
      <c r="DR17" s="96" t="str">
        <f t="shared" si="374"/>
        <v/>
      </c>
      <c r="DS17" s="97" t="str">
        <f t="shared" si="375"/>
        <v/>
      </c>
      <c r="DT17" s="98">
        <f t="shared" si="376"/>
        <v>0</v>
      </c>
      <c r="DU17" s="93" t="str">
        <f t="shared" si="377"/>
        <v/>
      </c>
      <c r="DV17" s="94" t="str">
        <f t="shared" si="378"/>
        <v/>
      </c>
      <c r="DW17" s="95">
        <f t="shared" si="379"/>
        <v>0</v>
      </c>
      <c r="DX17" s="96" t="str">
        <f t="shared" si="380"/>
        <v/>
      </c>
      <c r="DY17" s="97" t="str">
        <f t="shared" si="381"/>
        <v/>
      </c>
      <c r="DZ17" s="98">
        <f t="shared" si="382"/>
        <v>0</v>
      </c>
      <c r="EA17" s="93" t="str">
        <f t="shared" si="383"/>
        <v/>
      </c>
      <c r="EB17" s="94" t="str">
        <f t="shared" si="384"/>
        <v/>
      </c>
      <c r="EC17" s="95">
        <f t="shared" si="385"/>
        <v>0</v>
      </c>
      <c r="ED17" s="96" t="str">
        <f t="shared" si="386"/>
        <v/>
      </c>
      <c r="EE17" s="97" t="str">
        <f t="shared" si="387"/>
        <v/>
      </c>
      <c r="EF17" s="98">
        <f t="shared" si="388"/>
        <v>0</v>
      </c>
      <c r="EG17" s="93" t="str">
        <f t="shared" si="389"/>
        <v/>
      </c>
      <c r="EH17" s="94" t="str">
        <f t="shared" si="390"/>
        <v/>
      </c>
      <c r="EI17" s="95">
        <f t="shared" si="391"/>
        <v>0</v>
      </c>
      <c r="EJ17" s="96" t="str">
        <f t="shared" si="392"/>
        <v/>
      </c>
      <c r="EK17" s="97" t="str">
        <f t="shared" si="393"/>
        <v/>
      </c>
      <c r="EL17" s="98">
        <f t="shared" si="394"/>
        <v>0</v>
      </c>
      <c r="EM17" s="93" t="str">
        <f t="shared" si="395"/>
        <v/>
      </c>
      <c r="EN17" s="94" t="str">
        <f t="shared" si="396"/>
        <v/>
      </c>
      <c r="EO17" s="95">
        <f t="shared" si="397"/>
        <v>0</v>
      </c>
      <c r="EP17" s="96" t="str">
        <f t="shared" si="398"/>
        <v/>
      </c>
      <c r="EQ17" s="97" t="str">
        <f t="shared" si="399"/>
        <v/>
      </c>
      <c r="ER17" s="98">
        <f t="shared" si="400"/>
        <v>0</v>
      </c>
      <c r="ES17" s="93" t="str">
        <f t="shared" si="401"/>
        <v/>
      </c>
      <c r="ET17" s="94" t="str">
        <f t="shared" si="402"/>
        <v/>
      </c>
      <c r="EU17" s="95">
        <f t="shared" si="403"/>
        <v>0</v>
      </c>
      <c r="EV17" s="96" t="str">
        <f t="shared" si="404"/>
        <v/>
      </c>
      <c r="EW17" s="97" t="str">
        <f t="shared" si="405"/>
        <v/>
      </c>
      <c r="EX17" s="98">
        <f t="shared" si="406"/>
        <v>0</v>
      </c>
      <c r="EY17" s="93" t="str">
        <f t="shared" si="407"/>
        <v/>
      </c>
      <c r="EZ17" s="94" t="str">
        <f t="shared" si="408"/>
        <v/>
      </c>
      <c r="FA17" s="95">
        <f t="shared" si="409"/>
        <v>0</v>
      </c>
      <c r="FB17" s="96" t="str">
        <f t="shared" si="410"/>
        <v/>
      </c>
      <c r="FC17" s="97" t="str">
        <f t="shared" si="411"/>
        <v/>
      </c>
      <c r="FD17" s="98">
        <f t="shared" si="412"/>
        <v>0</v>
      </c>
      <c r="FE17" s="93" t="str">
        <f t="shared" si="413"/>
        <v/>
      </c>
      <c r="FF17" s="94" t="str">
        <f t="shared" si="414"/>
        <v/>
      </c>
      <c r="FG17" s="95">
        <f t="shared" si="415"/>
        <v>0</v>
      </c>
      <c r="FH17" s="96" t="str">
        <f t="shared" si="416"/>
        <v/>
      </c>
      <c r="FI17" s="97" t="str">
        <f t="shared" si="417"/>
        <v/>
      </c>
      <c r="FJ17" s="98">
        <f t="shared" si="418"/>
        <v>0</v>
      </c>
    </row>
    <row r="18" ht="15.75" customHeight="1">
      <c r="A18" s="6" t="str">
        <f>Menus!B10</f>
        <v/>
      </c>
      <c r="B18" s="16">
        <f t="shared" si="256"/>
        <v>0</v>
      </c>
      <c r="C18" s="16">
        <f t="shared" si="257"/>
        <v>0</v>
      </c>
      <c r="D18" s="16">
        <f t="shared" si="254"/>
        <v>0</v>
      </c>
      <c r="E18" s="87" t="str">
        <f t="shared" si="258"/>
        <v/>
      </c>
      <c r="F18" s="88" t="str">
        <f t="shared" si="259"/>
        <v/>
      </c>
      <c r="G18" s="89">
        <f t="shared" si="255"/>
        <v>0</v>
      </c>
      <c r="H18" s="90" t="str">
        <f t="shared" si="260"/>
        <v/>
      </c>
      <c r="I18" s="91" t="str">
        <f t="shared" si="261"/>
        <v/>
      </c>
      <c r="J18" s="92">
        <f t="shared" si="262"/>
        <v>0</v>
      </c>
      <c r="K18" s="93" t="str">
        <f t="shared" si="263"/>
        <v/>
      </c>
      <c r="L18" s="94" t="str">
        <f t="shared" si="264"/>
        <v/>
      </c>
      <c r="M18" s="95">
        <f t="shared" si="265"/>
        <v>0</v>
      </c>
      <c r="N18" s="96" t="str">
        <f t="shared" si="266"/>
        <v/>
      </c>
      <c r="O18" s="97" t="str">
        <f t="shared" si="267"/>
        <v/>
      </c>
      <c r="P18" s="98">
        <f t="shared" si="268"/>
        <v>0</v>
      </c>
      <c r="Q18" s="93" t="str">
        <f t="shared" si="269"/>
        <v/>
      </c>
      <c r="R18" s="94" t="str">
        <f t="shared" si="270"/>
        <v/>
      </c>
      <c r="S18" s="95">
        <f t="shared" si="271"/>
        <v>0</v>
      </c>
      <c r="T18" s="96" t="str">
        <f t="shared" si="272"/>
        <v/>
      </c>
      <c r="U18" s="97" t="str">
        <f t="shared" si="273"/>
        <v/>
      </c>
      <c r="V18" s="98">
        <f t="shared" si="274"/>
        <v>0</v>
      </c>
      <c r="W18" s="93" t="str">
        <f t="shared" si="275"/>
        <v/>
      </c>
      <c r="X18" s="94" t="str">
        <f t="shared" si="276"/>
        <v/>
      </c>
      <c r="Y18" s="95">
        <f t="shared" si="277"/>
        <v>0</v>
      </c>
      <c r="Z18" s="96" t="str">
        <f t="shared" si="278"/>
        <v/>
      </c>
      <c r="AA18" s="97" t="str">
        <f t="shared" si="279"/>
        <v/>
      </c>
      <c r="AB18" s="98">
        <f t="shared" si="280"/>
        <v>0</v>
      </c>
      <c r="AC18" s="93" t="str">
        <f t="shared" si="281"/>
        <v/>
      </c>
      <c r="AD18" s="94" t="str">
        <f t="shared" si="282"/>
        <v/>
      </c>
      <c r="AE18" s="95">
        <f t="shared" si="283"/>
        <v>0</v>
      </c>
      <c r="AF18" s="96" t="str">
        <f t="shared" si="284"/>
        <v/>
      </c>
      <c r="AG18" s="97" t="str">
        <f t="shared" si="285"/>
        <v/>
      </c>
      <c r="AH18" s="98">
        <f t="shared" si="286"/>
        <v>0</v>
      </c>
      <c r="AI18" s="93" t="str">
        <f t="shared" si="287"/>
        <v/>
      </c>
      <c r="AJ18" s="94" t="str">
        <f t="shared" si="288"/>
        <v/>
      </c>
      <c r="AK18" s="95">
        <f t="shared" si="289"/>
        <v>0</v>
      </c>
      <c r="AL18" s="96" t="str">
        <f t="shared" si="290"/>
        <v/>
      </c>
      <c r="AM18" s="97" t="str">
        <f t="shared" si="291"/>
        <v/>
      </c>
      <c r="AN18" s="98">
        <f t="shared" si="292"/>
        <v>0</v>
      </c>
      <c r="AO18" s="93" t="str">
        <f t="shared" si="293"/>
        <v/>
      </c>
      <c r="AP18" s="94" t="str">
        <f t="shared" si="294"/>
        <v/>
      </c>
      <c r="AQ18" s="95">
        <f t="shared" si="295"/>
        <v>0</v>
      </c>
      <c r="AR18" s="96" t="str">
        <f t="shared" si="296"/>
        <v/>
      </c>
      <c r="AS18" s="97" t="str">
        <f t="shared" si="297"/>
        <v/>
      </c>
      <c r="AT18" s="98">
        <f t="shared" si="298"/>
        <v>0</v>
      </c>
      <c r="AU18" s="93" t="str">
        <f t="shared" si="299"/>
        <v/>
      </c>
      <c r="AV18" s="94" t="str">
        <f t="shared" si="300"/>
        <v/>
      </c>
      <c r="AW18" s="95">
        <f t="shared" si="301"/>
        <v>0</v>
      </c>
      <c r="AX18" s="96" t="str">
        <f t="shared" si="302"/>
        <v/>
      </c>
      <c r="AY18" s="97" t="str">
        <f t="shared" si="303"/>
        <v/>
      </c>
      <c r="AZ18" s="98">
        <f t="shared" si="304"/>
        <v>0</v>
      </c>
      <c r="BA18" s="93" t="str">
        <f t="shared" si="305"/>
        <v/>
      </c>
      <c r="BB18" s="94" t="str">
        <f t="shared" si="306"/>
        <v/>
      </c>
      <c r="BC18" s="95">
        <f t="shared" si="307"/>
        <v>0</v>
      </c>
      <c r="BD18" s="96" t="str">
        <f t="shared" si="308"/>
        <v/>
      </c>
      <c r="BE18" s="97" t="str">
        <f t="shared" si="309"/>
        <v/>
      </c>
      <c r="BF18" s="98">
        <f t="shared" si="310"/>
        <v>0</v>
      </c>
      <c r="BG18" s="93" t="str">
        <f t="shared" si="311"/>
        <v/>
      </c>
      <c r="BH18" s="94" t="str">
        <f t="shared" si="312"/>
        <v/>
      </c>
      <c r="BI18" s="95">
        <f t="shared" si="313"/>
        <v>0</v>
      </c>
      <c r="BJ18" s="96" t="str">
        <f t="shared" si="314"/>
        <v/>
      </c>
      <c r="BK18" s="97" t="str">
        <f t="shared" si="315"/>
        <v/>
      </c>
      <c r="BL18" s="98">
        <f t="shared" si="316"/>
        <v>0</v>
      </c>
      <c r="BM18" s="93" t="str">
        <f t="shared" si="317"/>
        <v/>
      </c>
      <c r="BN18" s="94" t="str">
        <f t="shared" si="318"/>
        <v/>
      </c>
      <c r="BO18" s="95">
        <f t="shared" si="319"/>
        <v>0</v>
      </c>
      <c r="BP18" s="96" t="str">
        <f t="shared" si="320"/>
        <v/>
      </c>
      <c r="BQ18" s="97" t="str">
        <f t="shared" si="321"/>
        <v/>
      </c>
      <c r="BR18" s="98">
        <f t="shared" si="322"/>
        <v>0</v>
      </c>
      <c r="BS18" s="93" t="str">
        <f t="shared" si="323"/>
        <v/>
      </c>
      <c r="BT18" s="94" t="str">
        <f t="shared" si="324"/>
        <v/>
      </c>
      <c r="BU18" s="95">
        <f t="shared" si="325"/>
        <v>0</v>
      </c>
      <c r="BV18" s="96" t="str">
        <f t="shared" si="326"/>
        <v/>
      </c>
      <c r="BW18" s="97" t="str">
        <f t="shared" si="327"/>
        <v/>
      </c>
      <c r="BX18" s="98">
        <f t="shared" si="328"/>
        <v>0</v>
      </c>
      <c r="BY18" s="93" t="str">
        <f t="shared" si="329"/>
        <v/>
      </c>
      <c r="BZ18" s="94" t="str">
        <f t="shared" si="330"/>
        <v/>
      </c>
      <c r="CA18" s="95">
        <f t="shared" si="331"/>
        <v>0</v>
      </c>
      <c r="CB18" s="96" t="str">
        <f t="shared" si="332"/>
        <v/>
      </c>
      <c r="CC18" s="97" t="str">
        <f t="shared" si="333"/>
        <v/>
      </c>
      <c r="CD18" s="98">
        <f t="shared" si="334"/>
        <v>0</v>
      </c>
      <c r="CE18" s="93" t="str">
        <f t="shared" si="335"/>
        <v/>
      </c>
      <c r="CF18" s="94" t="str">
        <f t="shared" si="336"/>
        <v/>
      </c>
      <c r="CG18" s="95">
        <f t="shared" si="337"/>
        <v>0</v>
      </c>
      <c r="CH18" s="96" t="str">
        <f t="shared" si="338"/>
        <v/>
      </c>
      <c r="CI18" s="97" t="str">
        <f t="shared" si="339"/>
        <v/>
      </c>
      <c r="CJ18" s="98">
        <f t="shared" si="340"/>
        <v>0</v>
      </c>
      <c r="CK18" s="93" t="str">
        <f t="shared" si="341"/>
        <v/>
      </c>
      <c r="CL18" s="94" t="str">
        <f t="shared" si="342"/>
        <v/>
      </c>
      <c r="CM18" s="95">
        <f t="shared" si="343"/>
        <v>0</v>
      </c>
      <c r="CN18" s="96" t="str">
        <f t="shared" si="344"/>
        <v/>
      </c>
      <c r="CO18" s="97" t="str">
        <f t="shared" si="345"/>
        <v/>
      </c>
      <c r="CP18" s="98">
        <f t="shared" si="346"/>
        <v>0</v>
      </c>
      <c r="CQ18" s="93" t="str">
        <f t="shared" si="347"/>
        <v/>
      </c>
      <c r="CR18" s="94" t="str">
        <f t="shared" si="348"/>
        <v/>
      </c>
      <c r="CS18" s="95">
        <f t="shared" si="349"/>
        <v>0</v>
      </c>
      <c r="CT18" s="96" t="str">
        <f t="shared" si="350"/>
        <v/>
      </c>
      <c r="CU18" s="97" t="str">
        <f t="shared" si="351"/>
        <v/>
      </c>
      <c r="CV18" s="98">
        <f t="shared" si="352"/>
        <v>0</v>
      </c>
      <c r="CW18" s="93" t="str">
        <f t="shared" si="353"/>
        <v/>
      </c>
      <c r="CX18" s="94" t="str">
        <f t="shared" si="354"/>
        <v/>
      </c>
      <c r="CY18" s="95">
        <f t="shared" si="355"/>
        <v>0</v>
      </c>
      <c r="CZ18" s="96" t="str">
        <f t="shared" si="356"/>
        <v/>
      </c>
      <c r="DA18" s="97" t="str">
        <f t="shared" si="357"/>
        <v/>
      </c>
      <c r="DB18" s="98">
        <f t="shared" si="358"/>
        <v>0</v>
      </c>
      <c r="DC18" s="93" t="str">
        <f t="shared" si="359"/>
        <v/>
      </c>
      <c r="DD18" s="94" t="str">
        <f t="shared" si="360"/>
        <v/>
      </c>
      <c r="DE18" s="95">
        <f t="shared" si="361"/>
        <v>0</v>
      </c>
      <c r="DF18" s="96" t="str">
        <f t="shared" si="362"/>
        <v/>
      </c>
      <c r="DG18" s="97" t="str">
        <f t="shared" si="363"/>
        <v/>
      </c>
      <c r="DH18" s="98">
        <f t="shared" si="364"/>
        <v>0</v>
      </c>
      <c r="DI18" s="93" t="str">
        <f t="shared" si="365"/>
        <v/>
      </c>
      <c r="DJ18" s="94" t="str">
        <f t="shared" si="366"/>
        <v/>
      </c>
      <c r="DK18" s="95">
        <f t="shared" si="367"/>
        <v>0</v>
      </c>
      <c r="DL18" s="96" t="str">
        <f t="shared" si="368"/>
        <v/>
      </c>
      <c r="DM18" s="97" t="str">
        <f t="shared" si="369"/>
        <v/>
      </c>
      <c r="DN18" s="98">
        <f t="shared" si="370"/>
        <v>0</v>
      </c>
      <c r="DO18" s="93" t="str">
        <f t="shared" si="371"/>
        <v/>
      </c>
      <c r="DP18" s="94" t="str">
        <f t="shared" si="372"/>
        <v/>
      </c>
      <c r="DQ18" s="95">
        <f t="shared" si="373"/>
        <v>0</v>
      </c>
      <c r="DR18" s="96" t="str">
        <f t="shared" si="374"/>
        <v/>
      </c>
      <c r="DS18" s="97" t="str">
        <f t="shared" si="375"/>
        <v/>
      </c>
      <c r="DT18" s="98">
        <f t="shared" si="376"/>
        <v>0</v>
      </c>
      <c r="DU18" s="93" t="str">
        <f t="shared" si="377"/>
        <v/>
      </c>
      <c r="DV18" s="94" t="str">
        <f t="shared" si="378"/>
        <v/>
      </c>
      <c r="DW18" s="95">
        <f t="shared" si="379"/>
        <v>0</v>
      </c>
      <c r="DX18" s="96" t="str">
        <f t="shared" si="380"/>
        <v/>
      </c>
      <c r="DY18" s="97" t="str">
        <f t="shared" si="381"/>
        <v/>
      </c>
      <c r="DZ18" s="98">
        <f t="shared" si="382"/>
        <v>0</v>
      </c>
      <c r="EA18" s="93" t="str">
        <f t="shared" si="383"/>
        <v/>
      </c>
      <c r="EB18" s="94" t="str">
        <f t="shared" si="384"/>
        <v/>
      </c>
      <c r="EC18" s="95">
        <f t="shared" si="385"/>
        <v>0</v>
      </c>
      <c r="ED18" s="96" t="str">
        <f t="shared" si="386"/>
        <v/>
      </c>
      <c r="EE18" s="97" t="str">
        <f t="shared" si="387"/>
        <v/>
      </c>
      <c r="EF18" s="98">
        <f t="shared" si="388"/>
        <v>0</v>
      </c>
      <c r="EG18" s="93" t="str">
        <f t="shared" si="389"/>
        <v/>
      </c>
      <c r="EH18" s="94" t="str">
        <f t="shared" si="390"/>
        <v/>
      </c>
      <c r="EI18" s="95">
        <f t="shared" si="391"/>
        <v>0</v>
      </c>
      <c r="EJ18" s="96" t="str">
        <f t="shared" si="392"/>
        <v/>
      </c>
      <c r="EK18" s="97" t="str">
        <f t="shared" si="393"/>
        <v/>
      </c>
      <c r="EL18" s="98">
        <f t="shared" si="394"/>
        <v>0</v>
      </c>
      <c r="EM18" s="93" t="str">
        <f t="shared" si="395"/>
        <v/>
      </c>
      <c r="EN18" s="94" t="str">
        <f t="shared" si="396"/>
        <v/>
      </c>
      <c r="EO18" s="95">
        <f t="shared" si="397"/>
        <v>0</v>
      </c>
      <c r="EP18" s="96" t="str">
        <f t="shared" si="398"/>
        <v/>
      </c>
      <c r="EQ18" s="97" t="str">
        <f t="shared" si="399"/>
        <v/>
      </c>
      <c r="ER18" s="98">
        <f t="shared" si="400"/>
        <v>0</v>
      </c>
      <c r="ES18" s="93" t="str">
        <f t="shared" si="401"/>
        <v/>
      </c>
      <c r="ET18" s="94" t="str">
        <f t="shared" si="402"/>
        <v/>
      </c>
      <c r="EU18" s="95">
        <f t="shared" si="403"/>
        <v>0</v>
      </c>
      <c r="EV18" s="96" t="str">
        <f t="shared" si="404"/>
        <v/>
      </c>
      <c r="EW18" s="97" t="str">
        <f t="shared" si="405"/>
        <v/>
      </c>
      <c r="EX18" s="98">
        <f t="shared" si="406"/>
        <v>0</v>
      </c>
      <c r="EY18" s="93" t="str">
        <f t="shared" si="407"/>
        <v/>
      </c>
      <c r="EZ18" s="94" t="str">
        <f t="shared" si="408"/>
        <v/>
      </c>
      <c r="FA18" s="95">
        <f t="shared" si="409"/>
        <v>0</v>
      </c>
      <c r="FB18" s="96" t="str">
        <f t="shared" si="410"/>
        <v/>
      </c>
      <c r="FC18" s="97" t="str">
        <f t="shared" si="411"/>
        <v/>
      </c>
      <c r="FD18" s="98">
        <f t="shared" si="412"/>
        <v>0</v>
      </c>
      <c r="FE18" s="93" t="str">
        <f t="shared" si="413"/>
        <v/>
      </c>
      <c r="FF18" s="94" t="str">
        <f t="shared" si="414"/>
        <v/>
      </c>
      <c r="FG18" s="95">
        <f t="shared" si="415"/>
        <v>0</v>
      </c>
      <c r="FH18" s="96" t="str">
        <f t="shared" si="416"/>
        <v/>
      </c>
      <c r="FI18" s="97" t="str">
        <f t="shared" si="417"/>
        <v/>
      </c>
      <c r="FJ18" s="98">
        <f t="shared" si="418"/>
        <v>0</v>
      </c>
    </row>
    <row r="19" ht="15.75" customHeight="1">
      <c r="A19" s="6" t="str">
        <f>Menus!B11</f>
        <v/>
      </c>
      <c r="B19" s="16">
        <f t="shared" si="256"/>
        <v>0</v>
      </c>
      <c r="C19" s="16">
        <f t="shared" si="257"/>
        <v>0</v>
      </c>
      <c r="D19" s="16">
        <f t="shared" si="254"/>
        <v>0</v>
      </c>
      <c r="E19" s="87" t="str">
        <f t="shared" si="258"/>
        <v/>
      </c>
      <c r="F19" s="88" t="str">
        <f t="shared" si="259"/>
        <v/>
      </c>
      <c r="G19" s="89">
        <f t="shared" si="255"/>
        <v>0</v>
      </c>
      <c r="H19" s="90" t="str">
        <f t="shared" si="260"/>
        <v/>
      </c>
      <c r="I19" s="91" t="str">
        <f t="shared" si="261"/>
        <v/>
      </c>
      <c r="J19" s="92">
        <f t="shared" si="262"/>
        <v>0</v>
      </c>
      <c r="K19" s="93" t="str">
        <f t="shared" si="263"/>
        <v/>
      </c>
      <c r="L19" s="94" t="str">
        <f t="shared" si="264"/>
        <v/>
      </c>
      <c r="M19" s="95">
        <f t="shared" si="265"/>
        <v>0</v>
      </c>
      <c r="N19" s="96" t="str">
        <f t="shared" si="266"/>
        <v/>
      </c>
      <c r="O19" s="97" t="str">
        <f t="shared" si="267"/>
        <v/>
      </c>
      <c r="P19" s="98">
        <f t="shared" si="268"/>
        <v>0</v>
      </c>
      <c r="Q19" s="93" t="str">
        <f t="shared" si="269"/>
        <v/>
      </c>
      <c r="R19" s="94" t="str">
        <f t="shared" si="270"/>
        <v/>
      </c>
      <c r="S19" s="95">
        <f t="shared" si="271"/>
        <v>0</v>
      </c>
      <c r="T19" s="96" t="str">
        <f t="shared" si="272"/>
        <v/>
      </c>
      <c r="U19" s="97" t="str">
        <f t="shared" si="273"/>
        <v/>
      </c>
      <c r="V19" s="98">
        <f t="shared" si="274"/>
        <v>0</v>
      </c>
      <c r="W19" s="93" t="str">
        <f t="shared" si="275"/>
        <v/>
      </c>
      <c r="X19" s="94" t="str">
        <f t="shared" si="276"/>
        <v/>
      </c>
      <c r="Y19" s="95">
        <f t="shared" si="277"/>
        <v>0</v>
      </c>
      <c r="Z19" s="96" t="str">
        <f t="shared" si="278"/>
        <v/>
      </c>
      <c r="AA19" s="97" t="str">
        <f t="shared" si="279"/>
        <v/>
      </c>
      <c r="AB19" s="98">
        <f t="shared" si="280"/>
        <v>0</v>
      </c>
      <c r="AC19" s="93" t="str">
        <f t="shared" si="281"/>
        <v/>
      </c>
      <c r="AD19" s="94" t="str">
        <f t="shared" si="282"/>
        <v/>
      </c>
      <c r="AE19" s="95">
        <f t="shared" si="283"/>
        <v>0</v>
      </c>
      <c r="AF19" s="96" t="str">
        <f t="shared" si="284"/>
        <v/>
      </c>
      <c r="AG19" s="97" t="str">
        <f t="shared" si="285"/>
        <v/>
      </c>
      <c r="AH19" s="98">
        <f t="shared" si="286"/>
        <v>0</v>
      </c>
      <c r="AI19" s="93" t="str">
        <f t="shared" si="287"/>
        <v/>
      </c>
      <c r="AJ19" s="94" t="str">
        <f t="shared" si="288"/>
        <v/>
      </c>
      <c r="AK19" s="95">
        <f t="shared" si="289"/>
        <v>0</v>
      </c>
      <c r="AL19" s="96" t="str">
        <f t="shared" si="290"/>
        <v/>
      </c>
      <c r="AM19" s="97" t="str">
        <f t="shared" si="291"/>
        <v/>
      </c>
      <c r="AN19" s="98">
        <f t="shared" si="292"/>
        <v>0</v>
      </c>
      <c r="AO19" s="93" t="str">
        <f t="shared" si="293"/>
        <v/>
      </c>
      <c r="AP19" s="94" t="str">
        <f t="shared" si="294"/>
        <v/>
      </c>
      <c r="AQ19" s="95">
        <f t="shared" si="295"/>
        <v>0</v>
      </c>
      <c r="AR19" s="96" t="str">
        <f t="shared" si="296"/>
        <v/>
      </c>
      <c r="AS19" s="97" t="str">
        <f t="shared" si="297"/>
        <v/>
      </c>
      <c r="AT19" s="98">
        <f t="shared" si="298"/>
        <v>0</v>
      </c>
      <c r="AU19" s="93" t="str">
        <f t="shared" si="299"/>
        <v/>
      </c>
      <c r="AV19" s="94" t="str">
        <f t="shared" si="300"/>
        <v/>
      </c>
      <c r="AW19" s="95">
        <f t="shared" si="301"/>
        <v>0</v>
      </c>
      <c r="AX19" s="96" t="str">
        <f t="shared" si="302"/>
        <v/>
      </c>
      <c r="AY19" s="97" t="str">
        <f t="shared" si="303"/>
        <v/>
      </c>
      <c r="AZ19" s="98">
        <f t="shared" si="304"/>
        <v>0</v>
      </c>
      <c r="BA19" s="93" t="str">
        <f t="shared" si="305"/>
        <v/>
      </c>
      <c r="BB19" s="94" t="str">
        <f t="shared" si="306"/>
        <v/>
      </c>
      <c r="BC19" s="95">
        <f t="shared" si="307"/>
        <v>0</v>
      </c>
      <c r="BD19" s="96" t="str">
        <f t="shared" si="308"/>
        <v/>
      </c>
      <c r="BE19" s="97" t="str">
        <f t="shared" si="309"/>
        <v/>
      </c>
      <c r="BF19" s="98">
        <f t="shared" si="310"/>
        <v>0</v>
      </c>
      <c r="BG19" s="93" t="str">
        <f t="shared" si="311"/>
        <v/>
      </c>
      <c r="BH19" s="94" t="str">
        <f t="shared" si="312"/>
        <v/>
      </c>
      <c r="BI19" s="95">
        <f t="shared" si="313"/>
        <v>0</v>
      </c>
      <c r="BJ19" s="96" t="str">
        <f t="shared" si="314"/>
        <v/>
      </c>
      <c r="BK19" s="97" t="str">
        <f t="shared" si="315"/>
        <v/>
      </c>
      <c r="BL19" s="98">
        <f t="shared" si="316"/>
        <v>0</v>
      </c>
      <c r="BM19" s="93" t="str">
        <f t="shared" si="317"/>
        <v/>
      </c>
      <c r="BN19" s="94" t="str">
        <f t="shared" si="318"/>
        <v/>
      </c>
      <c r="BO19" s="95">
        <f t="shared" si="319"/>
        <v>0</v>
      </c>
      <c r="BP19" s="96" t="str">
        <f t="shared" si="320"/>
        <v/>
      </c>
      <c r="BQ19" s="97" t="str">
        <f t="shared" si="321"/>
        <v/>
      </c>
      <c r="BR19" s="98">
        <f t="shared" si="322"/>
        <v>0</v>
      </c>
      <c r="BS19" s="93" t="str">
        <f t="shared" si="323"/>
        <v/>
      </c>
      <c r="BT19" s="94" t="str">
        <f t="shared" si="324"/>
        <v/>
      </c>
      <c r="BU19" s="95">
        <f t="shared" si="325"/>
        <v>0</v>
      </c>
      <c r="BV19" s="96" t="str">
        <f t="shared" si="326"/>
        <v/>
      </c>
      <c r="BW19" s="97" t="str">
        <f t="shared" si="327"/>
        <v/>
      </c>
      <c r="BX19" s="98">
        <f t="shared" si="328"/>
        <v>0</v>
      </c>
      <c r="BY19" s="93" t="str">
        <f t="shared" si="329"/>
        <v/>
      </c>
      <c r="BZ19" s="94" t="str">
        <f t="shared" si="330"/>
        <v/>
      </c>
      <c r="CA19" s="95">
        <f t="shared" si="331"/>
        <v>0</v>
      </c>
      <c r="CB19" s="96" t="str">
        <f t="shared" si="332"/>
        <v/>
      </c>
      <c r="CC19" s="97" t="str">
        <f t="shared" si="333"/>
        <v/>
      </c>
      <c r="CD19" s="98">
        <f t="shared" si="334"/>
        <v>0</v>
      </c>
      <c r="CE19" s="93" t="str">
        <f t="shared" si="335"/>
        <v/>
      </c>
      <c r="CF19" s="94" t="str">
        <f t="shared" si="336"/>
        <v/>
      </c>
      <c r="CG19" s="95">
        <f t="shared" si="337"/>
        <v>0</v>
      </c>
      <c r="CH19" s="96" t="str">
        <f t="shared" si="338"/>
        <v/>
      </c>
      <c r="CI19" s="97" t="str">
        <f t="shared" si="339"/>
        <v/>
      </c>
      <c r="CJ19" s="98">
        <f t="shared" si="340"/>
        <v>0</v>
      </c>
      <c r="CK19" s="93" t="str">
        <f t="shared" si="341"/>
        <v/>
      </c>
      <c r="CL19" s="94" t="str">
        <f t="shared" si="342"/>
        <v/>
      </c>
      <c r="CM19" s="95">
        <f t="shared" si="343"/>
        <v>0</v>
      </c>
      <c r="CN19" s="96" t="str">
        <f t="shared" si="344"/>
        <v/>
      </c>
      <c r="CO19" s="97" t="str">
        <f t="shared" si="345"/>
        <v/>
      </c>
      <c r="CP19" s="98">
        <f t="shared" si="346"/>
        <v>0</v>
      </c>
      <c r="CQ19" s="93" t="str">
        <f t="shared" si="347"/>
        <v/>
      </c>
      <c r="CR19" s="94" t="str">
        <f t="shared" si="348"/>
        <v/>
      </c>
      <c r="CS19" s="95">
        <f t="shared" si="349"/>
        <v>0</v>
      </c>
      <c r="CT19" s="96" t="str">
        <f t="shared" si="350"/>
        <v/>
      </c>
      <c r="CU19" s="97" t="str">
        <f t="shared" si="351"/>
        <v/>
      </c>
      <c r="CV19" s="98">
        <f t="shared" si="352"/>
        <v>0</v>
      </c>
      <c r="CW19" s="93" t="str">
        <f t="shared" si="353"/>
        <v/>
      </c>
      <c r="CX19" s="94" t="str">
        <f t="shared" si="354"/>
        <v/>
      </c>
      <c r="CY19" s="95">
        <f t="shared" si="355"/>
        <v>0</v>
      </c>
      <c r="CZ19" s="96" t="str">
        <f t="shared" si="356"/>
        <v/>
      </c>
      <c r="DA19" s="97" t="str">
        <f t="shared" si="357"/>
        <v/>
      </c>
      <c r="DB19" s="98">
        <f t="shared" si="358"/>
        <v>0</v>
      </c>
      <c r="DC19" s="93" t="str">
        <f t="shared" si="359"/>
        <v/>
      </c>
      <c r="DD19" s="94" t="str">
        <f t="shared" si="360"/>
        <v/>
      </c>
      <c r="DE19" s="95">
        <f t="shared" si="361"/>
        <v>0</v>
      </c>
      <c r="DF19" s="96" t="str">
        <f t="shared" si="362"/>
        <v/>
      </c>
      <c r="DG19" s="97" t="str">
        <f t="shared" si="363"/>
        <v/>
      </c>
      <c r="DH19" s="98">
        <f t="shared" si="364"/>
        <v>0</v>
      </c>
      <c r="DI19" s="93" t="str">
        <f t="shared" si="365"/>
        <v/>
      </c>
      <c r="DJ19" s="94" t="str">
        <f t="shared" si="366"/>
        <v/>
      </c>
      <c r="DK19" s="95">
        <f t="shared" si="367"/>
        <v>0</v>
      </c>
      <c r="DL19" s="96" t="str">
        <f t="shared" si="368"/>
        <v/>
      </c>
      <c r="DM19" s="97" t="str">
        <f t="shared" si="369"/>
        <v/>
      </c>
      <c r="DN19" s="98">
        <f t="shared" si="370"/>
        <v>0</v>
      </c>
      <c r="DO19" s="93" t="str">
        <f t="shared" si="371"/>
        <v/>
      </c>
      <c r="DP19" s="94" t="str">
        <f t="shared" si="372"/>
        <v/>
      </c>
      <c r="DQ19" s="95">
        <f t="shared" si="373"/>
        <v>0</v>
      </c>
      <c r="DR19" s="96" t="str">
        <f t="shared" si="374"/>
        <v/>
      </c>
      <c r="DS19" s="97" t="str">
        <f t="shared" si="375"/>
        <v/>
      </c>
      <c r="DT19" s="98">
        <f t="shared" si="376"/>
        <v>0</v>
      </c>
      <c r="DU19" s="93" t="str">
        <f t="shared" si="377"/>
        <v/>
      </c>
      <c r="DV19" s="94" t="str">
        <f t="shared" si="378"/>
        <v/>
      </c>
      <c r="DW19" s="95">
        <f t="shared" si="379"/>
        <v>0</v>
      </c>
      <c r="DX19" s="96" t="str">
        <f t="shared" si="380"/>
        <v/>
      </c>
      <c r="DY19" s="97" t="str">
        <f t="shared" si="381"/>
        <v/>
      </c>
      <c r="DZ19" s="98">
        <f t="shared" si="382"/>
        <v>0</v>
      </c>
      <c r="EA19" s="93" t="str">
        <f t="shared" si="383"/>
        <v/>
      </c>
      <c r="EB19" s="94" t="str">
        <f t="shared" si="384"/>
        <v/>
      </c>
      <c r="EC19" s="95">
        <f t="shared" si="385"/>
        <v>0</v>
      </c>
      <c r="ED19" s="96" t="str">
        <f t="shared" si="386"/>
        <v/>
      </c>
      <c r="EE19" s="97" t="str">
        <f t="shared" si="387"/>
        <v/>
      </c>
      <c r="EF19" s="98">
        <f t="shared" si="388"/>
        <v>0</v>
      </c>
      <c r="EG19" s="93" t="str">
        <f t="shared" si="389"/>
        <v/>
      </c>
      <c r="EH19" s="94" t="str">
        <f t="shared" si="390"/>
        <v/>
      </c>
      <c r="EI19" s="95">
        <f t="shared" si="391"/>
        <v>0</v>
      </c>
      <c r="EJ19" s="96" t="str">
        <f t="shared" si="392"/>
        <v/>
      </c>
      <c r="EK19" s="97" t="str">
        <f t="shared" si="393"/>
        <v/>
      </c>
      <c r="EL19" s="98">
        <f t="shared" si="394"/>
        <v>0</v>
      </c>
      <c r="EM19" s="93" t="str">
        <f t="shared" si="395"/>
        <v/>
      </c>
      <c r="EN19" s="94" t="str">
        <f t="shared" si="396"/>
        <v/>
      </c>
      <c r="EO19" s="95">
        <f t="shared" si="397"/>
        <v>0</v>
      </c>
      <c r="EP19" s="96" t="str">
        <f t="shared" si="398"/>
        <v/>
      </c>
      <c r="EQ19" s="97" t="str">
        <f t="shared" si="399"/>
        <v/>
      </c>
      <c r="ER19" s="98">
        <f t="shared" si="400"/>
        <v>0</v>
      </c>
      <c r="ES19" s="93" t="str">
        <f t="shared" si="401"/>
        <v/>
      </c>
      <c r="ET19" s="94" t="str">
        <f t="shared" si="402"/>
        <v/>
      </c>
      <c r="EU19" s="95">
        <f t="shared" si="403"/>
        <v>0</v>
      </c>
      <c r="EV19" s="96" t="str">
        <f t="shared" si="404"/>
        <v/>
      </c>
      <c r="EW19" s="97" t="str">
        <f t="shared" si="405"/>
        <v/>
      </c>
      <c r="EX19" s="98">
        <f t="shared" si="406"/>
        <v>0</v>
      </c>
      <c r="EY19" s="93" t="str">
        <f t="shared" si="407"/>
        <v/>
      </c>
      <c r="EZ19" s="94" t="str">
        <f t="shared" si="408"/>
        <v/>
      </c>
      <c r="FA19" s="95">
        <f t="shared" si="409"/>
        <v>0</v>
      </c>
      <c r="FB19" s="96" t="str">
        <f t="shared" si="410"/>
        <v/>
      </c>
      <c r="FC19" s="97" t="str">
        <f t="shared" si="411"/>
        <v/>
      </c>
      <c r="FD19" s="98">
        <f t="shared" si="412"/>
        <v>0</v>
      </c>
      <c r="FE19" s="93" t="str">
        <f t="shared" si="413"/>
        <v/>
      </c>
      <c r="FF19" s="94" t="str">
        <f t="shared" si="414"/>
        <v/>
      </c>
      <c r="FG19" s="95">
        <f t="shared" si="415"/>
        <v>0</v>
      </c>
      <c r="FH19" s="96" t="str">
        <f t="shared" si="416"/>
        <v/>
      </c>
      <c r="FI19" s="97" t="str">
        <f t="shared" si="417"/>
        <v/>
      </c>
      <c r="FJ19" s="98">
        <f t="shared" si="418"/>
        <v>0</v>
      </c>
    </row>
    <row r="20" ht="15.75" customHeight="1">
      <c r="A20" s="6" t="str">
        <f>Menus!B12</f>
        <v/>
      </c>
      <c r="B20" s="16">
        <f t="shared" si="256"/>
        <v>0</v>
      </c>
      <c r="C20" s="16">
        <f t="shared" si="257"/>
        <v>0</v>
      </c>
      <c r="D20" s="16">
        <f t="shared" si="254"/>
        <v>0</v>
      </c>
      <c r="E20" s="87" t="str">
        <f t="shared" si="258"/>
        <v/>
      </c>
      <c r="F20" s="88" t="str">
        <f t="shared" si="259"/>
        <v/>
      </c>
      <c r="G20" s="89">
        <f t="shared" si="255"/>
        <v>0</v>
      </c>
      <c r="H20" s="90" t="str">
        <f t="shared" si="260"/>
        <v/>
      </c>
      <c r="I20" s="91" t="str">
        <f t="shared" si="261"/>
        <v/>
      </c>
      <c r="J20" s="92">
        <f t="shared" si="262"/>
        <v>0</v>
      </c>
      <c r="K20" s="93" t="str">
        <f t="shared" si="263"/>
        <v/>
      </c>
      <c r="L20" s="94" t="str">
        <f t="shared" si="264"/>
        <v/>
      </c>
      <c r="M20" s="95">
        <f t="shared" si="265"/>
        <v>0</v>
      </c>
      <c r="N20" s="96" t="str">
        <f t="shared" si="266"/>
        <v/>
      </c>
      <c r="O20" s="97" t="str">
        <f t="shared" si="267"/>
        <v/>
      </c>
      <c r="P20" s="98">
        <f t="shared" si="268"/>
        <v>0</v>
      </c>
      <c r="Q20" s="93" t="str">
        <f t="shared" si="269"/>
        <v/>
      </c>
      <c r="R20" s="94" t="str">
        <f t="shared" si="270"/>
        <v/>
      </c>
      <c r="S20" s="95">
        <f t="shared" si="271"/>
        <v>0</v>
      </c>
      <c r="T20" s="96" t="str">
        <f t="shared" si="272"/>
        <v/>
      </c>
      <c r="U20" s="97" t="str">
        <f t="shared" si="273"/>
        <v/>
      </c>
      <c r="V20" s="98">
        <f t="shared" si="274"/>
        <v>0</v>
      </c>
      <c r="W20" s="93" t="str">
        <f t="shared" si="275"/>
        <v/>
      </c>
      <c r="X20" s="94" t="str">
        <f t="shared" si="276"/>
        <v/>
      </c>
      <c r="Y20" s="95">
        <f t="shared" si="277"/>
        <v>0</v>
      </c>
      <c r="Z20" s="96" t="str">
        <f t="shared" si="278"/>
        <v/>
      </c>
      <c r="AA20" s="97" t="str">
        <f t="shared" si="279"/>
        <v/>
      </c>
      <c r="AB20" s="98">
        <f t="shared" si="280"/>
        <v>0</v>
      </c>
      <c r="AC20" s="93" t="str">
        <f t="shared" si="281"/>
        <v/>
      </c>
      <c r="AD20" s="94" t="str">
        <f t="shared" si="282"/>
        <v/>
      </c>
      <c r="AE20" s="95">
        <f t="shared" si="283"/>
        <v>0</v>
      </c>
      <c r="AF20" s="96" t="str">
        <f t="shared" si="284"/>
        <v/>
      </c>
      <c r="AG20" s="97" t="str">
        <f t="shared" si="285"/>
        <v/>
      </c>
      <c r="AH20" s="98">
        <f t="shared" si="286"/>
        <v>0</v>
      </c>
      <c r="AI20" s="93" t="str">
        <f t="shared" si="287"/>
        <v/>
      </c>
      <c r="AJ20" s="94" t="str">
        <f t="shared" si="288"/>
        <v/>
      </c>
      <c r="AK20" s="95">
        <f t="shared" si="289"/>
        <v>0</v>
      </c>
      <c r="AL20" s="96" t="str">
        <f t="shared" si="290"/>
        <v/>
      </c>
      <c r="AM20" s="97" t="str">
        <f t="shared" si="291"/>
        <v/>
      </c>
      <c r="AN20" s="98">
        <f t="shared" si="292"/>
        <v>0</v>
      </c>
      <c r="AO20" s="93" t="str">
        <f t="shared" si="293"/>
        <v/>
      </c>
      <c r="AP20" s="94" t="str">
        <f t="shared" si="294"/>
        <v/>
      </c>
      <c r="AQ20" s="95">
        <f t="shared" si="295"/>
        <v>0</v>
      </c>
      <c r="AR20" s="96" t="str">
        <f t="shared" si="296"/>
        <v/>
      </c>
      <c r="AS20" s="97" t="str">
        <f t="shared" si="297"/>
        <v/>
      </c>
      <c r="AT20" s="98">
        <f t="shared" si="298"/>
        <v>0</v>
      </c>
      <c r="AU20" s="93" t="str">
        <f t="shared" si="299"/>
        <v/>
      </c>
      <c r="AV20" s="94" t="str">
        <f t="shared" si="300"/>
        <v/>
      </c>
      <c r="AW20" s="95">
        <f t="shared" si="301"/>
        <v>0</v>
      </c>
      <c r="AX20" s="96" t="str">
        <f t="shared" si="302"/>
        <v/>
      </c>
      <c r="AY20" s="97" t="str">
        <f t="shared" si="303"/>
        <v/>
      </c>
      <c r="AZ20" s="98">
        <f t="shared" si="304"/>
        <v>0</v>
      </c>
      <c r="BA20" s="93" t="str">
        <f t="shared" si="305"/>
        <v/>
      </c>
      <c r="BB20" s="94" t="str">
        <f t="shared" si="306"/>
        <v/>
      </c>
      <c r="BC20" s="95">
        <f t="shared" si="307"/>
        <v>0</v>
      </c>
      <c r="BD20" s="96" t="str">
        <f t="shared" si="308"/>
        <v/>
      </c>
      <c r="BE20" s="97" t="str">
        <f t="shared" si="309"/>
        <v/>
      </c>
      <c r="BF20" s="98">
        <f t="shared" si="310"/>
        <v>0</v>
      </c>
      <c r="BG20" s="93" t="str">
        <f t="shared" si="311"/>
        <v/>
      </c>
      <c r="BH20" s="94" t="str">
        <f t="shared" si="312"/>
        <v/>
      </c>
      <c r="BI20" s="95">
        <f t="shared" si="313"/>
        <v>0</v>
      </c>
      <c r="BJ20" s="96" t="str">
        <f t="shared" si="314"/>
        <v/>
      </c>
      <c r="BK20" s="97" t="str">
        <f t="shared" si="315"/>
        <v/>
      </c>
      <c r="BL20" s="98">
        <f t="shared" si="316"/>
        <v>0</v>
      </c>
      <c r="BM20" s="93" t="str">
        <f t="shared" si="317"/>
        <v/>
      </c>
      <c r="BN20" s="94" t="str">
        <f t="shared" si="318"/>
        <v/>
      </c>
      <c r="BO20" s="95">
        <f t="shared" si="319"/>
        <v>0</v>
      </c>
      <c r="BP20" s="96" t="str">
        <f t="shared" si="320"/>
        <v/>
      </c>
      <c r="BQ20" s="97" t="str">
        <f t="shared" si="321"/>
        <v/>
      </c>
      <c r="BR20" s="98">
        <f t="shared" si="322"/>
        <v>0</v>
      </c>
      <c r="BS20" s="93" t="str">
        <f t="shared" si="323"/>
        <v/>
      </c>
      <c r="BT20" s="94" t="str">
        <f t="shared" si="324"/>
        <v/>
      </c>
      <c r="BU20" s="95">
        <f t="shared" si="325"/>
        <v>0</v>
      </c>
      <c r="BV20" s="96" t="str">
        <f t="shared" si="326"/>
        <v/>
      </c>
      <c r="BW20" s="97" t="str">
        <f t="shared" si="327"/>
        <v/>
      </c>
      <c r="BX20" s="98">
        <f t="shared" si="328"/>
        <v>0</v>
      </c>
      <c r="BY20" s="93" t="str">
        <f t="shared" si="329"/>
        <v/>
      </c>
      <c r="BZ20" s="94" t="str">
        <f t="shared" si="330"/>
        <v/>
      </c>
      <c r="CA20" s="95">
        <f t="shared" si="331"/>
        <v>0</v>
      </c>
      <c r="CB20" s="96" t="str">
        <f t="shared" si="332"/>
        <v/>
      </c>
      <c r="CC20" s="97" t="str">
        <f t="shared" si="333"/>
        <v/>
      </c>
      <c r="CD20" s="98">
        <f t="shared" si="334"/>
        <v>0</v>
      </c>
      <c r="CE20" s="93" t="str">
        <f t="shared" si="335"/>
        <v/>
      </c>
      <c r="CF20" s="94" t="str">
        <f t="shared" si="336"/>
        <v/>
      </c>
      <c r="CG20" s="95">
        <f t="shared" si="337"/>
        <v>0</v>
      </c>
      <c r="CH20" s="96" t="str">
        <f t="shared" si="338"/>
        <v/>
      </c>
      <c r="CI20" s="97" t="str">
        <f t="shared" si="339"/>
        <v/>
      </c>
      <c r="CJ20" s="98">
        <f t="shared" si="340"/>
        <v>0</v>
      </c>
      <c r="CK20" s="93" t="str">
        <f t="shared" si="341"/>
        <v/>
      </c>
      <c r="CL20" s="94" t="str">
        <f t="shared" si="342"/>
        <v/>
      </c>
      <c r="CM20" s="95">
        <f t="shared" si="343"/>
        <v>0</v>
      </c>
      <c r="CN20" s="96" t="str">
        <f t="shared" si="344"/>
        <v/>
      </c>
      <c r="CO20" s="97" t="str">
        <f t="shared" si="345"/>
        <v/>
      </c>
      <c r="CP20" s="98">
        <f t="shared" si="346"/>
        <v>0</v>
      </c>
      <c r="CQ20" s="93" t="str">
        <f t="shared" si="347"/>
        <v/>
      </c>
      <c r="CR20" s="94" t="str">
        <f t="shared" si="348"/>
        <v/>
      </c>
      <c r="CS20" s="95">
        <f t="shared" si="349"/>
        <v>0</v>
      </c>
      <c r="CT20" s="96" t="str">
        <f t="shared" si="350"/>
        <v/>
      </c>
      <c r="CU20" s="97" t="str">
        <f t="shared" si="351"/>
        <v/>
      </c>
      <c r="CV20" s="98">
        <f t="shared" si="352"/>
        <v>0</v>
      </c>
      <c r="CW20" s="93" t="str">
        <f t="shared" si="353"/>
        <v/>
      </c>
      <c r="CX20" s="94" t="str">
        <f t="shared" si="354"/>
        <v/>
      </c>
      <c r="CY20" s="95">
        <f t="shared" si="355"/>
        <v>0</v>
      </c>
      <c r="CZ20" s="96" t="str">
        <f t="shared" si="356"/>
        <v/>
      </c>
      <c r="DA20" s="97" t="str">
        <f t="shared" si="357"/>
        <v/>
      </c>
      <c r="DB20" s="98">
        <f t="shared" si="358"/>
        <v>0</v>
      </c>
      <c r="DC20" s="93" t="str">
        <f t="shared" si="359"/>
        <v/>
      </c>
      <c r="DD20" s="94" t="str">
        <f t="shared" si="360"/>
        <v/>
      </c>
      <c r="DE20" s="95">
        <f t="shared" si="361"/>
        <v>0</v>
      </c>
      <c r="DF20" s="96" t="str">
        <f t="shared" si="362"/>
        <v/>
      </c>
      <c r="DG20" s="97" t="str">
        <f t="shared" si="363"/>
        <v/>
      </c>
      <c r="DH20" s="98">
        <f t="shared" si="364"/>
        <v>0</v>
      </c>
      <c r="DI20" s="93" t="str">
        <f t="shared" si="365"/>
        <v/>
      </c>
      <c r="DJ20" s="94" t="str">
        <f t="shared" si="366"/>
        <v/>
      </c>
      <c r="DK20" s="95">
        <f t="shared" si="367"/>
        <v>0</v>
      </c>
      <c r="DL20" s="96" t="str">
        <f t="shared" si="368"/>
        <v/>
      </c>
      <c r="DM20" s="97" t="str">
        <f t="shared" si="369"/>
        <v/>
      </c>
      <c r="DN20" s="98">
        <f t="shared" si="370"/>
        <v>0</v>
      </c>
      <c r="DO20" s="93" t="str">
        <f t="shared" si="371"/>
        <v/>
      </c>
      <c r="DP20" s="94" t="str">
        <f t="shared" si="372"/>
        <v/>
      </c>
      <c r="DQ20" s="95">
        <f t="shared" si="373"/>
        <v>0</v>
      </c>
      <c r="DR20" s="96" t="str">
        <f t="shared" si="374"/>
        <v/>
      </c>
      <c r="DS20" s="97" t="str">
        <f t="shared" si="375"/>
        <v/>
      </c>
      <c r="DT20" s="98">
        <f t="shared" si="376"/>
        <v>0</v>
      </c>
      <c r="DU20" s="93" t="str">
        <f t="shared" si="377"/>
        <v/>
      </c>
      <c r="DV20" s="94" t="str">
        <f t="shared" si="378"/>
        <v/>
      </c>
      <c r="DW20" s="95">
        <f t="shared" si="379"/>
        <v>0</v>
      </c>
      <c r="DX20" s="96" t="str">
        <f t="shared" si="380"/>
        <v/>
      </c>
      <c r="DY20" s="97" t="str">
        <f t="shared" si="381"/>
        <v/>
      </c>
      <c r="DZ20" s="98">
        <f t="shared" si="382"/>
        <v>0</v>
      </c>
      <c r="EA20" s="93" t="str">
        <f t="shared" si="383"/>
        <v/>
      </c>
      <c r="EB20" s="94" t="str">
        <f t="shared" si="384"/>
        <v/>
      </c>
      <c r="EC20" s="95">
        <f t="shared" si="385"/>
        <v>0</v>
      </c>
      <c r="ED20" s="96" t="str">
        <f t="shared" si="386"/>
        <v/>
      </c>
      <c r="EE20" s="97" t="str">
        <f t="shared" si="387"/>
        <v/>
      </c>
      <c r="EF20" s="98">
        <f t="shared" si="388"/>
        <v>0</v>
      </c>
      <c r="EG20" s="93" t="str">
        <f t="shared" si="389"/>
        <v/>
      </c>
      <c r="EH20" s="94" t="str">
        <f t="shared" si="390"/>
        <v/>
      </c>
      <c r="EI20" s="95">
        <f t="shared" si="391"/>
        <v>0</v>
      </c>
      <c r="EJ20" s="96" t="str">
        <f t="shared" si="392"/>
        <v/>
      </c>
      <c r="EK20" s="97" t="str">
        <f t="shared" si="393"/>
        <v/>
      </c>
      <c r="EL20" s="98">
        <f t="shared" si="394"/>
        <v>0</v>
      </c>
      <c r="EM20" s="93" t="str">
        <f t="shared" si="395"/>
        <v/>
      </c>
      <c r="EN20" s="94" t="str">
        <f t="shared" si="396"/>
        <v/>
      </c>
      <c r="EO20" s="95">
        <f t="shared" si="397"/>
        <v>0</v>
      </c>
      <c r="EP20" s="96" t="str">
        <f t="shared" si="398"/>
        <v/>
      </c>
      <c r="EQ20" s="97" t="str">
        <f t="shared" si="399"/>
        <v/>
      </c>
      <c r="ER20" s="98">
        <f t="shared" si="400"/>
        <v>0</v>
      </c>
      <c r="ES20" s="93" t="str">
        <f t="shared" si="401"/>
        <v/>
      </c>
      <c r="ET20" s="94" t="str">
        <f t="shared" si="402"/>
        <v/>
      </c>
      <c r="EU20" s="95">
        <f t="shared" si="403"/>
        <v>0</v>
      </c>
      <c r="EV20" s="96" t="str">
        <f t="shared" si="404"/>
        <v/>
      </c>
      <c r="EW20" s="97" t="str">
        <f t="shared" si="405"/>
        <v/>
      </c>
      <c r="EX20" s="98">
        <f t="shared" si="406"/>
        <v>0</v>
      </c>
      <c r="EY20" s="93" t="str">
        <f t="shared" si="407"/>
        <v/>
      </c>
      <c r="EZ20" s="94" t="str">
        <f t="shared" si="408"/>
        <v/>
      </c>
      <c r="FA20" s="95">
        <f t="shared" si="409"/>
        <v>0</v>
      </c>
      <c r="FB20" s="96" t="str">
        <f t="shared" si="410"/>
        <v/>
      </c>
      <c r="FC20" s="97" t="str">
        <f t="shared" si="411"/>
        <v/>
      </c>
      <c r="FD20" s="98">
        <f t="shared" si="412"/>
        <v>0</v>
      </c>
      <c r="FE20" s="93" t="str">
        <f t="shared" si="413"/>
        <v/>
      </c>
      <c r="FF20" s="94" t="str">
        <f t="shared" si="414"/>
        <v/>
      </c>
      <c r="FG20" s="95">
        <f t="shared" si="415"/>
        <v>0</v>
      </c>
      <c r="FH20" s="96" t="str">
        <f t="shared" si="416"/>
        <v/>
      </c>
      <c r="FI20" s="97" t="str">
        <f t="shared" si="417"/>
        <v/>
      </c>
      <c r="FJ20" s="98">
        <f t="shared" si="418"/>
        <v>0</v>
      </c>
    </row>
    <row r="21" ht="15.75" customHeight="1">
      <c r="A21" s="6" t="str">
        <f>Menus!B13</f>
        <v/>
      </c>
      <c r="B21" s="16">
        <f t="shared" si="256"/>
        <v>0</v>
      </c>
      <c r="C21" s="16">
        <f t="shared" si="257"/>
        <v>0</v>
      </c>
      <c r="D21" s="16">
        <f t="shared" si="254"/>
        <v>0</v>
      </c>
      <c r="E21" s="87" t="str">
        <f t="shared" si="258"/>
        <v/>
      </c>
      <c r="F21" s="88" t="str">
        <f t="shared" si="259"/>
        <v/>
      </c>
      <c r="G21" s="89">
        <f t="shared" si="255"/>
        <v>0</v>
      </c>
      <c r="H21" s="90" t="str">
        <f t="shared" si="260"/>
        <v/>
      </c>
      <c r="I21" s="91" t="str">
        <f t="shared" si="261"/>
        <v/>
      </c>
      <c r="J21" s="92">
        <f t="shared" si="262"/>
        <v>0</v>
      </c>
      <c r="K21" s="93" t="str">
        <f t="shared" si="263"/>
        <v/>
      </c>
      <c r="L21" s="94" t="str">
        <f t="shared" si="264"/>
        <v/>
      </c>
      <c r="M21" s="95">
        <f t="shared" si="265"/>
        <v>0</v>
      </c>
      <c r="N21" s="96" t="str">
        <f t="shared" si="266"/>
        <v/>
      </c>
      <c r="O21" s="97" t="str">
        <f t="shared" si="267"/>
        <v/>
      </c>
      <c r="P21" s="98">
        <f t="shared" si="268"/>
        <v>0</v>
      </c>
      <c r="Q21" s="93" t="str">
        <f t="shared" si="269"/>
        <v/>
      </c>
      <c r="R21" s="94" t="str">
        <f t="shared" si="270"/>
        <v/>
      </c>
      <c r="S21" s="95">
        <f t="shared" si="271"/>
        <v>0</v>
      </c>
      <c r="T21" s="96" t="str">
        <f t="shared" si="272"/>
        <v/>
      </c>
      <c r="U21" s="97" t="str">
        <f t="shared" si="273"/>
        <v/>
      </c>
      <c r="V21" s="98">
        <f t="shared" si="274"/>
        <v>0</v>
      </c>
      <c r="W21" s="93" t="str">
        <f t="shared" si="275"/>
        <v/>
      </c>
      <c r="X21" s="94" t="str">
        <f t="shared" si="276"/>
        <v/>
      </c>
      <c r="Y21" s="95">
        <f t="shared" si="277"/>
        <v>0</v>
      </c>
      <c r="Z21" s="96" t="str">
        <f t="shared" si="278"/>
        <v/>
      </c>
      <c r="AA21" s="97" t="str">
        <f t="shared" si="279"/>
        <v/>
      </c>
      <c r="AB21" s="98">
        <f t="shared" si="280"/>
        <v>0</v>
      </c>
      <c r="AC21" s="93" t="str">
        <f t="shared" si="281"/>
        <v/>
      </c>
      <c r="AD21" s="94" t="str">
        <f t="shared" si="282"/>
        <v/>
      </c>
      <c r="AE21" s="95">
        <f t="shared" si="283"/>
        <v>0</v>
      </c>
      <c r="AF21" s="96" t="str">
        <f t="shared" si="284"/>
        <v/>
      </c>
      <c r="AG21" s="97" t="str">
        <f t="shared" si="285"/>
        <v/>
      </c>
      <c r="AH21" s="98">
        <f t="shared" si="286"/>
        <v>0</v>
      </c>
      <c r="AI21" s="93" t="str">
        <f t="shared" si="287"/>
        <v/>
      </c>
      <c r="AJ21" s="94" t="str">
        <f t="shared" si="288"/>
        <v/>
      </c>
      <c r="AK21" s="95">
        <f t="shared" si="289"/>
        <v>0</v>
      </c>
      <c r="AL21" s="96" t="str">
        <f t="shared" si="290"/>
        <v/>
      </c>
      <c r="AM21" s="97" t="str">
        <f t="shared" si="291"/>
        <v/>
      </c>
      <c r="AN21" s="98">
        <f t="shared" si="292"/>
        <v>0</v>
      </c>
      <c r="AO21" s="93" t="str">
        <f t="shared" si="293"/>
        <v/>
      </c>
      <c r="AP21" s="94" t="str">
        <f t="shared" si="294"/>
        <v/>
      </c>
      <c r="AQ21" s="95">
        <f t="shared" si="295"/>
        <v>0</v>
      </c>
      <c r="AR21" s="96" t="str">
        <f t="shared" si="296"/>
        <v/>
      </c>
      <c r="AS21" s="97" t="str">
        <f t="shared" si="297"/>
        <v/>
      </c>
      <c r="AT21" s="98">
        <f t="shared" si="298"/>
        <v>0</v>
      </c>
      <c r="AU21" s="93" t="str">
        <f t="shared" si="299"/>
        <v/>
      </c>
      <c r="AV21" s="94" t="str">
        <f t="shared" si="300"/>
        <v/>
      </c>
      <c r="AW21" s="95">
        <f t="shared" si="301"/>
        <v>0</v>
      </c>
      <c r="AX21" s="96" t="str">
        <f t="shared" si="302"/>
        <v/>
      </c>
      <c r="AY21" s="97" t="str">
        <f t="shared" si="303"/>
        <v/>
      </c>
      <c r="AZ21" s="98">
        <f t="shared" si="304"/>
        <v>0</v>
      </c>
      <c r="BA21" s="93" t="str">
        <f t="shared" si="305"/>
        <v/>
      </c>
      <c r="BB21" s="94" t="str">
        <f t="shared" si="306"/>
        <v/>
      </c>
      <c r="BC21" s="95">
        <f t="shared" si="307"/>
        <v>0</v>
      </c>
      <c r="BD21" s="96" t="str">
        <f t="shared" si="308"/>
        <v/>
      </c>
      <c r="BE21" s="97" t="str">
        <f t="shared" si="309"/>
        <v/>
      </c>
      <c r="BF21" s="98">
        <f t="shared" si="310"/>
        <v>0</v>
      </c>
      <c r="BG21" s="93" t="str">
        <f t="shared" si="311"/>
        <v/>
      </c>
      <c r="BH21" s="94" t="str">
        <f t="shared" si="312"/>
        <v/>
      </c>
      <c r="BI21" s="95">
        <f t="shared" si="313"/>
        <v>0</v>
      </c>
      <c r="BJ21" s="96" t="str">
        <f t="shared" si="314"/>
        <v/>
      </c>
      <c r="BK21" s="97" t="str">
        <f t="shared" si="315"/>
        <v/>
      </c>
      <c r="BL21" s="98">
        <f t="shared" si="316"/>
        <v>0</v>
      </c>
      <c r="BM21" s="93" t="str">
        <f t="shared" si="317"/>
        <v/>
      </c>
      <c r="BN21" s="94" t="str">
        <f t="shared" si="318"/>
        <v/>
      </c>
      <c r="BO21" s="95">
        <f t="shared" si="319"/>
        <v>0</v>
      </c>
      <c r="BP21" s="96" t="str">
        <f t="shared" si="320"/>
        <v/>
      </c>
      <c r="BQ21" s="97" t="str">
        <f t="shared" si="321"/>
        <v/>
      </c>
      <c r="BR21" s="98">
        <f t="shared" si="322"/>
        <v>0</v>
      </c>
      <c r="BS21" s="93" t="str">
        <f t="shared" si="323"/>
        <v/>
      </c>
      <c r="BT21" s="94" t="str">
        <f t="shared" si="324"/>
        <v/>
      </c>
      <c r="BU21" s="95">
        <f t="shared" si="325"/>
        <v>0</v>
      </c>
      <c r="BV21" s="96" t="str">
        <f t="shared" si="326"/>
        <v/>
      </c>
      <c r="BW21" s="97" t="str">
        <f t="shared" si="327"/>
        <v/>
      </c>
      <c r="BX21" s="98">
        <f t="shared" si="328"/>
        <v>0</v>
      </c>
      <c r="BY21" s="93" t="str">
        <f t="shared" si="329"/>
        <v/>
      </c>
      <c r="BZ21" s="94" t="str">
        <f t="shared" si="330"/>
        <v/>
      </c>
      <c r="CA21" s="95">
        <f t="shared" si="331"/>
        <v>0</v>
      </c>
      <c r="CB21" s="96" t="str">
        <f t="shared" si="332"/>
        <v/>
      </c>
      <c r="CC21" s="97" t="str">
        <f t="shared" si="333"/>
        <v/>
      </c>
      <c r="CD21" s="98">
        <f t="shared" si="334"/>
        <v>0</v>
      </c>
      <c r="CE21" s="93" t="str">
        <f t="shared" si="335"/>
        <v/>
      </c>
      <c r="CF21" s="94" t="str">
        <f t="shared" si="336"/>
        <v/>
      </c>
      <c r="CG21" s="95">
        <f t="shared" si="337"/>
        <v>0</v>
      </c>
      <c r="CH21" s="96" t="str">
        <f t="shared" si="338"/>
        <v/>
      </c>
      <c r="CI21" s="97" t="str">
        <f t="shared" si="339"/>
        <v/>
      </c>
      <c r="CJ21" s="98">
        <f t="shared" si="340"/>
        <v>0</v>
      </c>
      <c r="CK21" s="93" t="str">
        <f t="shared" si="341"/>
        <v/>
      </c>
      <c r="CL21" s="94" t="str">
        <f t="shared" si="342"/>
        <v/>
      </c>
      <c r="CM21" s="95">
        <f t="shared" si="343"/>
        <v>0</v>
      </c>
      <c r="CN21" s="96" t="str">
        <f t="shared" si="344"/>
        <v/>
      </c>
      <c r="CO21" s="97" t="str">
        <f t="shared" si="345"/>
        <v/>
      </c>
      <c r="CP21" s="98">
        <f t="shared" si="346"/>
        <v>0</v>
      </c>
      <c r="CQ21" s="93" t="str">
        <f t="shared" si="347"/>
        <v/>
      </c>
      <c r="CR21" s="94" t="str">
        <f t="shared" si="348"/>
        <v/>
      </c>
      <c r="CS21" s="95">
        <f t="shared" si="349"/>
        <v>0</v>
      </c>
      <c r="CT21" s="96" t="str">
        <f t="shared" si="350"/>
        <v/>
      </c>
      <c r="CU21" s="97" t="str">
        <f t="shared" si="351"/>
        <v/>
      </c>
      <c r="CV21" s="98">
        <f t="shared" si="352"/>
        <v>0</v>
      </c>
      <c r="CW21" s="93" t="str">
        <f t="shared" si="353"/>
        <v/>
      </c>
      <c r="CX21" s="94" t="str">
        <f t="shared" si="354"/>
        <v/>
      </c>
      <c r="CY21" s="95">
        <f t="shared" si="355"/>
        <v>0</v>
      </c>
      <c r="CZ21" s="96" t="str">
        <f t="shared" si="356"/>
        <v/>
      </c>
      <c r="DA21" s="97" t="str">
        <f t="shared" si="357"/>
        <v/>
      </c>
      <c r="DB21" s="98">
        <f t="shared" si="358"/>
        <v>0</v>
      </c>
      <c r="DC21" s="93" t="str">
        <f t="shared" si="359"/>
        <v/>
      </c>
      <c r="DD21" s="94" t="str">
        <f t="shared" si="360"/>
        <v/>
      </c>
      <c r="DE21" s="95">
        <f t="shared" si="361"/>
        <v>0</v>
      </c>
      <c r="DF21" s="96" t="str">
        <f t="shared" si="362"/>
        <v/>
      </c>
      <c r="DG21" s="97" t="str">
        <f t="shared" si="363"/>
        <v/>
      </c>
      <c r="DH21" s="98">
        <f t="shared" si="364"/>
        <v>0</v>
      </c>
      <c r="DI21" s="93" t="str">
        <f t="shared" si="365"/>
        <v/>
      </c>
      <c r="DJ21" s="94" t="str">
        <f t="shared" si="366"/>
        <v/>
      </c>
      <c r="DK21" s="95">
        <f t="shared" si="367"/>
        <v>0</v>
      </c>
      <c r="DL21" s="96" t="str">
        <f t="shared" si="368"/>
        <v/>
      </c>
      <c r="DM21" s="97" t="str">
        <f t="shared" si="369"/>
        <v/>
      </c>
      <c r="DN21" s="98">
        <f t="shared" si="370"/>
        <v>0</v>
      </c>
      <c r="DO21" s="93" t="str">
        <f t="shared" si="371"/>
        <v/>
      </c>
      <c r="DP21" s="94" t="str">
        <f t="shared" si="372"/>
        <v/>
      </c>
      <c r="DQ21" s="95">
        <f t="shared" si="373"/>
        <v>0</v>
      </c>
      <c r="DR21" s="96" t="str">
        <f t="shared" si="374"/>
        <v/>
      </c>
      <c r="DS21" s="97" t="str">
        <f t="shared" si="375"/>
        <v/>
      </c>
      <c r="DT21" s="98">
        <f t="shared" si="376"/>
        <v>0</v>
      </c>
      <c r="DU21" s="93" t="str">
        <f t="shared" si="377"/>
        <v/>
      </c>
      <c r="DV21" s="94" t="str">
        <f t="shared" si="378"/>
        <v/>
      </c>
      <c r="DW21" s="95">
        <f t="shared" si="379"/>
        <v>0</v>
      </c>
      <c r="DX21" s="96" t="str">
        <f t="shared" si="380"/>
        <v/>
      </c>
      <c r="DY21" s="97" t="str">
        <f t="shared" si="381"/>
        <v/>
      </c>
      <c r="DZ21" s="98">
        <f t="shared" si="382"/>
        <v>0</v>
      </c>
      <c r="EA21" s="93" t="str">
        <f t="shared" si="383"/>
        <v/>
      </c>
      <c r="EB21" s="94" t="str">
        <f t="shared" si="384"/>
        <v/>
      </c>
      <c r="EC21" s="95">
        <f t="shared" si="385"/>
        <v>0</v>
      </c>
      <c r="ED21" s="96" t="str">
        <f t="shared" si="386"/>
        <v/>
      </c>
      <c r="EE21" s="97" t="str">
        <f t="shared" si="387"/>
        <v/>
      </c>
      <c r="EF21" s="98">
        <f t="shared" si="388"/>
        <v>0</v>
      </c>
      <c r="EG21" s="93" t="str">
        <f t="shared" si="389"/>
        <v/>
      </c>
      <c r="EH21" s="94" t="str">
        <f t="shared" si="390"/>
        <v/>
      </c>
      <c r="EI21" s="95">
        <f t="shared" si="391"/>
        <v>0</v>
      </c>
      <c r="EJ21" s="96" t="str">
        <f t="shared" si="392"/>
        <v/>
      </c>
      <c r="EK21" s="97" t="str">
        <f t="shared" si="393"/>
        <v/>
      </c>
      <c r="EL21" s="98">
        <f t="shared" si="394"/>
        <v>0</v>
      </c>
      <c r="EM21" s="93" t="str">
        <f t="shared" si="395"/>
        <v/>
      </c>
      <c r="EN21" s="94" t="str">
        <f t="shared" si="396"/>
        <v/>
      </c>
      <c r="EO21" s="95">
        <f t="shared" si="397"/>
        <v>0</v>
      </c>
      <c r="EP21" s="96" t="str">
        <f t="shared" si="398"/>
        <v/>
      </c>
      <c r="EQ21" s="97" t="str">
        <f t="shared" si="399"/>
        <v/>
      </c>
      <c r="ER21" s="98">
        <f t="shared" si="400"/>
        <v>0</v>
      </c>
      <c r="ES21" s="93" t="str">
        <f t="shared" si="401"/>
        <v/>
      </c>
      <c r="ET21" s="94" t="str">
        <f t="shared" si="402"/>
        <v/>
      </c>
      <c r="EU21" s="95">
        <f t="shared" si="403"/>
        <v>0</v>
      </c>
      <c r="EV21" s="96" t="str">
        <f t="shared" si="404"/>
        <v/>
      </c>
      <c r="EW21" s="97" t="str">
        <f t="shared" si="405"/>
        <v/>
      </c>
      <c r="EX21" s="98">
        <f t="shared" si="406"/>
        <v>0</v>
      </c>
      <c r="EY21" s="93" t="str">
        <f t="shared" si="407"/>
        <v/>
      </c>
      <c r="EZ21" s="94" t="str">
        <f t="shared" si="408"/>
        <v/>
      </c>
      <c r="FA21" s="95">
        <f t="shared" si="409"/>
        <v>0</v>
      </c>
      <c r="FB21" s="96" t="str">
        <f t="shared" si="410"/>
        <v/>
      </c>
      <c r="FC21" s="97" t="str">
        <f t="shared" si="411"/>
        <v/>
      </c>
      <c r="FD21" s="98">
        <f t="shared" si="412"/>
        <v>0</v>
      </c>
      <c r="FE21" s="93" t="str">
        <f t="shared" si="413"/>
        <v/>
      </c>
      <c r="FF21" s="94" t="str">
        <f t="shared" si="414"/>
        <v/>
      </c>
      <c r="FG21" s="95">
        <f t="shared" si="415"/>
        <v>0</v>
      </c>
      <c r="FH21" s="96" t="str">
        <f t="shared" si="416"/>
        <v/>
      </c>
      <c r="FI21" s="97" t="str">
        <f t="shared" si="417"/>
        <v/>
      </c>
      <c r="FJ21" s="98">
        <f t="shared" si="418"/>
        <v>0</v>
      </c>
    </row>
    <row r="22" ht="15.75" customHeight="1">
      <c r="A22" s="6" t="str">
        <f>Menus!B14</f>
        <v/>
      </c>
      <c r="B22" s="16">
        <f t="shared" si="256"/>
        <v>0</v>
      </c>
      <c r="C22" s="16">
        <f t="shared" si="257"/>
        <v>0</v>
      </c>
      <c r="D22" s="16">
        <f t="shared" si="254"/>
        <v>0</v>
      </c>
      <c r="E22" s="87" t="str">
        <f t="shared" si="258"/>
        <v/>
      </c>
      <c r="F22" s="88" t="str">
        <f t="shared" si="259"/>
        <v/>
      </c>
      <c r="G22" s="89">
        <f t="shared" si="255"/>
        <v>0</v>
      </c>
      <c r="H22" s="90" t="str">
        <f t="shared" si="260"/>
        <v/>
      </c>
      <c r="I22" s="91" t="str">
        <f t="shared" si="261"/>
        <v/>
      </c>
      <c r="J22" s="92">
        <f t="shared" si="262"/>
        <v>0</v>
      </c>
      <c r="K22" s="93" t="str">
        <f t="shared" si="263"/>
        <v/>
      </c>
      <c r="L22" s="94" t="str">
        <f t="shared" si="264"/>
        <v/>
      </c>
      <c r="M22" s="95">
        <f t="shared" si="265"/>
        <v>0</v>
      </c>
      <c r="N22" s="96" t="str">
        <f t="shared" si="266"/>
        <v/>
      </c>
      <c r="O22" s="97" t="str">
        <f t="shared" si="267"/>
        <v/>
      </c>
      <c r="P22" s="98">
        <f t="shared" si="268"/>
        <v>0</v>
      </c>
      <c r="Q22" s="93" t="str">
        <f t="shared" si="269"/>
        <v/>
      </c>
      <c r="R22" s="94" t="str">
        <f t="shared" si="270"/>
        <v/>
      </c>
      <c r="S22" s="95">
        <f t="shared" si="271"/>
        <v>0</v>
      </c>
      <c r="T22" s="96" t="str">
        <f t="shared" si="272"/>
        <v/>
      </c>
      <c r="U22" s="97" t="str">
        <f t="shared" si="273"/>
        <v/>
      </c>
      <c r="V22" s="98">
        <f t="shared" si="274"/>
        <v>0</v>
      </c>
      <c r="W22" s="93" t="str">
        <f t="shared" si="275"/>
        <v/>
      </c>
      <c r="X22" s="94" t="str">
        <f t="shared" si="276"/>
        <v/>
      </c>
      <c r="Y22" s="95">
        <f t="shared" si="277"/>
        <v>0</v>
      </c>
      <c r="Z22" s="96" t="str">
        <f t="shared" si="278"/>
        <v/>
      </c>
      <c r="AA22" s="97" t="str">
        <f t="shared" si="279"/>
        <v/>
      </c>
      <c r="AB22" s="98">
        <f t="shared" si="280"/>
        <v>0</v>
      </c>
      <c r="AC22" s="93" t="str">
        <f t="shared" si="281"/>
        <v/>
      </c>
      <c r="AD22" s="94" t="str">
        <f t="shared" si="282"/>
        <v/>
      </c>
      <c r="AE22" s="95">
        <f t="shared" si="283"/>
        <v>0</v>
      </c>
      <c r="AF22" s="96" t="str">
        <f t="shared" si="284"/>
        <v/>
      </c>
      <c r="AG22" s="97" t="str">
        <f t="shared" si="285"/>
        <v/>
      </c>
      <c r="AH22" s="98">
        <f t="shared" si="286"/>
        <v>0</v>
      </c>
      <c r="AI22" s="93" t="str">
        <f t="shared" si="287"/>
        <v/>
      </c>
      <c r="AJ22" s="94" t="str">
        <f t="shared" si="288"/>
        <v/>
      </c>
      <c r="AK22" s="95">
        <f t="shared" si="289"/>
        <v>0</v>
      </c>
      <c r="AL22" s="96" t="str">
        <f t="shared" si="290"/>
        <v/>
      </c>
      <c r="AM22" s="97" t="str">
        <f t="shared" si="291"/>
        <v/>
      </c>
      <c r="AN22" s="98">
        <f t="shared" si="292"/>
        <v>0</v>
      </c>
      <c r="AO22" s="93" t="str">
        <f t="shared" si="293"/>
        <v/>
      </c>
      <c r="AP22" s="94" t="str">
        <f t="shared" si="294"/>
        <v/>
      </c>
      <c r="AQ22" s="95">
        <f t="shared" si="295"/>
        <v>0</v>
      </c>
      <c r="AR22" s="96" t="str">
        <f t="shared" si="296"/>
        <v/>
      </c>
      <c r="AS22" s="97" t="str">
        <f t="shared" si="297"/>
        <v/>
      </c>
      <c r="AT22" s="98">
        <f t="shared" si="298"/>
        <v>0</v>
      </c>
      <c r="AU22" s="93" t="str">
        <f t="shared" si="299"/>
        <v/>
      </c>
      <c r="AV22" s="94" t="str">
        <f t="shared" si="300"/>
        <v/>
      </c>
      <c r="AW22" s="95">
        <f t="shared" si="301"/>
        <v>0</v>
      </c>
      <c r="AX22" s="96" t="str">
        <f t="shared" si="302"/>
        <v/>
      </c>
      <c r="AY22" s="97" t="str">
        <f t="shared" si="303"/>
        <v/>
      </c>
      <c r="AZ22" s="98">
        <f t="shared" si="304"/>
        <v>0</v>
      </c>
      <c r="BA22" s="93" t="str">
        <f t="shared" si="305"/>
        <v/>
      </c>
      <c r="BB22" s="94" t="str">
        <f t="shared" si="306"/>
        <v/>
      </c>
      <c r="BC22" s="95">
        <f t="shared" si="307"/>
        <v>0</v>
      </c>
      <c r="BD22" s="96" t="str">
        <f t="shared" si="308"/>
        <v/>
      </c>
      <c r="BE22" s="97" t="str">
        <f t="shared" si="309"/>
        <v/>
      </c>
      <c r="BF22" s="98">
        <f t="shared" si="310"/>
        <v>0</v>
      </c>
      <c r="BG22" s="93" t="str">
        <f t="shared" si="311"/>
        <v/>
      </c>
      <c r="BH22" s="94" t="str">
        <f t="shared" si="312"/>
        <v/>
      </c>
      <c r="BI22" s="95">
        <f t="shared" si="313"/>
        <v>0</v>
      </c>
      <c r="BJ22" s="96" t="str">
        <f t="shared" si="314"/>
        <v/>
      </c>
      <c r="BK22" s="97" t="str">
        <f t="shared" si="315"/>
        <v/>
      </c>
      <c r="BL22" s="98">
        <f t="shared" si="316"/>
        <v>0</v>
      </c>
      <c r="BM22" s="93" t="str">
        <f t="shared" si="317"/>
        <v/>
      </c>
      <c r="BN22" s="94" t="str">
        <f t="shared" si="318"/>
        <v/>
      </c>
      <c r="BO22" s="95">
        <f t="shared" si="319"/>
        <v>0</v>
      </c>
      <c r="BP22" s="96" t="str">
        <f t="shared" si="320"/>
        <v/>
      </c>
      <c r="BQ22" s="97" t="str">
        <f t="shared" si="321"/>
        <v/>
      </c>
      <c r="BR22" s="98">
        <f t="shared" si="322"/>
        <v>0</v>
      </c>
      <c r="BS22" s="93" t="str">
        <f t="shared" si="323"/>
        <v/>
      </c>
      <c r="BT22" s="94" t="str">
        <f t="shared" si="324"/>
        <v/>
      </c>
      <c r="BU22" s="95">
        <f t="shared" si="325"/>
        <v>0</v>
      </c>
      <c r="BV22" s="96" t="str">
        <f t="shared" si="326"/>
        <v/>
      </c>
      <c r="BW22" s="97" t="str">
        <f t="shared" si="327"/>
        <v/>
      </c>
      <c r="BX22" s="98">
        <f t="shared" si="328"/>
        <v>0</v>
      </c>
      <c r="BY22" s="93" t="str">
        <f t="shared" si="329"/>
        <v/>
      </c>
      <c r="BZ22" s="94" t="str">
        <f t="shared" si="330"/>
        <v/>
      </c>
      <c r="CA22" s="95">
        <f t="shared" si="331"/>
        <v>0</v>
      </c>
      <c r="CB22" s="96" t="str">
        <f t="shared" si="332"/>
        <v/>
      </c>
      <c r="CC22" s="97" t="str">
        <f t="shared" si="333"/>
        <v/>
      </c>
      <c r="CD22" s="98">
        <f t="shared" si="334"/>
        <v>0</v>
      </c>
      <c r="CE22" s="93" t="str">
        <f t="shared" si="335"/>
        <v/>
      </c>
      <c r="CF22" s="94" t="str">
        <f t="shared" si="336"/>
        <v/>
      </c>
      <c r="CG22" s="95">
        <f t="shared" si="337"/>
        <v>0</v>
      </c>
      <c r="CH22" s="96" t="str">
        <f t="shared" si="338"/>
        <v/>
      </c>
      <c r="CI22" s="97" t="str">
        <f t="shared" si="339"/>
        <v/>
      </c>
      <c r="CJ22" s="98">
        <f t="shared" si="340"/>
        <v>0</v>
      </c>
      <c r="CK22" s="93" t="str">
        <f t="shared" si="341"/>
        <v/>
      </c>
      <c r="CL22" s="94" t="str">
        <f t="shared" si="342"/>
        <v/>
      </c>
      <c r="CM22" s="95">
        <f t="shared" si="343"/>
        <v>0</v>
      </c>
      <c r="CN22" s="96" t="str">
        <f t="shared" si="344"/>
        <v/>
      </c>
      <c r="CO22" s="97" t="str">
        <f t="shared" si="345"/>
        <v/>
      </c>
      <c r="CP22" s="98">
        <f t="shared" si="346"/>
        <v>0</v>
      </c>
      <c r="CQ22" s="93" t="str">
        <f t="shared" si="347"/>
        <v/>
      </c>
      <c r="CR22" s="94" t="str">
        <f t="shared" si="348"/>
        <v/>
      </c>
      <c r="CS22" s="95">
        <f t="shared" si="349"/>
        <v>0</v>
      </c>
      <c r="CT22" s="96" t="str">
        <f t="shared" si="350"/>
        <v/>
      </c>
      <c r="CU22" s="97" t="str">
        <f t="shared" si="351"/>
        <v/>
      </c>
      <c r="CV22" s="98">
        <f t="shared" si="352"/>
        <v>0</v>
      </c>
      <c r="CW22" s="93" t="str">
        <f t="shared" si="353"/>
        <v/>
      </c>
      <c r="CX22" s="94" t="str">
        <f t="shared" si="354"/>
        <v/>
      </c>
      <c r="CY22" s="95">
        <f t="shared" si="355"/>
        <v>0</v>
      </c>
      <c r="CZ22" s="96" t="str">
        <f t="shared" si="356"/>
        <v/>
      </c>
      <c r="DA22" s="97" t="str">
        <f t="shared" si="357"/>
        <v/>
      </c>
      <c r="DB22" s="98">
        <f t="shared" si="358"/>
        <v>0</v>
      </c>
      <c r="DC22" s="93" t="str">
        <f t="shared" si="359"/>
        <v/>
      </c>
      <c r="DD22" s="94" t="str">
        <f t="shared" si="360"/>
        <v/>
      </c>
      <c r="DE22" s="95">
        <f t="shared" si="361"/>
        <v>0</v>
      </c>
      <c r="DF22" s="96" t="str">
        <f t="shared" si="362"/>
        <v/>
      </c>
      <c r="DG22" s="97" t="str">
        <f t="shared" si="363"/>
        <v/>
      </c>
      <c r="DH22" s="98">
        <f t="shared" si="364"/>
        <v>0</v>
      </c>
      <c r="DI22" s="93" t="str">
        <f t="shared" si="365"/>
        <v/>
      </c>
      <c r="DJ22" s="94" t="str">
        <f t="shared" si="366"/>
        <v/>
      </c>
      <c r="DK22" s="95">
        <f t="shared" si="367"/>
        <v>0</v>
      </c>
      <c r="DL22" s="96" t="str">
        <f t="shared" si="368"/>
        <v/>
      </c>
      <c r="DM22" s="97" t="str">
        <f t="shared" si="369"/>
        <v/>
      </c>
      <c r="DN22" s="98">
        <f t="shared" si="370"/>
        <v>0</v>
      </c>
      <c r="DO22" s="93" t="str">
        <f t="shared" si="371"/>
        <v/>
      </c>
      <c r="DP22" s="94" t="str">
        <f t="shared" si="372"/>
        <v/>
      </c>
      <c r="DQ22" s="95">
        <f t="shared" si="373"/>
        <v>0</v>
      </c>
      <c r="DR22" s="96" t="str">
        <f t="shared" si="374"/>
        <v/>
      </c>
      <c r="DS22" s="97" t="str">
        <f t="shared" si="375"/>
        <v/>
      </c>
      <c r="DT22" s="98">
        <f t="shared" si="376"/>
        <v>0</v>
      </c>
      <c r="DU22" s="93" t="str">
        <f t="shared" si="377"/>
        <v/>
      </c>
      <c r="DV22" s="94" t="str">
        <f t="shared" si="378"/>
        <v/>
      </c>
      <c r="DW22" s="95">
        <f t="shared" si="379"/>
        <v>0</v>
      </c>
      <c r="DX22" s="96" t="str">
        <f t="shared" si="380"/>
        <v/>
      </c>
      <c r="DY22" s="97" t="str">
        <f t="shared" si="381"/>
        <v/>
      </c>
      <c r="DZ22" s="98">
        <f t="shared" si="382"/>
        <v>0</v>
      </c>
      <c r="EA22" s="93" t="str">
        <f t="shared" si="383"/>
        <v/>
      </c>
      <c r="EB22" s="94" t="str">
        <f t="shared" si="384"/>
        <v/>
      </c>
      <c r="EC22" s="95">
        <f t="shared" si="385"/>
        <v>0</v>
      </c>
      <c r="ED22" s="96" t="str">
        <f t="shared" si="386"/>
        <v/>
      </c>
      <c r="EE22" s="97" t="str">
        <f t="shared" si="387"/>
        <v/>
      </c>
      <c r="EF22" s="98">
        <f t="shared" si="388"/>
        <v>0</v>
      </c>
      <c r="EG22" s="93" t="str">
        <f t="shared" si="389"/>
        <v/>
      </c>
      <c r="EH22" s="94" t="str">
        <f t="shared" si="390"/>
        <v/>
      </c>
      <c r="EI22" s="95">
        <f t="shared" si="391"/>
        <v>0</v>
      </c>
      <c r="EJ22" s="96" t="str">
        <f t="shared" si="392"/>
        <v/>
      </c>
      <c r="EK22" s="97" t="str">
        <f t="shared" si="393"/>
        <v/>
      </c>
      <c r="EL22" s="98">
        <f t="shared" si="394"/>
        <v>0</v>
      </c>
      <c r="EM22" s="93" t="str">
        <f t="shared" si="395"/>
        <v/>
      </c>
      <c r="EN22" s="94" t="str">
        <f t="shared" si="396"/>
        <v/>
      </c>
      <c r="EO22" s="95">
        <f t="shared" si="397"/>
        <v>0</v>
      </c>
      <c r="EP22" s="96" t="str">
        <f t="shared" si="398"/>
        <v/>
      </c>
      <c r="EQ22" s="97" t="str">
        <f t="shared" si="399"/>
        <v/>
      </c>
      <c r="ER22" s="98">
        <f t="shared" si="400"/>
        <v>0</v>
      </c>
      <c r="ES22" s="93" t="str">
        <f t="shared" si="401"/>
        <v/>
      </c>
      <c r="ET22" s="94" t="str">
        <f t="shared" si="402"/>
        <v/>
      </c>
      <c r="EU22" s="95">
        <f t="shared" si="403"/>
        <v>0</v>
      </c>
      <c r="EV22" s="96" t="str">
        <f t="shared" si="404"/>
        <v/>
      </c>
      <c r="EW22" s="97" t="str">
        <f t="shared" si="405"/>
        <v/>
      </c>
      <c r="EX22" s="98">
        <f t="shared" si="406"/>
        <v>0</v>
      </c>
      <c r="EY22" s="93" t="str">
        <f t="shared" si="407"/>
        <v/>
      </c>
      <c r="EZ22" s="94" t="str">
        <f t="shared" si="408"/>
        <v/>
      </c>
      <c r="FA22" s="95">
        <f t="shared" si="409"/>
        <v>0</v>
      </c>
      <c r="FB22" s="96" t="str">
        <f t="shared" si="410"/>
        <v/>
      </c>
      <c r="FC22" s="97" t="str">
        <f t="shared" si="411"/>
        <v/>
      </c>
      <c r="FD22" s="98">
        <f t="shared" si="412"/>
        <v>0</v>
      </c>
      <c r="FE22" s="93" t="str">
        <f t="shared" si="413"/>
        <v/>
      </c>
      <c r="FF22" s="94" t="str">
        <f t="shared" si="414"/>
        <v/>
      </c>
      <c r="FG22" s="95">
        <f t="shared" si="415"/>
        <v>0</v>
      </c>
      <c r="FH22" s="96" t="str">
        <f t="shared" si="416"/>
        <v/>
      </c>
      <c r="FI22" s="97" t="str">
        <f t="shared" si="417"/>
        <v/>
      </c>
      <c r="FJ22" s="98">
        <f t="shared" si="418"/>
        <v>0</v>
      </c>
    </row>
    <row r="23" ht="15.75" customHeight="1">
      <c r="A23" s="6" t="str">
        <f>Menus!B15</f>
        <v/>
      </c>
      <c r="B23" s="16">
        <f t="shared" si="256"/>
        <v>0</v>
      </c>
      <c r="C23" s="16">
        <f t="shared" si="257"/>
        <v>0</v>
      </c>
      <c r="D23" s="16">
        <f t="shared" si="254"/>
        <v>0</v>
      </c>
      <c r="E23" s="87" t="str">
        <f t="shared" si="258"/>
        <v/>
      </c>
      <c r="F23" s="88" t="str">
        <f t="shared" si="259"/>
        <v/>
      </c>
      <c r="G23" s="89">
        <f t="shared" si="255"/>
        <v>0</v>
      </c>
      <c r="H23" s="90" t="str">
        <f t="shared" si="260"/>
        <v/>
      </c>
      <c r="I23" s="91" t="str">
        <f t="shared" si="261"/>
        <v/>
      </c>
      <c r="J23" s="92">
        <f t="shared" si="262"/>
        <v>0</v>
      </c>
      <c r="K23" s="93" t="str">
        <f t="shared" si="263"/>
        <v/>
      </c>
      <c r="L23" s="94" t="str">
        <f t="shared" si="264"/>
        <v/>
      </c>
      <c r="M23" s="95">
        <f t="shared" si="265"/>
        <v>0</v>
      </c>
      <c r="N23" s="96" t="str">
        <f t="shared" si="266"/>
        <v/>
      </c>
      <c r="O23" s="97" t="str">
        <f t="shared" si="267"/>
        <v/>
      </c>
      <c r="P23" s="98">
        <f t="shared" si="268"/>
        <v>0</v>
      </c>
      <c r="Q23" s="93" t="str">
        <f t="shared" si="269"/>
        <v/>
      </c>
      <c r="R23" s="94" t="str">
        <f t="shared" si="270"/>
        <v/>
      </c>
      <c r="S23" s="95">
        <f t="shared" si="271"/>
        <v>0</v>
      </c>
      <c r="T23" s="96" t="str">
        <f t="shared" si="272"/>
        <v/>
      </c>
      <c r="U23" s="97" t="str">
        <f t="shared" si="273"/>
        <v/>
      </c>
      <c r="V23" s="98">
        <f t="shared" si="274"/>
        <v>0</v>
      </c>
      <c r="W23" s="93" t="str">
        <f t="shared" si="275"/>
        <v/>
      </c>
      <c r="X23" s="94" t="str">
        <f t="shared" si="276"/>
        <v/>
      </c>
      <c r="Y23" s="95">
        <f t="shared" si="277"/>
        <v>0</v>
      </c>
      <c r="Z23" s="96" t="str">
        <f t="shared" si="278"/>
        <v/>
      </c>
      <c r="AA23" s="97" t="str">
        <f t="shared" si="279"/>
        <v/>
      </c>
      <c r="AB23" s="98">
        <f t="shared" si="280"/>
        <v>0</v>
      </c>
      <c r="AC23" s="93" t="str">
        <f t="shared" si="281"/>
        <v/>
      </c>
      <c r="AD23" s="94" t="str">
        <f t="shared" si="282"/>
        <v/>
      </c>
      <c r="AE23" s="95">
        <f t="shared" si="283"/>
        <v>0</v>
      </c>
      <c r="AF23" s="96" t="str">
        <f t="shared" si="284"/>
        <v/>
      </c>
      <c r="AG23" s="97" t="str">
        <f t="shared" si="285"/>
        <v/>
      </c>
      <c r="AH23" s="98">
        <f t="shared" si="286"/>
        <v>0</v>
      </c>
      <c r="AI23" s="93" t="str">
        <f t="shared" si="287"/>
        <v/>
      </c>
      <c r="AJ23" s="94" t="str">
        <f t="shared" si="288"/>
        <v/>
      </c>
      <c r="AK23" s="95">
        <f t="shared" si="289"/>
        <v>0</v>
      </c>
      <c r="AL23" s="96" t="str">
        <f t="shared" si="290"/>
        <v/>
      </c>
      <c r="AM23" s="97" t="str">
        <f t="shared" si="291"/>
        <v/>
      </c>
      <c r="AN23" s="98">
        <f t="shared" si="292"/>
        <v>0</v>
      </c>
      <c r="AO23" s="93" t="str">
        <f t="shared" si="293"/>
        <v/>
      </c>
      <c r="AP23" s="94" t="str">
        <f t="shared" si="294"/>
        <v/>
      </c>
      <c r="AQ23" s="95">
        <f t="shared" si="295"/>
        <v>0</v>
      </c>
      <c r="AR23" s="96" t="str">
        <f t="shared" si="296"/>
        <v/>
      </c>
      <c r="AS23" s="97" t="str">
        <f t="shared" si="297"/>
        <v/>
      </c>
      <c r="AT23" s="98">
        <f t="shared" si="298"/>
        <v>0</v>
      </c>
      <c r="AU23" s="93" t="str">
        <f t="shared" si="299"/>
        <v/>
      </c>
      <c r="AV23" s="94" t="str">
        <f t="shared" si="300"/>
        <v/>
      </c>
      <c r="AW23" s="95">
        <f t="shared" si="301"/>
        <v>0</v>
      </c>
      <c r="AX23" s="96" t="str">
        <f t="shared" si="302"/>
        <v/>
      </c>
      <c r="AY23" s="97" t="str">
        <f t="shared" si="303"/>
        <v/>
      </c>
      <c r="AZ23" s="98">
        <f t="shared" si="304"/>
        <v>0</v>
      </c>
      <c r="BA23" s="93" t="str">
        <f t="shared" si="305"/>
        <v/>
      </c>
      <c r="BB23" s="94" t="str">
        <f t="shared" si="306"/>
        <v/>
      </c>
      <c r="BC23" s="95">
        <f t="shared" si="307"/>
        <v>0</v>
      </c>
      <c r="BD23" s="96" t="str">
        <f t="shared" si="308"/>
        <v/>
      </c>
      <c r="BE23" s="97" t="str">
        <f t="shared" si="309"/>
        <v/>
      </c>
      <c r="BF23" s="98">
        <f t="shared" si="310"/>
        <v>0</v>
      </c>
      <c r="BG23" s="93" t="str">
        <f t="shared" si="311"/>
        <v/>
      </c>
      <c r="BH23" s="94" t="str">
        <f t="shared" si="312"/>
        <v/>
      </c>
      <c r="BI23" s="95">
        <f t="shared" si="313"/>
        <v>0</v>
      </c>
      <c r="BJ23" s="96" t="str">
        <f t="shared" si="314"/>
        <v/>
      </c>
      <c r="BK23" s="97" t="str">
        <f t="shared" si="315"/>
        <v/>
      </c>
      <c r="BL23" s="98">
        <f t="shared" si="316"/>
        <v>0</v>
      </c>
      <c r="BM23" s="93" t="str">
        <f t="shared" si="317"/>
        <v/>
      </c>
      <c r="BN23" s="94" t="str">
        <f t="shared" si="318"/>
        <v/>
      </c>
      <c r="BO23" s="95">
        <f t="shared" si="319"/>
        <v>0</v>
      </c>
      <c r="BP23" s="96" t="str">
        <f t="shared" si="320"/>
        <v/>
      </c>
      <c r="BQ23" s="97" t="str">
        <f t="shared" si="321"/>
        <v/>
      </c>
      <c r="BR23" s="98">
        <f t="shared" si="322"/>
        <v>0</v>
      </c>
      <c r="BS23" s="93" t="str">
        <f t="shared" si="323"/>
        <v/>
      </c>
      <c r="BT23" s="94" t="str">
        <f t="shared" si="324"/>
        <v/>
      </c>
      <c r="BU23" s="95">
        <f t="shared" si="325"/>
        <v>0</v>
      </c>
      <c r="BV23" s="96" t="str">
        <f t="shared" si="326"/>
        <v/>
      </c>
      <c r="BW23" s="97" t="str">
        <f t="shared" si="327"/>
        <v/>
      </c>
      <c r="BX23" s="98">
        <f t="shared" si="328"/>
        <v>0</v>
      </c>
      <c r="BY23" s="93" t="str">
        <f t="shared" si="329"/>
        <v/>
      </c>
      <c r="BZ23" s="94" t="str">
        <f t="shared" si="330"/>
        <v/>
      </c>
      <c r="CA23" s="95">
        <f t="shared" si="331"/>
        <v>0</v>
      </c>
      <c r="CB23" s="96" t="str">
        <f t="shared" si="332"/>
        <v/>
      </c>
      <c r="CC23" s="97" t="str">
        <f t="shared" si="333"/>
        <v/>
      </c>
      <c r="CD23" s="98">
        <f t="shared" si="334"/>
        <v>0</v>
      </c>
      <c r="CE23" s="93" t="str">
        <f t="shared" si="335"/>
        <v/>
      </c>
      <c r="CF23" s="94" t="str">
        <f t="shared" si="336"/>
        <v/>
      </c>
      <c r="CG23" s="95">
        <f t="shared" si="337"/>
        <v>0</v>
      </c>
      <c r="CH23" s="96" t="str">
        <f t="shared" si="338"/>
        <v/>
      </c>
      <c r="CI23" s="97" t="str">
        <f t="shared" si="339"/>
        <v/>
      </c>
      <c r="CJ23" s="98">
        <f t="shared" si="340"/>
        <v>0</v>
      </c>
      <c r="CK23" s="93" t="str">
        <f t="shared" si="341"/>
        <v/>
      </c>
      <c r="CL23" s="94" t="str">
        <f t="shared" si="342"/>
        <v/>
      </c>
      <c r="CM23" s="95">
        <f t="shared" si="343"/>
        <v>0</v>
      </c>
      <c r="CN23" s="96" t="str">
        <f t="shared" si="344"/>
        <v/>
      </c>
      <c r="CO23" s="97" t="str">
        <f t="shared" si="345"/>
        <v/>
      </c>
      <c r="CP23" s="98">
        <f t="shared" si="346"/>
        <v>0</v>
      </c>
      <c r="CQ23" s="93" t="str">
        <f t="shared" si="347"/>
        <v/>
      </c>
      <c r="CR23" s="94" t="str">
        <f t="shared" si="348"/>
        <v/>
      </c>
      <c r="CS23" s="95">
        <f t="shared" si="349"/>
        <v>0</v>
      </c>
      <c r="CT23" s="96" t="str">
        <f t="shared" si="350"/>
        <v/>
      </c>
      <c r="CU23" s="97" t="str">
        <f t="shared" si="351"/>
        <v/>
      </c>
      <c r="CV23" s="98">
        <f t="shared" si="352"/>
        <v>0</v>
      </c>
      <c r="CW23" s="93" t="str">
        <f t="shared" si="353"/>
        <v/>
      </c>
      <c r="CX23" s="94" t="str">
        <f t="shared" si="354"/>
        <v/>
      </c>
      <c r="CY23" s="95">
        <f t="shared" si="355"/>
        <v>0</v>
      </c>
      <c r="CZ23" s="96" t="str">
        <f t="shared" si="356"/>
        <v/>
      </c>
      <c r="DA23" s="97" t="str">
        <f t="shared" si="357"/>
        <v/>
      </c>
      <c r="DB23" s="98">
        <f t="shared" si="358"/>
        <v>0</v>
      </c>
      <c r="DC23" s="93" t="str">
        <f t="shared" si="359"/>
        <v/>
      </c>
      <c r="DD23" s="94" t="str">
        <f t="shared" si="360"/>
        <v/>
      </c>
      <c r="DE23" s="95">
        <f t="shared" si="361"/>
        <v>0</v>
      </c>
      <c r="DF23" s="96" t="str">
        <f t="shared" si="362"/>
        <v/>
      </c>
      <c r="DG23" s="97" t="str">
        <f t="shared" si="363"/>
        <v/>
      </c>
      <c r="DH23" s="98">
        <f t="shared" si="364"/>
        <v>0</v>
      </c>
      <c r="DI23" s="93" t="str">
        <f t="shared" si="365"/>
        <v/>
      </c>
      <c r="DJ23" s="94" t="str">
        <f t="shared" si="366"/>
        <v/>
      </c>
      <c r="DK23" s="95">
        <f t="shared" si="367"/>
        <v>0</v>
      </c>
      <c r="DL23" s="96" t="str">
        <f t="shared" si="368"/>
        <v/>
      </c>
      <c r="DM23" s="97" t="str">
        <f t="shared" si="369"/>
        <v/>
      </c>
      <c r="DN23" s="98">
        <f t="shared" si="370"/>
        <v>0</v>
      </c>
      <c r="DO23" s="93" t="str">
        <f t="shared" si="371"/>
        <v/>
      </c>
      <c r="DP23" s="94" t="str">
        <f t="shared" si="372"/>
        <v/>
      </c>
      <c r="DQ23" s="95">
        <f t="shared" si="373"/>
        <v>0</v>
      </c>
      <c r="DR23" s="96" t="str">
        <f t="shared" si="374"/>
        <v/>
      </c>
      <c r="DS23" s="97" t="str">
        <f t="shared" si="375"/>
        <v/>
      </c>
      <c r="DT23" s="98">
        <f t="shared" si="376"/>
        <v>0</v>
      </c>
      <c r="DU23" s="93" t="str">
        <f t="shared" si="377"/>
        <v/>
      </c>
      <c r="DV23" s="94" t="str">
        <f t="shared" si="378"/>
        <v/>
      </c>
      <c r="DW23" s="95">
        <f t="shared" si="379"/>
        <v>0</v>
      </c>
      <c r="DX23" s="96" t="str">
        <f t="shared" si="380"/>
        <v/>
      </c>
      <c r="DY23" s="97" t="str">
        <f t="shared" si="381"/>
        <v/>
      </c>
      <c r="DZ23" s="98">
        <f t="shared" si="382"/>
        <v>0</v>
      </c>
      <c r="EA23" s="93" t="str">
        <f t="shared" si="383"/>
        <v/>
      </c>
      <c r="EB23" s="94" t="str">
        <f t="shared" si="384"/>
        <v/>
      </c>
      <c r="EC23" s="95">
        <f t="shared" si="385"/>
        <v>0</v>
      </c>
      <c r="ED23" s="96" t="str">
        <f t="shared" si="386"/>
        <v/>
      </c>
      <c r="EE23" s="97" t="str">
        <f t="shared" si="387"/>
        <v/>
      </c>
      <c r="EF23" s="98">
        <f t="shared" si="388"/>
        <v>0</v>
      </c>
      <c r="EG23" s="93" t="str">
        <f t="shared" si="389"/>
        <v/>
      </c>
      <c r="EH23" s="94" t="str">
        <f t="shared" si="390"/>
        <v/>
      </c>
      <c r="EI23" s="95">
        <f t="shared" si="391"/>
        <v>0</v>
      </c>
      <c r="EJ23" s="96" t="str">
        <f t="shared" si="392"/>
        <v/>
      </c>
      <c r="EK23" s="97" t="str">
        <f t="shared" si="393"/>
        <v/>
      </c>
      <c r="EL23" s="98">
        <f t="shared" si="394"/>
        <v>0</v>
      </c>
      <c r="EM23" s="93" t="str">
        <f t="shared" si="395"/>
        <v/>
      </c>
      <c r="EN23" s="94" t="str">
        <f t="shared" si="396"/>
        <v/>
      </c>
      <c r="EO23" s="95">
        <f t="shared" si="397"/>
        <v>0</v>
      </c>
      <c r="EP23" s="96" t="str">
        <f t="shared" si="398"/>
        <v/>
      </c>
      <c r="EQ23" s="97" t="str">
        <f t="shared" si="399"/>
        <v/>
      </c>
      <c r="ER23" s="98">
        <f t="shared" si="400"/>
        <v>0</v>
      </c>
      <c r="ES23" s="93" t="str">
        <f t="shared" si="401"/>
        <v/>
      </c>
      <c r="ET23" s="94" t="str">
        <f t="shared" si="402"/>
        <v/>
      </c>
      <c r="EU23" s="95">
        <f t="shared" si="403"/>
        <v>0</v>
      </c>
      <c r="EV23" s="96" t="str">
        <f t="shared" si="404"/>
        <v/>
      </c>
      <c r="EW23" s="97" t="str">
        <f t="shared" si="405"/>
        <v/>
      </c>
      <c r="EX23" s="98">
        <f t="shared" si="406"/>
        <v>0</v>
      </c>
      <c r="EY23" s="93" t="str">
        <f t="shared" si="407"/>
        <v/>
      </c>
      <c r="EZ23" s="94" t="str">
        <f t="shared" si="408"/>
        <v/>
      </c>
      <c r="FA23" s="95">
        <f t="shared" si="409"/>
        <v>0</v>
      </c>
      <c r="FB23" s="96" t="str">
        <f t="shared" si="410"/>
        <v/>
      </c>
      <c r="FC23" s="97" t="str">
        <f t="shared" si="411"/>
        <v/>
      </c>
      <c r="FD23" s="98">
        <f t="shared" si="412"/>
        <v>0</v>
      </c>
      <c r="FE23" s="93" t="str">
        <f t="shared" si="413"/>
        <v/>
      </c>
      <c r="FF23" s="94" t="str">
        <f t="shared" si="414"/>
        <v/>
      </c>
      <c r="FG23" s="95">
        <f t="shared" si="415"/>
        <v>0</v>
      </c>
      <c r="FH23" s="96" t="str">
        <f t="shared" si="416"/>
        <v/>
      </c>
      <c r="FI23" s="97" t="str">
        <f t="shared" si="417"/>
        <v/>
      </c>
      <c r="FJ23" s="98">
        <f t="shared" si="418"/>
        <v>0</v>
      </c>
    </row>
    <row r="24" ht="15.75" customHeight="1">
      <c r="A24" s="6" t="str">
        <f>Menus!B16</f>
        <v/>
      </c>
      <c r="B24" s="16">
        <f t="shared" si="256"/>
        <v>0</v>
      </c>
      <c r="C24" s="16">
        <f t="shared" si="257"/>
        <v>0</v>
      </c>
      <c r="D24" s="16">
        <f t="shared" si="254"/>
        <v>0</v>
      </c>
      <c r="E24" s="87" t="str">
        <f t="shared" si="258"/>
        <v/>
      </c>
      <c r="F24" s="88" t="str">
        <f t="shared" si="259"/>
        <v/>
      </c>
      <c r="G24" s="89">
        <f t="shared" si="255"/>
        <v>0</v>
      </c>
      <c r="H24" s="90" t="str">
        <f t="shared" si="260"/>
        <v/>
      </c>
      <c r="I24" s="91" t="str">
        <f t="shared" si="261"/>
        <v/>
      </c>
      <c r="J24" s="92">
        <f t="shared" si="262"/>
        <v>0</v>
      </c>
      <c r="K24" s="93" t="str">
        <f t="shared" si="263"/>
        <v/>
      </c>
      <c r="L24" s="94" t="str">
        <f t="shared" si="264"/>
        <v/>
      </c>
      <c r="M24" s="95">
        <f t="shared" si="265"/>
        <v>0</v>
      </c>
      <c r="N24" s="96" t="str">
        <f t="shared" si="266"/>
        <v/>
      </c>
      <c r="O24" s="97" t="str">
        <f t="shared" si="267"/>
        <v/>
      </c>
      <c r="P24" s="98">
        <f t="shared" si="268"/>
        <v>0</v>
      </c>
      <c r="Q24" s="93" t="str">
        <f t="shared" si="269"/>
        <v/>
      </c>
      <c r="R24" s="94" t="str">
        <f t="shared" si="270"/>
        <v/>
      </c>
      <c r="S24" s="95">
        <f t="shared" si="271"/>
        <v>0</v>
      </c>
      <c r="T24" s="96" t="str">
        <f t="shared" si="272"/>
        <v/>
      </c>
      <c r="U24" s="97" t="str">
        <f t="shared" si="273"/>
        <v/>
      </c>
      <c r="V24" s="98">
        <f t="shared" si="274"/>
        <v>0</v>
      </c>
      <c r="W24" s="93" t="str">
        <f t="shared" si="275"/>
        <v/>
      </c>
      <c r="X24" s="94" t="str">
        <f t="shared" si="276"/>
        <v/>
      </c>
      <c r="Y24" s="95">
        <f t="shared" si="277"/>
        <v>0</v>
      </c>
      <c r="Z24" s="96" t="str">
        <f t="shared" si="278"/>
        <v/>
      </c>
      <c r="AA24" s="97" t="str">
        <f t="shared" si="279"/>
        <v/>
      </c>
      <c r="AB24" s="98">
        <f t="shared" si="280"/>
        <v>0</v>
      </c>
      <c r="AC24" s="93" t="str">
        <f t="shared" si="281"/>
        <v/>
      </c>
      <c r="AD24" s="94" t="str">
        <f t="shared" si="282"/>
        <v/>
      </c>
      <c r="AE24" s="95">
        <f t="shared" si="283"/>
        <v>0</v>
      </c>
      <c r="AF24" s="96" t="str">
        <f t="shared" si="284"/>
        <v/>
      </c>
      <c r="AG24" s="97" t="str">
        <f t="shared" si="285"/>
        <v/>
      </c>
      <c r="AH24" s="98">
        <f t="shared" si="286"/>
        <v>0</v>
      </c>
      <c r="AI24" s="93" t="str">
        <f t="shared" si="287"/>
        <v/>
      </c>
      <c r="AJ24" s="94" t="str">
        <f t="shared" si="288"/>
        <v/>
      </c>
      <c r="AK24" s="95">
        <f t="shared" si="289"/>
        <v>0</v>
      </c>
      <c r="AL24" s="96" t="str">
        <f t="shared" si="290"/>
        <v/>
      </c>
      <c r="AM24" s="97" t="str">
        <f t="shared" si="291"/>
        <v/>
      </c>
      <c r="AN24" s="98">
        <f t="shared" si="292"/>
        <v>0</v>
      </c>
      <c r="AO24" s="93" t="str">
        <f t="shared" si="293"/>
        <v/>
      </c>
      <c r="AP24" s="94" t="str">
        <f t="shared" si="294"/>
        <v/>
      </c>
      <c r="AQ24" s="95">
        <f t="shared" si="295"/>
        <v>0</v>
      </c>
      <c r="AR24" s="96" t="str">
        <f t="shared" si="296"/>
        <v/>
      </c>
      <c r="AS24" s="97" t="str">
        <f t="shared" si="297"/>
        <v/>
      </c>
      <c r="AT24" s="98">
        <f t="shared" si="298"/>
        <v>0</v>
      </c>
      <c r="AU24" s="93" t="str">
        <f t="shared" si="299"/>
        <v/>
      </c>
      <c r="AV24" s="94" t="str">
        <f t="shared" si="300"/>
        <v/>
      </c>
      <c r="AW24" s="95">
        <f t="shared" si="301"/>
        <v>0</v>
      </c>
      <c r="AX24" s="96" t="str">
        <f t="shared" si="302"/>
        <v/>
      </c>
      <c r="AY24" s="97" t="str">
        <f t="shared" si="303"/>
        <v/>
      </c>
      <c r="AZ24" s="98">
        <f t="shared" si="304"/>
        <v>0</v>
      </c>
      <c r="BA24" s="93" t="str">
        <f t="shared" si="305"/>
        <v/>
      </c>
      <c r="BB24" s="94" t="str">
        <f t="shared" si="306"/>
        <v/>
      </c>
      <c r="BC24" s="95">
        <f t="shared" si="307"/>
        <v>0</v>
      </c>
      <c r="BD24" s="96" t="str">
        <f t="shared" si="308"/>
        <v/>
      </c>
      <c r="BE24" s="97" t="str">
        <f t="shared" si="309"/>
        <v/>
      </c>
      <c r="BF24" s="98">
        <f t="shared" si="310"/>
        <v>0</v>
      </c>
      <c r="BG24" s="93" t="str">
        <f t="shared" si="311"/>
        <v/>
      </c>
      <c r="BH24" s="94" t="str">
        <f t="shared" si="312"/>
        <v/>
      </c>
      <c r="BI24" s="95">
        <f t="shared" si="313"/>
        <v>0</v>
      </c>
      <c r="BJ24" s="96" t="str">
        <f t="shared" si="314"/>
        <v/>
      </c>
      <c r="BK24" s="97" t="str">
        <f t="shared" si="315"/>
        <v/>
      </c>
      <c r="BL24" s="98">
        <f t="shared" si="316"/>
        <v>0</v>
      </c>
      <c r="BM24" s="93" t="str">
        <f t="shared" si="317"/>
        <v/>
      </c>
      <c r="BN24" s="94" t="str">
        <f t="shared" si="318"/>
        <v/>
      </c>
      <c r="BO24" s="95">
        <f t="shared" si="319"/>
        <v>0</v>
      </c>
      <c r="BP24" s="96" t="str">
        <f t="shared" si="320"/>
        <v/>
      </c>
      <c r="BQ24" s="97" t="str">
        <f t="shared" si="321"/>
        <v/>
      </c>
      <c r="BR24" s="98">
        <f t="shared" si="322"/>
        <v>0</v>
      </c>
      <c r="BS24" s="93" t="str">
        <f t="shared" si="323"/>
        <v/>
      </c>
      <c r="BT24" s="94" t="str">
        <f t="shared" si="324"/>
        <v/>
      </c>
      <c r="BU24" s="95">
        <f t="shared" si="325"/>
        <v>0</v>
      </c>
      <c r="BV24" s="96" t="str">
        <f t="shared" si="326"/>
        <v/>
      </c>
      <c r="BW24" s="97" t="str">
        <f t="shared" si="327"/>
        <v/>
      </c>
      <c r="BX24" s="98">
        <f t="shared" si="328"/>
        <v>0</v>
      </c>
      <c r="BY24" s="93" t="str">
        <f t="shared" si="329"/>
        <v/>
      </c>
      <c r="BZ24" s="94" t="str">
        <f t="shared" si="330"/>
        <v/>
      </c>
      <c r="CA24" s="95">
        <f t="shared" si="331"/>
        <v>0</v>
      </c>
      <c r="CB24" s="96" t="str">
        <f t="shared" si="332"/>
        <v/>
      </c>
      <c r="CC24" s="97" t="str">
        <f t="shared" si="333"/>
        <v/>
      </c>
      <c r="CD24" s="98">
        <f t="shared" si="334"/>
        <v>0</v>
      </c>
      <c r="CE24" s="93" t="str">
        <f t="shared" si="335"/>
        <v/>
      </c>
      <c r="CF24" s="94" t="str">
        <f t="shared" si="336"/>
        <v/>
      </c>
      <c r="CG24" s="95">
        <f t="shared" si="337"/>
        <v>0</v>
      </c>
      <c r="CH24" s="96" t="str">
        <f t="shared" si="338"/>
        <v/>
      </c>
      <c r="CI24" s="97" t="str">
        <f t="shared" si="339"/>
        <v/>
      </c>
      <c r="CJ24" s="98">
        <f t="shared" si="340"/>
        <v>0</v>
      </c>
      <c r="CK24" s="93" t="str">
        <f t="shared" si="341"/>
        <v/>
      </c>
      <c r="CL24" s="94" t="str">
        <f t="shared" si="342"/>
        <v/>
      </c>
      <c r="CM24" s="95">
        <f t="shared" si="343"/>
        <v>0</v>
      </c>
      <c r="CN24" s="96" t="str">
        <f t="shared" si="344"/>
        <v/>
      </c>
      <c r="CO24" s="97" t="str">
        <f t="shared" si="345"/>
        <v/>
      </c>
      <c r="CP24" s="98">
        <f t="shared" si="346"/>
        <v>0</v>
      </c>
      <c r="CQ24" s="93" t="str">
        <f t="shared" si="347"/>
        <v/>
      </c>
      <c r="CR24" s="94" t="str">
        <f t="shared" si="348"/>
        <v/>
      </c>
      <c r="CS24" s="95">
        <f t="shared" si="349"/>
        <v>0</v>
      </c>
      <c r="CT24" s="96" t="str">
        <f t="shared" si="350"/>
        <v/>
      </c>
      <c r="CU24" s="97" t="str">
        <f t="shared" si="351"/>
        <v/>
      </c>
      <c r="CV24" s="98">
        <f t="shared" si="352"/>
        <v>0</v>
      </c>
      <c r="CW24" s="93" t="str">
        <f t="shared" si="353"/>
        <v/>
      </c>
      <c r="CX24" s="94" t="str">
        <f t="shared" si="354"/>
        <v/>
      </c>
      <c r="CY24" s="95">
        <f t="shared" si="355"/>
        <v>0</v>
      </c>
      <c r="CZ24" s="96" t="str">
        <f t="shared" si="356"/>
        <v/>
      </c>
      <c r="DA24" s="97" t="str">
        <f t="shared" si="357"/>
        <v/>
      </c>
      <c r="DB24" s="98">
        <f t="shared" si="358"/>
        <v>0</v>
      </c>
      <c r="DC24" s="93" t="str">
        <f t="shared" si="359"/>
        <v/>
      </c>
      <c r="DD24" s="94" t="str">
        <f t="shared" si="360"/>
        <v/>
      </c>
      <c r="DE24" s="95">
        <f t="shared" si="361"/>
        <v>0</v>
      </c>
      <c r="DF24" s="96" t="str">
        <f t="shared" si="362"/>
        <v/>
      </c>
      <c r="DG24" s="97" t="str">
        <f t="shared" si="363"/>
        <v/>
      </c>
      <c r="DH24" s="98">
        <f t="shared" si="364"/>
        <v>0</v>
      </c>
      <c r="DI24" s="93" t="str">
        <f t="shared" si="365"/>
        <v/>
      </c>
      <c r="DJ24" s="94" t="str">
        <f t="shared" si="366"/>
        <v/>
      </c>
      <c r="DK24" s="95">
        <f t="shared" si="367"/>
        <v>0</v>
      </c>
      <c r="DL24" s="96" t="str">
        <f t="shared" si="368"/>
        <v/>
      </c>
      <c r="DM24" s="97" t="str">
        <f t="shared" si="369"/>
        <v/>
      </c>
      <c r="DN24" s="98">
        <f t="shared" si="370"/>
        <v>0</v>
      </c>
      <c r="DO24" s="93" t="str">
        <f t="shared" si="371"/>
        <v/>
      </c>
      <c r="DP24" s="94" t="str">
        <f t="shared" si="372"/>
        <v/>
      </c>
      <c r="DQ24" s="95">
        <f t="shared" si="373"/>
        <v>0</v>
      </c>
      <c r="DR24" s="96" t="str">
        <f t="shared" si="374"/>
        <v/>
      </c>
      <c r="DS24" s="97" t="str">
        <f t="shared" si="375"/>
        <v/>
      </c>
      <c r="DT24" s="98">
        <f t="shared" si="376"/>
        <v>0</v>
      </c>
      <c r="DU24" s="93" t="str">
        <f t="shared" si="377"/>
        <v/>
      </c>
      <c r="DV24" s="94" t="str">
        <f t="shared" si="378"/>
        <v/>
      </c>
      <c r="DW24" s="95">
        <f t="shared" si="379"/>
        <v>0</v>
      </c>
      <c r="DX24" s="96" t="str">
        <f t="shared" si="380"/>
        <v/>
      </c>
      <c r="DY24" s="97" t="str">
        <f t="shared" si="381"/>
        <v/>
      </c>
      <c r="DZ24" s="98">
        <f t="shared" si="382"/>
        <v>0</v>
      </c>
      <c r="EA24" s="93" t="str">
        <f t="shared" si="383"/>
        <v/>
      </c>
      <c r="EB24" s="94" t="str">
        <f t="shared" si="384"/>
        <v/>
      </c>
      <c r="EC24" s="95">
        <f t="shared" si="385"/>
        <v>0</v>
      </c>
      <c r="ED24" s="96" t="str">
        <f t="shared" si="386"/>
        <v/>
      </c>
      <c r="EE24" s="97" t="str">
        <f t="shared" si="387"/>
        <v/>
      </c>
      <c r="EF24" s="98">
        <f t="shared" si="388"/>
        <v>0</v>
      </c>
      <c r="EG24" s="93" t="str">
        <f t="shared" si="389"/>
        <v/>
      </c>
      <c r="EH24" s="94" t="str">
        <f t="shared" si="390"/>
        <v/>
      </c>
      <c r="EI24" s="95">
        <f t="shared" si="391"/>
        <v>0</v>
      </c>
      <c r="EJ24" s="96" t="str">
        <f t="shared" si="392"/>
        <v/>
      </c>
      <c r="EK24" s="97" t="str">
        <f t="shared" si="393"/>
        <v/>
      </c>
      <c r="EL24" s="98">
        <f t="shared" si="394"/>
        <v>0</v>
      </c>
      <c r="EM24" s="93" t="str">
        <f t="shared" si="395"/>
        <v/>
      </c>
      <c r="EN24" s="94" t="str">
        <f t="shared" si="396"/>
        <v/>
      </c>
      <c r="EO24" s="95">
        <f t="shared" si="397"/>
        <v>0</v>
      </c>
      <c r="EP24" s="96" t="str">
        <f t="shared" si="398"/>
        <v/>
      </c>
      <c r="EQ24" s="97" t="str">
        <f t="shared" si="399"/>
        <v/>
      </c>
      <c r="ER24" s="98">
        <f t="shared" si="400"/>
        <v>0</v>
      </c>
      <c r="ES24" s="93" t="str">
        <f t="shared" si="401"/>
        <v/>
      </c>
      <c r="ET24" s="94" t="str">
        <f t="shared" si="402"/>
        <v/>
      </c>
      <c r="EU24" s="95">
        <f t="shared" si="403"/>
        <v>0</v>
      </c>
      <c r="EV24" s="96" t="str">
        <f t="shared" si="404"/>
        <v/>
      </c>
      <c r="EW24" s="97" t="str">
        <f t="shared" si="405"/>
        <v/>
      </c>
      <c r="EX24" s="98">
        <f t="shared" si="406"/>
        <v>0</v>
      </c>
      <c r="EY24" s="93" t="str">
        <f t="shared" si="407"/>
        <v/>
      </c>
      <c r="EZ24" s="94" t="str">
        <f t="shared" si="408"/>
        <v/>
      </c>
      <c r="FA24" s="95">
        <f t="shared" si="409"/>
        <v>0</v>
      </c>
      <c r="FB24" s="96" t="str">
        <f t="shared" si="410"/>
        <v/>
      </c>
      <c r="FC24" s="97" t="str">
        <f t="shared" si="411"/>
        <v/>
      </c>
      <c r="FD24" s="98">
        <f t="shared" si="412"/>
        <v>0</v>
      </c>
      <c r="FE24" s="93" t="str">
        <f t="shared" si="413"/>
        <v/>
      </c>
      <c r="FF24" s="94" t="str">
        <f t="shared" si="414"/>
        <v/>
      </c>
      <c r="FG24" s="95">
        <f t="shared" si="415"/>
        <v>0</v>
      </c>
      <c r="FH24" s="96" t="str">
        <f t="shared" si="416"/>
        <v/>
      </c>
      <c r="FI24" s="97" t="str">
        <f t="shared" si="417"/>
        <v/>
      </c>
      <c r="FJ24" s="98">
        <f t="shared" si="418"/>
        <v>0</v>
      </c>
    </row>
    <row r="25" ht="15.75" customHeight="1">
      <c r="A25" s="6" t="str">
        <f>Menus!B17</f>
        <v/>
      </c>
      <c r="B25" s="16">
        <f t="shared" si="256"/>
        <v>0</v>
      </c>
      <c r="C25" s="16">
        <f t="shared" si="257"/>
        <v>0</v>
      </c>
      <c r="D25" s="16">
        <f t="shared" si="254"/>
        <v>0</v>
      </c>
      <c r="E25" s="87" t="str">
        <f t="shared" si="258"/>
        <v/>
      </c>
      <c r="F25" s="88" t="str">
        <f t="shared" si="259"/>
        <v/>
      </c>
      <c r="G25" s="89">
        <f t="shared" si="255"/>
        <v>0</v>
      </c>
      <c r="H25" s="90" t="str">
        <f t="shared" si="260"/>
        <v/>
      </c>
      <c r="I25" s="91" t="str">
        <f t="shared" si="261"/>
        <v/>
      </c>
      <c r="J25" s="92">
        <f t="shared" si="262"/>
        <v>0</v>
      </c>
      <c r="K25" s="93" t="str">
        <f t="shared" si="263"/>
        <v/>
      </c>
      <c r="L25" s="94" t="str">
        <f t="shared" si="264"/>
        <v/>
      </c>
      <c r="M25" s="95">
        <f t="shared" si="265"/>
        <v>0</v>
      </c>
      <c r="N25" s="96" t="str">
        <f t="shared" si="266"/>
        <v/>
      </c>
      <c r="O25" s="97" t="str">
        <f t="shared" si="267"/>
        <v/>
      </c>
      <c r="P25" s="98">
        <f t="shared" si="268"/>
        <v>0</v>
      </c>
      <c r="Q25" s="93" t="str">
        <f t="shared" si="269"/>
        <v/>
      </c>
      <c r="R25" s="94" t="str">
        <f t="shared" si="270"/>
        <v/>
      </c>
      <c r="S25" s="95">
        <f t="shared" si="271"/>
        <v>0</v>
      </c>
      <c r="T25" s="96" t="str">
        <f t="shared" si="272"/>
        <v/>
      </c>
      <c r="U25" s="97" t="str">
        <f t="shared" si="273"/>
        <v/>
      </c>
      <c r="V25" s="98">
        <f t="shared" si="274"/>
        <v>0</v>
      </c>
      <c r="W25" s="93" t="str">
        <f t="shared" si="275"/>
        <v/>
      </c>
      <c r="X25" s="94" t="str">
        <f t="shared" si="276"/>
        <v/>
      </c>
      <c r="Y25" s="95">
        <f t="shared" si="277"/>
        <v>0</v>
      </c>
      <c r="Z25" s="96" t="str">
        <f t="shared" si="278"/>
        <v/>
      </c>
      <c r="AA25" s="97" t="str">
        <f t="shared" si="279"/>
        <v/>
      </c>
      <c r="AB25" s="98">
        <f t="shared" si="280"/>
        <v>0</v>
      </c>
      <c r="AC25" s="93" t="str">
        <f t="shared" si="281"/>
        <v/>
      </c>
      <c r="AD25" s="94" t="str">
        <f t="shared" si="282"/>
        <v/>
      </c>
      <c r="AE25" s="95">
        <f t="shared" si="283"/>
        <v>0</v>
      </c>
      <c r="AF25" s="96" t="str">
        <f t="shared" si="284"/>
        <v/>
      </c>
      <c r="AG25" s="97" t="str">
        <f t="shared" si="285"/>
        <v/>
      </c>
      <c r="AH25" s="98">
        <f t="shared" si="286"/>
        <v>0</v>
      </c>
      <c r="AI25" s="93" t="str">
        <f t="shared" si="287"/>
        <v/>
      </c>
      <c r="AJ25" s="94" t="str">
        <f t="shared" si="288"/>
        <v/>
      </c>
      <c r="AK25" s="95">
        <f t="shared" si="289"/>
        <v>0</v>
      </c>
      <c r="AL25" s="96" t="str">
        <f t="shared" si="290"/>
        <v/>
      </c>
      <c r="AM25" s="97" t="str">
        <f t="shared" si="291"/>
        <v/>
      </c>
      <c r="AN25" s="98">
        <f t="shared" si="292"/>
        <v>0</v>
      </c>
      <c r="AO25" s="93" t="str">
        <f t="shared" si="293"/>
        <v/>
      </c>
      <c r="AP25" s="94" t="str">
        <f t="shared" si="294"/>
        <v/>
      </c>
      <c r="AQ25" s="95">
        <f t="shared" si="295"/>
        <v>0</v>
      </c>
      <c r="AR25" s="96" t="str">
        <f t="shared" si="296"/>
        <v/>
      </c>
      <c r="AS25" s="97" t="str">
        <f t="shared" si="297"/>
        <v/>
      </c>
      <c r="AT25" s="98">
        <f t="shared" si="298"/>
        <v>0</v>
      </c>
      <c r="AU25" s="93" t="str">
        <f t="shared" si="299"/>
        <v/>
      </c>
      <c r="AV25" s="94" t="str">
        <f t="shared" si="300"/>
        <v/>
      </c>
      <c r="AW25" s="95">
        <f t="shared" si="301"/>
        <v>0</v>
      </c>
      <c r="AX25" s="96" t="str">
        <f t="shared" si="302"/>
        <v/>
      </c>
      <c r="AY25" s="97" t="str">
        <f t="shared" si="303"/>
        <v/>
      </c>
      <c r="AZ25" s="98">
        <f t="shared" si="304"/>
        <v>0</v>
      </c>
      <c r="BA25" s="93" t="str">
        <f t="shared" si="305"/>
        <v/>
      </c>
      <c r="BB25" s="94" t="str">
        <f t="shared" si="306"/>
        <v/>
      </c>
      <c r="BC25" s="95">
        <f t="shared" si="307"/>
        <v>0</v>
      </c>
      <c r="BD25" s="96" t="str">
        <f t="shared" si="308"/>
        <v/>
      </c>
      <c r="BE25" s="97" t="str">
        <f t="shared" si="309"/>
        <v/>
      </c>
      <c r="BF25" s="98">
        <f t="shared" si="310"/>
        <v>0</v>
      </c>
      <c r="BG25" s="93" t="str">
        <f t="shared" si="311"/>
        <v/>
      </c>
      <c r="BH25" s="94" t="str">
        <f t="shared" si="312"/>
        <v/>
      </c>
      <c r="BI25" s="95">
        <f t="shared" si="313"/>
        <v>0</v>
      </c>
      <c r="BJ25" s="96" t="str">
        <f t="shared" si="314"/>
        <v/>
      </c>
      <c r="BK25" s="97" t="str">
        <f t="shared" si="315"/>
        <v/>
      </c>
      <c r="BL25" s="98">
        <f t="shared" si="316"/>
        <v>0</v>
      </c>
      <c r="BM25" s="93" t="str">
        <f t="shared" si="317"/>
        <v/>
      </c>
      <c r="BN25" s="94" t="str">
        <f t="shared" si="318"/>
        <v/>
      </c>
      <c r="BO25" s="95">
        <f t="shared" si="319"/>
        <v>0</v>
      </c>
      <c r="BP25" s="96" t="str">
        <f t="shared" si="320"/>
        <v/>
      </c>
      <c r="BQ25" s="97" t="str">
        <f t="shared" si="321"/>
        <v/>
      </c>
      <c r="BR25" s="98">
        <f t="shared" si="322"/>
        <v>0</v>
      </c>
      <c r="BS25" s="93" t="str">
        <f t="shared" si="323"/>
        <v/>
      </c>
      <c r="BT25" s="94" t="str">
        <f t="shared" si="324"/>
        <v/>
      </c>
      <c r="BU25" s="95">
        <f t="shared" si="325"/>
        <v>0</v>
      </c>
      <c r="BV25" s="96" t="str">
        <f t="shared" si="326"/>
        <v/>
      </c>
      <c r="BW25" s="97" t="str">
        <f t="shared" si="327"/>
        <v/>
      </c>
      <c r="BX25" s="98">
        <f t="shared" si="328"/>
        <v>0</v>
      </c>
      <c r="BY25" s="93" t="str">
        <f t="shared" si="329"/>
        <v/>
      </c>
      <c r="BZ25" s="94" t="str">
        <f t="shared" si="330"/>
        <v/>
      </c>
      <c r="CA25" s="95">
        <f t="shared" si="331"/>
        <v>0</v>
      </c>
      <c r="CB25" s="96" t="str">
        <f t="shared" si="332"/>
        <v/>
      </c>
      <c r="CC25" s="97" t="str">
        <f t="shared" si="333"/>
        <v/>
      </c>
      <c r="CD25" s="98">
        <f t="shared" si="334"/>
        <v>0</v>
      </c>
      <c r="CE25" s="93" t="str">
        <f t="shared" si="335"/>
        <v/>
      </c>
      <c r="CF25" s="94" t="str">
        <f t="shared" si="336"/>
        <v/>
      </c>
      <c r="CG25" s="95">
        <f t="shared" si="337"/>
        <v>0</v>
      </c>
      <c r="CH25" s="96" t="str">
        <f t="shared" si="338"/>
        <v/>
      </c>
      <c r="CI25" s="97" t="str">
        <f t="shared" si="339"/>
        <v/>
      </c>
      <c r="CJ25" s="98">
        <f t="shared" si="340"/>
        <v>0</v>
      </c>
      <c r="CK25" s="93" t="str">
        <f t="shared" si="341"/>
        <v/>
      </c>
      <c r="CL25" s="94" t="str">
        <f t="shared" si="342"/>
        <v/>
      </c>
      <c r="CM25" s="95">
        <f t="shared" si="343"/>
        <v>0</v>
      </c>
      <c r="CN25" s="96" t="str">
        <f t="shared" si="344"/>
        <v/>
      </c>
      <c r="CO25" s="97" t="str">
        <f t="shared" si="345"/>
        <v/>
      </c>
      <c r="CP25" s="98">
        <f t="shared" si="346"/>
        <v>0</v>
      </c>
      <c r="CQ25" s="93" t="str">
        <f t="shared" si="347"/>
        <v/>
      </c>
      <c r="CR25" s="94" t="str">
        <f t="shared" si="348"/>
        <v/>
      </c>
      <c r="CS25" s="95">
        <f t="shared" si="349"/>
        <v>0</v>
      </c>
      <c r="CT25" s="96" t="str">
        <f t="shared" si="350"/>
        <v/>
      </c>
      <c r="CU25" s="97" t="str">
        <f t="shared" si="351"/>
        <v/>
      </c>
      <c r="CV25" s="98">
        <f t="shared" si="352"/>
        <v>0</v>
      </c>
      <c r="CW25" s="93" t="str">
        <f t="shared" si="353"/>
        <v/>
      </c>
      <c r="CX25" s="94" t="str">
        <f t="shared" si="354"/>
        <v/>
      </c>
      <c r="CY25" s="95">
        <f t="shared" si="355"/>
        <v>0</v>
      </c>
      <c r="CZ25" s="96" t="str">
        <f t="shared" si="356"/>
        <v/>
      </c>
      <c r="DA25" s="97" t="str">
        <f t="shared" si="357"/>
        <v/>
      </c>
      <c r="DB25" s="98">
        <f t="shared" si="358"/>
        <v>0</v>
      </c>
      <c r="DC25" s="93" t="str">
        <f t="shared" si="359"/>
        <v/>
      </c>
      <c r="DD25" s="94" t="str">
        <f t="shared" si="360"/>
        <v/>
      </c>
      <c r="DE25" s="95">
        <f t="shared" si="361"/>
        <v>0</v>
      </c>
      <c r="DF25" s="96" t="str">
        <f t="shared" si="362"/>
        <v/>
      </c>
      <c r="DG25" s="97" t="str">
        <f t="shared" si="363"/>
        <v/>
      </c>
      <c r="DH25" s="98">
        <f t="shared" si="364"/>
        <v>0</v>
      </c>
      <c r="DI25" s="93" t="str">
        <f t="shared" si="365"/>
        <v/>
      </c>
      <c r="DJ25" s="94" t="str">
        <f t="shared" si="366"/>
        <v/>
      </c>
      <c r="DK25" s="95">
        <f t="shared" si="367"/>
        <v>0</v>
      </c>
      <c r="DL25" s="96" t="str">
        <f t="shared" si="368"/>
        <v/>
      </c>
      <c r="DM25" s="97" t="str">
        <f t="shared" si="369"/>
        <v/>
      </c>
      <c r="DN25" s="98">
        <f t="shared" si="370"/>
        <v>0</v>
      </c>
      <c r="DO25" s="93" t="str">
        <f t="shared" si="371"/>
        <v/>
      </c>
      <c r="DP25" s="94" t="str">
        <f t="shared" si="372"/>
        <v/>
      </c>
      <c r="DQ25" s="95">
        <f t="shared" si="373"/>
        <v>0</v>
      </c>
      <c r="DR25" s="96" t="str">
        <f t="shared" si="374"/>
        <v/>
      </c>
      <c r="DS25" s="97" t="str">
        <f t="shared" si="375"/>
        <v/>
      </c>
      <c r="DT25" s="98">
        <f t="shared" si="376"/>
        <v>0</v>
      </c>
      <c r="DU25" s="93" t="str">
        <f t="shared" si="377"/>
        <v/>
      </c>
      <c r="DV25" s="94" t="str">
        <f t="shared" si="378"/>
        <v/>
      </c>
      <c r="DW25" s="95">
        <f t="shared" si="379"/>
        <v>0</v>
      </c>
      <c r="DX25" s="96" t="str">
        <f t="shared" si="380"/>
        <v/>
      </c>
      <c r="DY25" s="97" t="str">
        <f t="shared" si="381"/>
        <v/>
      </c>
      <c r="DZ25" s="98">
        <f t="shared" si="382"/>
        <v>0</v>
      </c>
      <c r="EA25" s="93" t="str">
        <f t="shared" si="383"/>
        <v/>
      </c>
      <c r="EB25" s="94" t="str">
        <f t="shared" si="384"/>
        <v/>
      </c>
      <c r="EC25" s="95">
        <f t="shared" si="385"/>
        <v>0</v>
      </c>
      <c r="ED25" s="96" t="str">
        <f t="shared" si="386"/>
        <v/>
      </c>
      <c r="EE25" s="97" t="str">
        <f t="shared" si="387"/>
        <v/>
      </c>
      <c r="EF25" s="98">
        <f t="shared" si="388"/>
        <v>0</v>
      </c>
      <c r="EG25" s="93" t="str">
        <f t="shared" si="389"/>
        <v/>
      </c>
      <c r="EH25" s="94" t="str">
        <f t="shared" si="390"/>
        <v/>
      </c>
      <c r="EI25" s="95">
        <f t="shared" si="391"/>
        <v>0</v>
      </c>
      <c r="EJ25" s="96" t="str">
        <f t="shared" si="392"/>
        <v/>
      </c>
      <c r="EK25" s="97" t="str">
        <f t="shared" si="393"/>
        <v/>
      </c>
      <c r="EL25" s="98">
        <f t="shared" si="394"/>
        <v>0</v>
      </c>
      <c r="EM25" s="93" t="str">
        <f t="shared" si="395"/>
        <v/>
      </c>
      <c r="EN25" s="94" t="str">
        <f t="shared" si="396"/>
        <v/>
      </c>
      <c r="EO25" s="95">
        <f t="shared" si="397"/>
        <v>0</v>
      </c>
      <c r="EP25" s="96" t="str">
        <f t="shared" si="398"/>
        <v/>
      </c>
      <c r="EQ25" s="97" t="str">
        <f t="shared" si="399"/>
        <v/>
      </c>
      <c r="ER25" s="98">
        <f t="shared" si="400"/>
        <v>0</v>
      </c>
      <c r="ES25" s="93" t="str">
        <f t="shared" si="401"/>
        <v/>
      </c>
      <c r="ET25" s="94" t="str">
        <f t="shared" si="402"/>
        <v/>
      </c>
      <c r="EU25" s="95">
        <f t="shared" si="403"/>
        <v>0</v>
      </c>
      <c r="EV25" s="96" t="str">
        <f t="shared" si="404"/>
        <v/>
      </c>
      <c r="EW25" s="97" t="str">
        <f t="shared" si="405"/>
        <v/>
      </c>
      <c r="EX25" s="98">
        <f t="shared" si="406"/>
        <v>0</v>
      </c>
      <c r="EY25" s="93" t="str">
        <f t="shared" si="407"/>
        <v/>
      </c>
      <c r="EZ25" s="94" t="str">
        <f t="shared" si="408"/>
        <v/>
      </c>
      <c r="FA25" s="95">
        <f t="shared" si="409"/>
        <v>0</v>
      </c>
      <c r="FB25" s="96" t="str">
        <f t="shared" si="410"/>
        <v/>
      </c>
      <c r="FC25" s="97" t="str">
        <f t="shared" si="411"/>
        <v/>
      </c>
      <c r="FD25" s="98">
        <f t="shared" si="412"/>
        <v>0</v>
      </c>
      <c r="FE25" s="93" t="str">
        <f t="shared" si="413"/>
        <v/>
      </c>
      <c r="FF25" s="94" t="str">
        <f t="shared" si="414"/>
        <v/>
      </c>
      <c r="FG25" s="95">
        <f t="shared" si="415"/>
        <v>0</v>
      </c>
      <c r="FH25" s="96" t="str">
        <f t="shared" si="416"/>
        <v/>
      </c>
      <c r="FI25" s="97" t="str">
        <f t="shared" si="417"/>
        <v/>
      </c>
      <c r="FJ25" s="98">
        <f t="shared" si="418"/>
        <v>0</v>
      </c>
    </row>
    <row r="26" ht="15.75" customHeight="1">
      <c r="A26" s="6" t="str">
        <f>Menus!B18</f>
        <v/>
      </c>
      <c r="B26" s="16">
        <f t="shared" si="256"/>
        <v>0</v>
      </c>
      <c r="C26" s="16">
        <f t="shared" si="257"/>
        <v>0</v>
      </c>
      <c r="D26" s="16">
        <f t="shared" si="254"/>
        <v>0</v>
      </c>
      <c r="E26" s="87" t="str">
        <f t="shared" si="258"/>
        <v/>
      </c>
      <c r="F26" s="88" t="str">
        <f t="shared" si="259"/>
        <v/>
      </c>
      <c r="G26" s="89">
        <f t="shared" si="255"/>
        <v>0</v>
      </c>
      <c r="H26" s="90" t="str">
        <f t="shared" si="260"/>
        <v/>
      </c>
      <c r="I26" s="91" t="str">
        <f t="shared" si="261"/>
        <v/>
      </c>
      <c r="J26" s="92">
        <f t="shared" si="262"/>
        <v>0</v>
      </c>
      <c r="K26" s="93" t="str">
        <f t="shared" si="263"/>
        <v/>
      </c>
      <c r="L26" s="94" t="str">
        <f t="shared" si="264"/>
        <v/>
      </c>
      <c r="M26" s="95">
        <f t="shared" si="265"/>
        <v>0</v>
      </c>
      <c r="N26" s="96" t="str">
        <f t="shared" si="266"/>
        <v/>
      </c>
      <c r="O26" s="97" t="str">
        <f t="shared" si="267"/>
        <v/>
      </c>
      <c r="P26" s="98">
        <f t="shared" si="268"/>
        <v>0</v>
      </c>
      <c r="Q26" s="93" t="str">
        <f t="shared" si="269"/>
        <v/>
      </c>
      <c r="R26" s="94" t="str">
        <f t="shared" si="270"/>
        <v/>
      </c>
      <c r="S26" s="95">
        <f t="shared" si="271"/>
        <v>0</v>
      </c>
      <c r="T26" s="96" t="str">
        <f t="shared" si="272"/>
        <v/>
      </c>
      <c r="U26" s="97" t="str">
        <f t="shared" si="273"/>
        <v/>
      </c>
      <c r="V26" s="98">
        <f t="shared" si="274"/>
        <v>0</v>
      </c>
      <c r="W26" s="93" t="str">
        <f t="shared" si="275"/>
        <v/>
      </c>
      <c r="X26" s="94" t="str">
        <f t="shared" si="276"/>
        <v/>
      </c>
      <c r="Y26" s="95">
        <f t="shared" si="277"/>
        <v>0</v>
      </c>
      <c r="Z26" s="96" t="str">
        <f t="shared" si="278"/>
        <v/>
      </c>
      <c r="AA26" s="97" t="str">
        <f t="shared" si="279"/>
        <v/>
      </c>
      <c r="AB26" s="98">
        <f t="shared" si="280"/>
        <v>0</v>
      </c>
      <c r="AC26" s="93" t="str">
        <f t="shared" si="281"/>
        <v/>
      </c>
      <c r="AD26" s="94" t="str">
        <f t="shared" si="282"/>
        <v/>
      </c>
      <c r="AE26" s="95">
        <f t="shared" si="283"/>
        <v>0</v>
      </c>
      <c r="AF26" s="96" t="str">
        <f t="shared" si="284"/>
        <v/>
      </c>
      <c r="AG26" s="97" t="str">
        <f t="shared" si="285"/>
        <v/>
      </c>
      <c r="AH26" s="98">
        <f t="shared" si="286"/>
        <v>0</v>
      </c>
      <c r="AI26" s="93" t="str">
        <f t="shared" si="287"/>
        <v/>
      </c>
      <c r="AJ26" s="94" t="str">
        <f t="shared" si="288"/>
        <v/>
      </c>
      <c r="AK26" s="95">
        <f t="shared" si="289"/>
        <v>0</v>
      </c>
      <c r="AL26" s="96" t="str">
        <f t="shared" si="290"/>
        <v/>
      </c>
      <c r="AM26" s="97" t="str">
        <f t="shared" si="291"/>
        <v/>
      </c>
      <c r="AN26" s="98">
        <f t="shared" si="292"/>
        <v>0</v>
      </c>
      <c r="AO26" s="93" t="str">
        <f t="shared" si="293"/>
        <v/>
      </c>
      <c r="AP26" s="94" t="str">
        <f t="shared" si="294"/>
        <v/>
      </c>
      <c r="AQ26" s="95">
        <f t="shared" si="295"/>
        <v>0</v>
      </c>
      <c r="AR26" s="96" t="str">
        <f t="shared" si="296"/>
        <v/>
      </c>
      <c r="AS26" s="97" t="str">
        <f t="shared" si="297"/>
        <v/>
      </c>
      <c r="AT26" s="98">
        <f t="shared" si="298"/>
        <v>0</v>
      </c>
      <c r="AU26" s="93" t="str">
        <f t="shared" si="299"/>
        <v/>
      </c>
      <c r="AV26" s="94" t="str">
        <f t="shared" si="300"/>
        <v/>
      </c>
      <c r="AW26" s="95">
        <f t="shared" si="301"/>
        <v>0</v>
      </c>
      <c r="AX26" s="96" t="str">
        <f t="shared" si="302"/>
        <v/>
      </c>
      <c r="AY26" s="97" t="str">
        <f t="shared" si="303"/>
        <v/>
      </c>
      <c r="AZ26" s="98">
        <f t="shared" si="304"/>
        <v>0</v>
      </c>
      <c r="BA26" s="93" t="str">
        <f t="shared" si="305"/>
        <v/>
      </c>
      <c r="BB26" s="94" t="str">
        <f t="shared" si="306"/>
        <v/>
      </c>
      <c r="BC26" s="95">
        <f t="shared" si="307"/>
        <v>0</v>
      </c>
      <c r="BD26" s="96" t="str">
        <f t="shared" si="308"/>
        <v/>
      </c>
      <c r="BE26" s="97" t="str">
        <f t="shared" si="309"/>
        <v/>
      </c>
      <c r="BF26" s="98">
        <f t="shared" si="310"/>
        <v>0</v>
      </c>
      <c r="BG26" s="93" t="str">
        <f t="shared" si="311"/>
        <v/>
      </c>
      <c r="BH26" s="94" t="str">
        <f t="shared" si="312"/>
        <v/>
      </c>
      <c r="BI26" s="95">
        <f t="shared" si="313"/>
        <v>0</v>
      </c>
      <c r="BJ26" s="96" t="str">
        <f t="shared" si="314"/>
        <v/>
      </c>
      <c r="BK26" s="97" t="str">
        <f t="shared" si="315"/>
        <v/>
      </c>
      <c r="BL26" s="98">
        <f t="shared" si="316"/>
        <v>0</v>
      </c>
      <c r="BM26" s="93" t="str">
        <f t="shared" si="317"/>
        <v/>
      </c>
      <c r="BN26" s="94" t="str">
        <f t="shared" si="318"/>
        <v/>
      </c>
      <c r="BO26" s="95">
        <f t="shared" si="319"/>
        <v>0</v>
      </c>
      <c r="BP26" s="96" t="str">
        <f t="shared" si="320"/>
        <v/>
      </c>
      <c r="BQ26" s="97" t="str">
        <f t="shared" si="321"/>
        <v/>
      </c>
      <c r="BR26" s="98">
        <f t="shared" si="322"/>
        <v>0</v>
      </c>
      <c r="BS26" s="93" t="str">
        <f t="shared" si="323"/>
        <v/>
      </c>
      <c r="BT26" s="94" t="str">
        <f t="shared" si="324"/>
        <v/>
      </c>
      <c r="BU26" s="95">
        <f t="shared" si="325"/>
        <v>0</v>
      </c>
      <c r="BV26" s="96" t="str">
        <f t="shared" si="326"/>
        <v/>
      </c>
      <c r="BW26" s="97" t="str">
        <f t="shared" si="327"/>
        <v/>
      </c>
      <c r="BX26" s="98">
        <f t="shared" si="328"/>
        <v>0</v>
      </c>
      <c r="BY26" s="93" t="str">
        <f t="shared" si="329"/>
        <v/>
      </c>
      <c r="BZ26" s="94" t="str">
        <f t="shared" si="330"/>
        <v/>
      </c>
      <c r="CA26" s="95">
        <f t="shared" si="331"/>
        <v>0</v>
      </c>
      <c r="CB26" s="96" t="str">
        <f t="shared" si="332"/>
        <v/>
      </c>
      <c r="CC26" s="97" t="str">
        <f t="shared" si="333"/>
        <v/>
      </c>
      <c r="CD26" s="98">
        <f t="shared" si="334"/>
        <v>0</v>
      </c>
      <c r="CE26" s="93" t="str">
        <f t="shared" si="335"/>
        <v/>
      </c>
      <c r="CF26" s="94" t="str">
        <f t="shared" si="336"/>
        <v/>
      </c>
      <c r="CG26" s="95">
        <f t="shared" si="337"/>
        <v>0</v>
      </c>
      <c r="CH26" s="96" t="str">
        <f t="shared" si="338"/>
        <v/>
      </c>
      <c r="CI26" s="97" t="str">
        <f t="shared" si="339"/>
        <v/>
      </c>
      <c r="CJ26" s="98">
        <f t="shared" si="340"/>
        <v>0</v>
      </c>
      <c r="CK26" s="93" t="str">
        <f t="shared" si="341"/>
        <v/>
      </c>
      <c r="CL26" s="94" t="str">
        <f t="shared" si="342"/>
        <v/>
      </c>
      <c r="CM26" s="95">
        <f t="shared" si="343"/>
        <v>0</v>
      </c>
      <c r="CN26" s="96" t="str">
        <f t="shared" si="344"/>
        <v/>
      </c>
      <c r="CO26" s="97" t="str">
        <f t="shared" si="345"/>
        <v/>
      </c>
      <c r="CP26" s="98">
        <f t="shared" si="346"/>
        <v>0</v>
      </c>
      <c r="CQ26" s="93" t="str">
        <f t="shared" si="347"/>
        <v/>
      </c>
      <c r="CR26" s="94" t="str">
        <f t="shared" si="348"/>
        <v/>
      </c>
      <c r="CS26" s="95">
        <f t="shared" si="349"/>
        <v>0</v>
      </c>
      <c r="CT26" s="96" t="str">
        <f t="shared" si="350"/>
        <v/>
      </c>
      <c r="CU26" s="97" t="str">
        <f t="shared" si="351"/>
        <v/>
      </c>
      <c r="CV26" s="98">
        <f t="shared" si="352"/>
        <v>0</v>
      </c>
      <c r="CW26" s="93" t="str">
        <f t="shared" si="353"/>
        <v/>
      </c>
      <c r="CX26" s="94" t="str">
        <f t="shared" si="354"/>
        <v/>
      </c>
      <c r="CY26" s="95">
        <f t="shared" si="355"/>
        <v>0</v>
      </c>
      <c r="CZ26" s="96" t="str">
        <f t="shared" si="356"/>
        <v/>
      </c>
      <c r="DA26" s="97" t="str">
        <f t="shared" si="357"/>
        <v/>
      </c>
      <c r="DB26" s="98">
        <f t="shared" si="358"/>
        <v>0</v>
      </c>
      <c r="DC26" s="93" t="str">
        <f t="shared" si="359"/>
        <v/>
      </c>
      <c r="DD26" s="94" t="str">
        <f t="shared" si="360"/>
        <v/>
      </c>
      <c r="DE26" s="95">
        <f t="shared" si="361"/>
        <v>0</v>
      </c>
      <c r="DF26" s="96" t="str">
        <f t="shared" si="362"/>
        <v/>
      </c>
      <c r="DG26" s="97" t="str">
        <f t="shared" si="363"/>
        <v/>
      </c>
      <c r="DH26" s="98">
        <f t="shared" si="364"/>
        <v>0</v>
      </c>
      <c r="DI26" s="93" t="str">
        <f t="shared" si="365"/>
        <v/>
      </c>
      <c r="DJ26" s="94" t="str">
        <f t="shared" si="366"/>
        <v/>
      </c>
      <c r="DK26" s="95">
        <f t="shared" si="367"/>
        <v>0</v>
      </c>
      <c r="DL26" s="96" t="str">
        <f t="shared" si="368"/>
        <v/>
      </c>
      <c r="DM26" s="97" t="str">
        <f t="shared" si="369"/>
        <v/>
      </c>
      <c r="DN26" s="98">
        <f t="shared" si="370"/>
        <v>0</v>
      </c>
      <c r="DO26" s="93" t="str">
        <f t="shared" si="371"/>
        <v/>
      </c>
      <c r="DP26" s="94" t="str">
        <f t="shared" si="372"/>
        <v/>
      </c>
      <c r="DQ26" s="95">
        <f t="shared" si="373"/>
        <v>0</v>
      </c>
      <c r="DR26" s="96" t="str">
        <f t="shared" si="374"/>
        <v/>
      </c>
      <c r="DS26" s="97" t="str">
        <f t="shared" si="375"/>
        <v/>
      </c>
      <c r="DT26" s="98">
        <f t="shared" si="376"/>
        <v>0</v>
      </c>
      <c r="DU26" s="93" t="str">
        <f t="shared" si="377"/>
        <v/>
      </c>
      <c r="DV26" s="94" t="str">
        <f t="shared" si="378"/>
        <v/>
      </c>
      <c r="DW26" s="95">
        <f t="shared" si="379"/>
        <v>0</v>
      </c>
      <c r="DX26" s="96" t="str">
        <f t="shared" si="380"/>
        <v/>
      </c>
      <c r="DY26" s="97" t="str">
        <f t="shared" si="381"/>
        <v/>
      </c>
      <c r="DZ26" s="98">
        <f t="shared" si="382"/>
        <v>0</v>
      </c>
      <c r="EA26" s="93" t="str">
        <f t="shared" si="383"/>
        <v/>
      </c>
      <c r="EB26" s="94" t="str">
        <f t="shared" si="384"/>
        <v/>
      </c>
      <c r="EC26" s="95">
        <f t="shared" si="385"/>
        <v>0</v>
      </c>
      <c r="ED26" s="96" t="str">
        <f t="shared" si="386"/>
        <v/>
      </c>
      <c r="EE26" s="97" t="str">
        <f t="shared" si="387"/>
        <v/>
      </c>
      <c r="EF26" s="98">
        <f t="shared" si="388"/>
        <v>0</v>
      </c>
      <c r="EG26" s="93" t="str">
        <f t="shared" si="389"/>
        <v/>
      </c>
      <c r="EH26" s="94" t="str">
        <f t="shared" si="390"/>
        <v/>
      </c>
      <c r="EI26" s="95">
        <f t="shared" si="391"/>
        <v>0</v>
      </c>
      <c r="EJ26" s="96" t="str">
        <f t="shared" si="392"/>
        <v/>
      </c>
      <c r="EK26" s="97" t="str">
        <f t="shared" si="393"/>
        <v/>
      </c>
      <c r="EL26" s="98">
        <f t="shared" si="394"/>
        <v>0</v>
      </c>
      <c r="EM26" s="93" t="str">
        <f t="shared" si="395"/>
        <v/>
      </c>
      <c r="EN26" s="94" t="str">
        <f t="shared" si="396"/>
        <v/>
      </c>
      <c r="EO26" s="95">
        <f t="shared" si="397"/>
        <v>0</v>
      </c>
      <c r="EP26" s="96" t="str">
        <f t="shared" si="398"/>
        <v/>
      </c>
      <c r="EQ26" s="97" t="str">
        <f t="shared" si="399"/>
        <v/>
      </c>
      <c r="ER26" s="98">
        <f t="shared" si="400"/>
        <v>0</v>
      </c>
      <c r="ES26" s="93" t="str">
        <f t="shared" si="401"/>
        <v/>
      </c>
      <c r="ET26" s="94" t="str">
        <f t="shared" si="402"/>
        <v/>
      </c>
      <c r="EU26" s="95">
        <f t="shared" si="403"/>
        <v>0</v>
      </c>
      <c r="EV26" s="96" t="str">
        <f t="shared" si="404"/>
        <v/>
      </c>
      <c r="EW26" s="97" t="str">
        <f t="shared" si="405"/>
        <v/>
      </c>
      <c r="EX26" s="98">
        <f t="shared" si="406"/>
        <v>0</v>
      </c>
      <c r="EY26" s="93" t="str">
        <f t="shared" si="407"/>
        <v/>
      </c>
      <c r="EZ26" s="94" t="str">
        <f t="shared" si="408"/>
        <v/>
      </c>
      <c r="FA26" s="95">
        <f t="shared" si="409"/>
        <v>0</v>
      </c>
      <c r="FB26" s="96" t="str">
        <f t="shared" si="410"/>
        <v/>
      </c>
      <c r="FC26" s="97" t="str">
        <f t="shared" si="411"/>
        <v/>
      </c>
      <c r="FD26" s="98">
        <f t="shared" si="412"/>
        <v>0</v>
      </c>
      <c r="FE26" s="93" t="str">
        <f t="shared" si="413"/>
        <v/>
      </c>
      <c r="FF26" s="94" t="str">
        <f t="shared" si="414"/>
        <v/>
      </c>
      <c r="FG26" s="95">
        <f t="shared" si="415"/>
        <v>0</v>
      </c>
      <c r="FH26" s="96" t="str">
        <f t="shared" si="416"/>
        <v/>
      </c>
      <c r="FI26" s="97" t="str">
        <f t="shared" si="417"/>
        <v/>
      </c>
      <c r="FJ26" s="98">
        <f t="shared" si="418"/>
        <v>0</v>
      </c>
    </row>
    <row r="27" ht="15.75" customHeight="1">
      <c r="A27" s="6" t="str">
        <f>Menus!B19</f>
        <v/>
      </c>
      <c r="B27" s="16">
        <f t="shared" si="256"/>
        <v>0</v>
      </c>
      <c r="C27" s="16">
        <f t="shared" si="257"/>
        <v>0</v>
      </c>
      <c r="D27" s="16">
        <f t="shared" si="254"/>
        <v>0</v>
      </c>
      <c r="E27" s="87" t="str">
        <f t="shared" si="258"/>
        <v/>
      </c>
      <c r="F27" s="88" t="str">
        <f t="shared" si="259"/>
        <v/>
      </c>
      <c r="G27" s="89">
        <f t="shared" si="255"/>
        <v>0</v>
      </c>
      <c r="H27" s="90" t="str">
        <f t="shared" si="260"/>
        <v/>
      </c>
      <c r="I27" s="91" t="str">
        <f t="shared" si="261"/>
        <v/>
      </c>
      <c r="J27" s="92">
        <f t="shared" si="262"/>
        <v>0</v>
      </c>
      <c r="K27" s="93" t="str">
        <f t="shared" si="263"/>
        <v/>
      </c>
      <c r="L27" s="94" t="str">
        <f t="shared" si="264"/>
        <v/>
      </c>
      <c r="M27" s="95">
        <f t="shared" si="265"/>
        <v>0</v>
      </c>
      <c r="N27" s="96" t="str">
        <f t="shared" si="266"/>
        <v/>
      </c>
      <c r="O27" s="97" t="str">
        <f t="shared" si="267"/>
        <v/>
      </c>
      <c r="P27" s="98">
        <f t="shared" si="268"/>
        <v>0</v>
      </c>
      <c r="Q27" s="93" t="str">
        <f t="shared" si="269"/>
        <v/>
      </c>
      <c r="R27" s="94" t="str">
        <f t="shared" si="270"/>
        <v/>
      </c>
      <c r="S27" s="95">
        <f t="shared" si="271"/>
        <v>0</v>
      </c>
      <c r="T27" s="96" t="str">
        <f t="shared" si="272"/>
        <v/>
      </c>
      <c r="U27" s="97" t="str">
        <f t="shared" si="273"/>
        <v/>
      </c>
      <c r="V27" s="98">
        <f t="shared" si="274"/>
        <v>0</v>
      </c>
      <c r="W27" s="93" t="str">
        <f t="shared" si="275"/>
        <v/>
      </c>
      <c r="X27" s="94" t="str">
        <f t="shared" si="276"/>
        <v/>
      </c>
      <c r="Y27" s="95">
        <f t="shared" si="277"/>
        <v>0</v>
      </c>
      <c r="Z27" s="96" t="str">
        <f t="shared" si="278"/>
        <v/>
      </c>
      <c r="AA27" s="97" t="str">
        <f t="shared" si="279"/>
        <v/>
      </c>
      <c r="AB27" s="98">
        <f t="shared" si="280"/>
        <v>0</v>
      </c>
      <c r="AC27" s="93" t="str">
        <f t="shared" si="281"/>
        <v/>
      </c>
      <c r="AD27" s="94" t="str">
        <f t="shared" si="282"/>
        <v/>
      </c>
      <c r="AE27" s="95">
        <f t="shared" si="283"/>
        <v>0</v>
      </c>
      <c r="AF27" s="96" t="str">
        <f t="shared" si="284"/>
        <v/>
      </c>
      <c r="AG27" s="97" t="str">
        <f t="shared" si="285"/>
        <v/>
      </c>
      <c r="AH27" s="98">
        <f t="shared" si="286"/>
        <v>0</v>
      </c>
      <c r="AI27" s="93" t="str">
        <f t="shared" si="287"/>
        <v/>
      </c>
      <c r="AJ27" s="94" t="str">
        <f t="shared" si="288"/>
        <v/>
      </c>
      <c r="AK27" s="95">
        <f t="shared" si="289"/>
        <v>0</v>
      </c>
      <c r="AL27" s="96" t="str">
        <f t="shared" si="290"/>
        <v/>
      </c>
      <c r="AM27" s="97" t="str">
        <f t="shared" si="291"/>
        <v/>
      </c>
      <c r="AN27" s="98">
        <f t="shared" si="292"/>
        <v>0</v>
      </c>
      <c r="AO27" s="93" t="str">
        <f t="shared" si="293"/>
        <v/>
      </c>
      <c r="AP27" s="94" t="str">
        <f t="shared" si="294"/>
        <v/>
      </c>
      <c r="AQ27" s="95">
        <f t="shared" si="295"/>
        <v>0</v>
      </c>
      <c r="AR27" s="96" t="str">
        <f t="shared" si="296"/>
        <v/>
      </c>
      <c r="AS27" s="97" t="str">
        <f t="shared" si="297"/>
        <v/>
      </c>
      <c r="AT27" s="98">
        <f t="shared" si="298"/>
        <v>0</v>
      </c>
      <c r="AU27" s="93" t="str">
        <f t="shared" si="299"/>
        <v/>
      </c>
      <c r="AV27" s="94" t="str">
        <f t="shared" si="300"/>
        <v/>
      </c>
      <c r="AW27" s="95">
        <f t="shared" si="301"/>
        <v>0</v>
      </c>
      <c r="AX27" s="96" t="str">
        <f t="shared" si="302"/>
        <v/>
      </c>
      <c r="AY27" s="97" t="str">
        <f t="shared" si="303"/>
        <v/>
      </c>
      <c r="AZ27" s="98">
        <f t="shared" si="304"/>
        <v>0</v>
      </c>
      <c r="BA27" s="93" t="str">
        <f t="shared" si="305"/>
        <v/>
      </c>
      <c r="BB27" s="94" t="str">
        <f t="shared" si="306"/>
        <v/>
      </c>
      <c r="BC27" s="95">
        <f t="shared" si="307"/>
        <v>0</v>
      </c>
      <c r="BD27" s="96" t="str">
        <f t="shared" si="308"/>
        <v/>
      </c>
      <c r="BE27" s="97" t="str">
        <f t="shared" si="309"/>
        <v/>
      </c>
      <c r="BF27" s="98">
        <f t="shared" si="310"/>
        <v>0</v>
      </c>
      <c r="BG27" s="93" t="str">
        <f t="shared" si="311"/>
        <v/>
      </c>
      <c r="BH27" s="94" t="str">
        <f t="shared" si="312"/>
        <v/>
      </c>
      <c r="BI27" s="95">
        <f t="shared" si="313"/>
        <v>0</v>
      </c>
      <c r="BJ27" s="96" t="str">
        <f t="shared" si="314"/>
        <v/>
      </c>
      <c r="BK27" s="97" t="str">
        <f t="shared" si="315"/>
        <v/>
      </c>
      <c r="BL27" s="98">
        <f t="shared" si="316"/>
        <v>0</v>
      </c>
      <c r="BM27" s="93" t="str">
        <f t="shared" si="317"/>
        <v/>
      </c>
      <c r="BN27" s="94" t="str">
        <f t="shared" si="318"/>
        <v/>
      </c>
      <c r="BO27" s="95">
        <f t="shared" si="319"/>
        <v>0</v>
      </c>
      <c r="BP27" s="96" t="str">
        <f t="shared" si="320"/>
        <v/>
      </c>
      <c r="BQ27" s="97" t="str">
        <f t="shared" si="321"/>
        <v/>
      </c>
      <c r="BR27" s="98">
        <f t="shared" si="322"/>
        <v>0</v>
      </c>
      <c r="BS27" s="93" t="str">
        <f t="shared" si="323"/>
        <v/>
      </c>
      <c r="BT27" s="94" t="str">
        <f t="shared" si="324"/>
        <v/>
      </c>
      <c r="BU27" s="95">
        <f t="shared" si="325"/>
        <v>0</v>
      </c>
      <c r="BV27" s="96" t="str">
        <f t="shared" si="326"/>
        <v/>
      </c>
      <c r="BW27" s="97" t="str">
        <f t="shared" si="327"/>
        <v/>
      </c>
      <c r="BX27" s="98">
        <f t="shared" si="328"/>
        <v>0</v>
      </c>
      <c r="BY27" s="93" t="str">
        <f t="shared" si="329"/>
        <v/>
      </c>
      <c r="BZ27" s="94" t="str">
        <f t="shared" si="330"/>
        <v/>
      </c>
      <c r="CA27" s="95">
        <f t="shared" si="331"/>
        <v>0</v>
      </c>
      <c r="CB27" s="96" t="str">
        <f t="shared" si="332"/>
        <v/>
      </c>
      <c r="CC27" s="97" t="str">
        <f t="shared" si="333"/>
        <v/>
      </c>
      <c r="CD27" s="98">
        <f t="shared" si="334"/>
        <v>0</v>
      </c>
      <c r="CE27" s="93" t="str">
        <f t="shared" si="335"/>
        <v/>
      </c>
      <c r="CF27" s="94" t="str">
        <f t="shared" si="336"/>
        <v/>
      </c>
      <c r="CG27" s="95">
        <f t="shared" si="337"/>
        <v>0</v>
      </c>
      <c r="CH27" s="96" t="str">
        <f t="shared" si="338"/>
        <v/>
      </c>
      <c r="CI27" s="97" t="str">
        <f t="shared" si="339"/>
        <v/>
      </c>
      <c r="CJ27" s="98">
        <f t="shared" si="340"/>
        <v>0</v>
      </c>
      <c r="CK27" s="93" t="str">
        <f t="shared" si="341"/>
        <v/>
      </c>
      <c r="CL27" s="94" t="str">
        <f t="shared" si="342"/>
        <v/>
      </c>
      <c r="CM27" s="95">
        <f t="shared" si="343"/>
        <v>0</v>
      </c>
      <c r="CN27" s="96" t="str">
        <f t="shared" si="344"/>
        <v/>
      </c>
      <c r="CO27" s="97" t="str">
        <f t="shared" si="345"/>
        <v/>
      </c>
      <c r="CP27" s="98">
        <f t="shared" si="346"/>
        <v>0</v>
      </c>
      <c r="CQ27" s="93" t="str">
        <f t="shared" si="347"/>
        <v/>
      </c>
      <c r="CR27" s="94" t="str">
        <f t="shared" si="348"/>
        <v/>
      </c>
      <c r="CS27" s="95">
        <f t="shared" si="349"/>
        <v>0</v>
      </c>
      <c r="CT27" s="96" t="str">
        <f t="shared" si="350"/>
        <v/>
      </c>
      <c r="CU27" s="97" t="str">
        <f t="shared" si="351"/>
        <v/>
      </c>
      <c r="CV27" s="98">
        <f t="shared" si="352"/>
        <v>0</v>
      </c>
      <c r="CW27" s="93" t="str">
        <f t="shared" si="353"/>
        <v/>
      </c>
      <c r="CX27" s="94" t="str">
        <f t="shared" si="354"/>
        <v/>
      </c>
      <c r="CY27" s="95">
        <f t="shared" si="355"/>
        <v>0</v>
      </c>
      <c r="CZ27" s="96" t="str">
        <f t="shared" si="356"/>
        <v/>
      </c>
      <c r="DA27" s="97" t="str">
        <f t="shared" si="357"/>
        <v/>
      </c>
      <c r="DB27" s="98">
        <f t="shared" si="358"/>
        <v>0</v>
      </c>
      <c r="DC27" s="93" t="str">
        <f t="shared" si="359"/>
        <v/>
      </c>
      <c r="DD27" s="94" t="str">
        <f t="shared" si="360"/>
        <v/>
      </c>
      <c r="DE27" s="95">
        <f t="shared" si="361"/>
        <v>0</v>
      </c>
      <c r="DF27" s="96" t="str">
        <f t="shared" si="362"/>
        <v/>
      </c>
      <c r="DG27" s="97" t="str">
        <f t="shared" si="363"/>
        <v/>
      </c>
      <c r="DH27" s="98">
        <f t="shared" si="364"/>
        <v>0</v>
      </c>
      <c r="DI27" s="93" t="str">
        <f t="shared" si="365"/>
        <v/>
      </c>
      <c r="DJ27" s="94" t="str">
        <f t="shared" si="366"/>
        <v/>
      </c>
      <c r="DK27" s="95">
        <f t="shared" si="367"/>
        <v>0</v>
      </c>
      <c r="DL27" s="96" t="str">
        <f t="shared" si="368"/>
        <v/>
      </c>
      <c r="DM27" s="97" t="str">
        <f t="shared" si="369"/>
        <v/>
      </c>
      <c r="DN27" s="98">
        <f t="shared" si="370"/>
        <v>0</v>
      </c>
      <c r="DO27" s="93" t="str">
        <f t="shared" si="371"/>
        <v/>
      </c>
      <c r="DP27" s="94" t="str">
        <f t="shared" si="372"/>
        <v/>
      </c>
      <c r="DQ27" s="95">
        <f t="shared" si="373"/>
        <v>0</v>
      </c>
      <c r="DR27" s="96" t="str">
        <f t="shared" si="374"/>
        <v/>
      </c>
      <c r="DS27" s="97" t="str">
        <f t="shared" si="375"/>
        <v/>
      </c>
      <c r="DT27" s="98">
        <f t="shared" si="376"/>
        <v>0</v>
      </c>
      <c r="DU27" s="93" t="str">
        <f t="shared" si="377"/>
        <v/>
      </c>
      <c r="DV27" s="94" t="str">
        <f t="shared" si="378"/>
        <v/>
      </c>
      <c r="DW27" s="95">
        <f t="shared" si="379"/>
        <v>0</v>
      </c>
      <c r="DX27" s="96" t="str">
        <f t="shared" si="380"/>
        <v/>
      </c>
      <c r="DY27" s="97" t="str">
        <f t="shared" si="381"/>
        <v/>
      </c>
      <c r="DZ27" s="98">
        <f t="shared" si="382"/>
        <v>0</v>
      </c>
      <c r="EA27" s="93" t="str">
        <f t="shared" si="383"/>
        <v/>
      </c>
      <c r="EB27" s="94" t="str">
        <f t="shared" si="384"/>
        <v/>
      </c>
      <c r="EC27" s="95">
        <f t="shared" si="385"/>
        <v>0</v>
      </c>
      <c r="ED27" s="96" t="str">
        <f t="shared" si="386"/>
        <v/>
      </c>
      <c r="EE27" s="97" t="str">
        <f t="shared" si="387"/>
        <v/>
      </c>
      <c r="EF27" s="98">
        <f t="shared" si="388"/>
        <v>0</v>
      </c>
      <c r="EG27" s="93" t="str">
        <f t="shared" si="389"/>
        <v/>
      </c>
      <c r="EH27" s="94" t="str">
        <f t="shared" si="390"/>
        <v/>
      </c>
      <c r="EI27" s="95">
        <f t="shared" si="391"/>
        <v>0</v>
      </c>
      <c r="EJ27" s="96" t="str">
        <f t="shared" si="392"/>
        <v/>
      </c>
      <c r="EK27" s="97" t="str">
        <f t="shared" si="393"/>
        <v/>
      </c>
      <c r="EL27" s="98">
        <f t="shared" si="394"/>
        <v>0</v>
      </c>
      <c r="EM27" s="93" t="str">
        <f t="shared" si="395"/>
        <v/>
      </c>
      <c r="EN27" s="94" t="str">
        <f t="shared" si="396"/>
        <v/>
      </c>
      <c r="EO27" s="95">
        <f t="shared" si="397"/>
        <v>0</v>
      </c>
      <c r="EP27" s="96" t="str">
        <f t="shared" si="398"/>
        <v/>
      </c>
      <c r="EQ27" s="97" t="str">
        <f t="shared" si="399"/>
        <v/>
      </c>
      <c r="ER27" s="98">
        <f t="shared" si="400"/>
        <v>0</v>
      </c>
      <c r="ES27" s="93" t="str">
        <f t="shared" si="401"/>
        <v/>
      </c>
      <c r="ET27" s="94" t="str">
        <f t="shared" si="402"/>
        <v/>
      </c>
      <c r="EU27" s="95">
        <f t="shared" si="403"/>
        <v>0</v>
      </c>
      <c r="EV27" s="96" t="str">
        <f t="shared" si="404"/>
        <v/>
      </c>
      <c r="EW27" s="97" t="str">
        <f t="shared" si="405"/>
        <v/>
      </c>
      <c r="EX27" s="98">
        <f t="shared" si="406"/>
        <v>0</v>
      </c>
      <c r="EY27" s="93" t="str">
        <f t="shared" si="407"/>
        <v/>
      </c>
      <c r="EZ27" s="94" t="str">
        <f t="shared" si="408"/>
        <v/>
      </c>
      <c r="FA27" s="95">
        <f t="shared" si="409"/>
        <v>0</v>
      </c>
      <c r="FB27" s="96" t="str">
        <f t="shared" si="410"/>
        <v/>
      </c>
      <c r="FC27" s="97" t="str">
        <f t="shared" si="411"/>
        <v/>
      </c>
      <c r="FD27" s="98">
        <f t="shared" si="412"/>
        <v>0</v>
      </c>
      <c r="FE27" s="93" t="str">
        <f t="shared" si="413"/>
        <v/>
      </c>
      <c r="FF27" s="94" t="str">
        <f t="shared" si="414"/>
        <v/>
      </c>
      <c r="FG27" s="95">
        <f t="shared" si="415"/>
        <v>0</v>
      </c>
      <c r="FH27" s="96" t="str">
        <f t="shared" si="416"/>
        <v/>
      </c>
      <c r="FI27" s="97" t="str">
        <f t="shared" si="417"/>
        <v/>
      </c>
      <c r="FJ27" s="98">
        <f t="shared" si="418"/>
        <v>0</v>
      </c>
    </row>
    <row r="28" ht="15.75" customHeight="1">
      <c r="A28" s="6" t="str">
        <f>Menus!B20</f>
        <v/>
      </c>
      <c r="B28" s="16">
        <f t="shared" si="256"/>
        <v>0</v>
      </c>
      <c r="C28" s="16">
        <f t="shared" si="257"/>
        <v>0</v>
      </c>
      <c r="D28" s="16">
        <f t="shared" si="254"/>
        <v>0</v>
      </c>
      <c r="E28" s="87" t="str">
        <f t="shared" si="258"/>
        <v/>
      </c>
      <c r="F28" s="88" t="str">
        <f t="shared" si="259"/>
        <v/>
      </c>
      <c r="G28" s="89">
        <f t="shared" si="255"/>
        <v>0</v>
      </c>
      <c r="H28" s="90" t="str">
        <f t="shared" si="260"/>
        <v/>
      </c>
      <c r="I28" s="91" t="str">
        <f t="shared" si="261"/>
        <v/>
      </c>
      <c r="J28" s="92">
        <f t="shared" si="262"/>
        <v>0</v>
      </c>
      <c r="K28" s="93" t="str">
        <f t="shared" si="263"/>
        <v/>
      </c>
      <c r="L28" s="94" t="str">
        <f t="shared" si="264"/>
        <v/>
      </c>
      <c r="M28" s="95">
        <f t="shared" si="265"/>
        <v>0</v>
      </c>
      <c r="N28" s="96" t="str">
        <f t="shared" si="266"/>
        <v/>
      </c>
      <c r="O28" s="97" t="str">
        <f t="shared" si="267"/>
        <v/>
      </c>
      <c r="P28" s="98">
        <f t="shared" si="268"/>
        <v>0</v>
      </c>
      <c r="Q28" s="93" t="str">
        <f t="shared" si="269"/>
        <v/>
      </c>
      <c r="R28" s="94" t="str">
        <f t="shared" si="270"/>
        <v/>
      </c>
      <c r="S28" s="95">
        <f t="shared" si="271"/>
        <v>0</v>
      </c>
      <c r="T28" s="96" t="str">
        <f t="shared" si="272"/>
        <v/>
      </c>
      <c r="U28" s="97" t="str">
        <f t="shared" si="273"/>
        <v/>
      </c>
      <c r="V28" s="98">
        <f t="shared" si="274"/>
        <v>0</v>
      </c>
      <c r="W28" s="93" t="str">
        <f t="shared" si="275"/>
        <v/>
      </c>
      <c r="X28" s="94" t="str">
        <f t="shared" si="276"/>
        <v/>
      </c>
      <c r="Y28" s="95">
        <f t="shared" si="277"/>
        <v>0</v>
      </c>
      <c r="Z28" s="96" t="str">
        <f t="shared" si="278"/>
        <v/>
      </c>
      <c r="AA28" s="97" t="str">
        <f t="shared" si="279"/>
        <v/>
      </c>
      <c r="AB28" s="98">
        <f t="shared" si="280"/>
        <v>0</v>
      </c>
      <c r="AC28" s="93" t="str">
        <f t="shared" si="281"/>
        <v/>
      </c>
      <c r="AD28" s="94" t="str">
        <f t="shared" si="282"/>
        <v/>
      </c>
      <c r="AE28" s="95">
        <f t="shared" si="283"/>
        <v>0</v>
      </c>
      <c r="AF28" s="96" t="str">
        <f t="shared" si="284"/>
        <v/>
      </c>
      <c r="AG28" s="97" t="str">
        <f t="shared" si="285"/>
        <v/>
      </c>
      <c r="AH28" s="98">
        <f t="shared" si="286"/>
        <v>0</v>
      </c>
      <c r="AI28" s="93" t="str">
        <f t="shared" si="287"/>
        <v/>
      </c>
      <c r="AJ28" s="94" t="str">
        <f t="shared" si="288"/>
        <v/>
      </c>
      <c r="AK28" s="95">
        <f t="shared" si="289"/>
        <v>0</v>
      </c>
      <c r="AL28" s="96" t="str">
        <f t="shared" si="290"/>
        <v/>
      </c>
      <c r="AM28" s="97" t="str">
        <f t="shared" si="291"/>
        <v/>
      </c>
      <c r="AN28" s="98">
        <f t="shared" si="292"/>
        <v>0</v>
      </c>
      <c r="AO28" s="93" t="str">
        <f t="shared" si="293"/>
        <v/>
      </c>
      <c r="AP28" s="94" t="str">
        <f t="shared" si="294"/>
        <v/>
      </c>
      <c r="AQ28" s="95">
        <f t="shared" si="295"/>
        <v>0</v>
      </c>
      <c r="AR28" s="96" t="str">
        <f t="shared" si="296"/>
        <v/>
      </c>
      <c r="AS28" s="97" t="str">
        <f t="shared" si="297"/>
        <v/>
      </c>
      <c r="AT28" s="98">
        <f t="shared" si="298"/>
        <v>0</v>
      </c>
      <c r="AU28" s="93" t="str">
        <f t="shared" si="299"/>
        <v/>
      </c>
      <c r="AV28" s="94" t="str">
        <f t="shared" si="300"/>
        <v/>
      </c>
      <c r="AW28" s="95">
        <f t="shared" si="301"/>
        <v>0</v>
      </c>
      <c r="AX28" s="96" t="str">
        <f t="shared" si="302"/>
        <v/>
      </c>
      <c r="AY28" s="97" t="str">
        <f t="shared" si="303"/>
        <v/>
      </c>
      <c r="AZ28" s="98">
        <f t="shared" si="304"/>
        <v>0</v>
      </c>
      <c r="BA28" s="93" t="str">
        <f t="shared" si="305"/>
        <v/>
      </c>
      <c r="BB28" s="94" t="str">
        <f t="shared" si="306"/>
        <v/>
      </c>
      <c r="BC28" s="95">
        <f t="shared" si="307"/>
        <v>0</v>
      </c>
      <c r="BD28" s="96" t="str">
        <f t="shared" si="308"/>
        <v/>
      </c>
      <c r="BE28" s="97" t="str">
        <f t="shared" si="309"/>
        <v/>
      </c>
      <c r="BF28" s="98">
        <f t="shared" si="310"/>
        <v>0</v>
      </c>
      <c r="BG28" s="93" t="str">
        <f t="shared" si="311"/>
        <v/>
      </c>
      <c r="BH28" s="94" t="str">
        <f t="shared" si="312"/>
        <v/>
      </c>
      <c r="BI28" s="95">
        <f t="shared" si="313"/>
        <v>0</v>
      </c>
      <c r="BJ28" s="96" t="str">
        <f t="shared" si="314"/>
        <v/>
      </c>
      <c r="BK28" s="97" t="str">
        <f t="shared" si="315"/>
        <v/>
      </c>
      <c r="BL28" s="98">
        <f t="shared" si="316"/>
        <v>0</v>
      </c>
      <c r="BM28" s="93" t="str">
        <f t="shared" si="317"/>
        <v/>
      </c>
      <c r="BN28" s="94" t="str">
        <f t="shared" si="318"/>
        <v/>
      </c>
      <c r="BO28" s="95">
        <f t="shared" si="319"/>
        <v>0</v>
      </c>
      <c r="BP28" s="96" t="str">
        <f t="shared" si="320"/>
        <v/>
      </c>
      <c r="BQ28" s="97" t="str">
        <f t="shared" si="321"/>
        <v/>
      </c>
      <c r="BR28" s="98">
        <f t="shared" si="322"/>
        <v>0</v>
      </c>
      <c r="BS28" s="93" t="str">
        <f t="shared" si="323"/>
        <v/>
      </c>
      <c r="BT28" s="94" t="str">
        <f t="shared" si="324"/>
        <v/>
      </c>
      <c r="BU28" s="95">
        <f t="shared" si="325"/>
        <v>0</v>
      </c>
      <c r="BV28" s="96" t="str">
        <f t="shared" si="326"/>
        <v/>
      </c>
      <c r="BW28" s="97" t="str">
        <f t="shared" si="327"/>
        <v/>
      </c>
      <c r="BX28" s="98">
        <f t="shared" si="328"/>
        <v>0</v>
      </c>
      <c r="BY28" s="93" t="str">
        <f t="shared" si="329"/>
        <v/>
      </c>
      <c r="BZ28" s="94" t="str">
        <f t="shared" si="330"/>
        <v/>
      </c>
      <c r="CA28" s="95">
        <f t="shared" si="331"/>
        <v>0</v>
      </c>
      <c r="CB28" s="96" t="str">
        <f t="shared" si="332"/>
        <v/>
      </c>
      <c r="CC28" s="97" t="str">
        <f t="shared" si="333"/>
        <v/>
      </c>
      <c r="CD28" s="98">
        <f t="shared" si="334"/>
        <v>0</v>
      </c>
      <c r="CE28" s="93" t="str">
        <f t="shared" si="335"/>
        <v/>
      </c>
      <c r="CF28" s="94" t="str">
        <f t="shared" si="336"/>
        <v/>
      </c>
      <c r="CG28" s="95">
        <f t="shared" si="337"/>
        <v>0</v>
      </c>
      <c r="CH28" s="96" t="str">
        <f t="shared" si="338"/>
        <v/>
      </c>
      <c r="CI28" s="97" t="str">
        <f t="shared" si="339"/>
        <v/>
      </c>
      <c r="CJ28" s="98">
        <f t="shared" si="340"/>
        <v>0</v>
      </c>
      <c r="CK28" s="93" t="str">
        <f t="shared" si="341"/>
        <v/>
      </c>
      <c r="CL28" s="94" t="str">
        <f t="shared" si="342"/>
        <v/>
      </c>
      <c r="CM28" s="95">
        <f t="shared" si="343"/>
        <v>0</v>
      </c>
      <c r="CN28" s="96" t="str">
        <f t="shared" si="344"/>
        <v/>
      </c>
      <c r="CO28" s="97" t="str">
        <f t="shared" si="345"/>
        <v/>
      </c>
      <c r="CP28" s="98">
        <f t="shared" si="346"/>
        <v>0</v>
      </c>
      <c r="CQ28" s="93" t="str">
        <f t="shared" si="347"/>
        <v/>
      </c>
      <c r="CR28" s="94" t="str">
        <f t="shared" si="348"/>
        <v/>
      </c>
      <c r="CS28" s="95">
        <f t="shared" si="349"/>
        <v>0</v>
      </c>
      <c r="CT28" s="96" t="str">
        <f t="shared" si="350"/>
        <v/>
      </c>
      <c r="CU28" s="97" t="str">
        <f t="shared" si="351"/>
        <v/>
      </c>
      <c r="CV28" s="98">
        <f t="shared" si="352"/>
        <v>0</v>
      </c>
      <c r="CW28" s="93" t="str">
        <f t="shared" si="353"/>
        <v/>
      </c>
      <c r="CX28" s="94" t="str">
        <f t="shared" si="354"/>
        <v/>
      </c>
      <c r="CY28" s="95">
        <f t="shared" si="355"/>
        <v>0</v>
      </c>
      <c r="CZ28" s="96" t="str">
        <f t="shared" si="356"/>
        <v/>
      </c>
      <c r="DA28" s="97" t="str">
        <f t="shared" si="357"/>
        <v/>
      </c>
      <c r="DB28" s="98">
        <f t="shared" si="358"/>
        <v>0</v>
      </c>
      <c r="DC28" s="93" t="str">
        <f t="shared" si="359"/>
        <v/>
      </c>
      <c r="DD28" s="94" t="str">
        <f t="shared" si="360"/>
        <v/>
      </c>
      <c r="DE28" s="95">
        <f t="shared" si="361"/>
        <v>0</v>
      </c>
      <c r="DF28" s="96" t="str">
        <f t="shared" si="362"/>
        <v/>
      </c>
      <c r="DG28" s="97" t="str">
        <f t="shared" si="363"/>
        <v/>
      </c>
      <c r="DH28" s="98">
        <f t="shared" si="364"/>
        <v>0</v>
      </c>
      <c r="DI28" s="93" t="str">
        <f t="shared" si="365"/>
        <v/>
      </c>
      <c r="DJ28" s="94" t="str">
        <f t="shared" si="366"/>
        <v/>
      </c>
      <c r="DK28" s="95">
        <f t="shared" si="367"/>
        <v>0</v>
      </c>
      <c r="DL28" s="96" t="str">
        <f t="shared" si="368"/>
        <v/>
      </c>
      <c r="DM28" s="97" t="str">
        <f t="shared" si="369"/>
        <v/>
      </c>
      <c r="DN28" s="98">
        <f t="shared" si="370"/>
        <v>0</v>
      </c>
      <c r="DO28" s="93" t="str">
        <f t="shared" si="371"/>
        <v/>
      </c>
      <c r="DP28" s="94" t="str">
        <f t="shared" si="372"/>
        <v/>
      </c>
      <c r="DQ28" s="95">
        <f t="shared" si="373"/>
        <v>0</v>
      </c>
      <c r="DR28" s="96" t="str">
        <f t="shared" si="374"/>
        <v/>
      </c>
      <c r="DS28" s="97" t="str">
        <f t="shared" si="375"/>
        <v/>
      </c>
      <c r="DT28" s="98">
        <f t="shared" si="376"/>
        <v>0</v>
      </c>
      <c r="DU28" s="93" t="str">
        <f t="shared" si="377"/>
        <v/>
      </c>
      <c r="DV28" s="94" t="str">
        <f t="shared" si="378"/>
        <v/>
      </c>
      <c r="DW28" s="95">
        <f t="shared" si="379"/>
        <v>0</v>
      </c>
      <c r="DX28" s="96" t="str">
        <f t="shared" si="380"/>
        <v/>
      </c>
      <c r="DY28" s="97" t="str">
        <f t="shared" si="381"/>
        <v/>
      </c>
      <c r="DZ28" s="98">
        <f t="shared" si="382"/>
        <v>0</v>
      </c>
      <c r="EA28" s="93" t="str">
        <f t="shared" si="383"/>
        <v/>
      </c>
      <c r="EB28" s="94" t="str">
        <f t="shared" si="384"/>
        <v/>
      </c>
      <c r="EC28" s="95">
        <f t="shared" si="385"/>
        <v>0</v>
      </c>
      <c r="ED28" s="96" t="str">
        <f t="shared" si="386"/>
        <v/>
      </c>
      <c r="EE28" s="97" t="str">
        <f t="shared" si="387"/>
        <v/>
      </c>
      <c r="EF28" s="98">
        <f t="shared" si="388"/>
        <v>0</v>
      </c>
      <c r="EG28" s="93" t="str">
        <f t="shared" si="389"/>
        <v/>
      </c>
      <c r="EH28" s="94" t="str">
        <f t="shared" si="390"/>
        <v/>
      </c>
      <c r="EI28" s="95">
        <f t="shared" si="391"/>
        <v>0</v>
      </c>
      <c r="EJ28" s="96" t="str">
        <f t="shared" si="392"/>
        <v/>
      </c>
      <c r="EK28" s="97" t="str">
        <f t="shared" si="393"/>
        <v/>
      </c>
      <c r="EL28" s="98">
        <f t="shared" si="394"/>
        <v>0</v>
      </c>
      <c r="EM28" s="93" t="str">
        <f t="shared" si="395"/>
        <v/>
      </c>
      <c r="EN28" s="94" t="str">
        <f t="shared" si="396"/>
        <v/>
      </c>
      <c r="EO28" s="95">
        <f t="shared" si="397"/>
        <v>0</v>
      </c>
      <c r="EP28" s="96" t="str">
        <f t="shared" si="398"/>
        <v/>
      </c>
      <c r="EQ28" s="97" t="str">
        <f t="shared" si="399"/>
        <v/>
      </c>
      <c r="ER28" s="98">
        <f t="shared" si="400"/>
        <v>0</v>
      </c>
      <c r="ES28" s="93" t="str">
        <f t="shared" si="401"/>
        <v/>
      </c>
      <c r="ET28" s="94" t="str">
        <f t="shared" si="402"/>
        <v/>
      </c>
      <c r="EU28" s="95">
        <f t="shared" si="403"/>
        <v>0</v>
      </c>
      <c r="EV28" s="96" t="str">
        <f t="shared" si="404"/>
        <v/>
      </c>
      <c r="EW28" s="97" t="str">
        <f t="shared" si="405"/>
        <v/>
      </c>
      <c r="EX28" s="98">
        <f t="shared" si="406"/>
        <v>0</v>
      </c>
      <c r="EY28" s="93" t="str">
        <f t="shared" si="407"/>
        <v/>
      </c>
      <c r="EZ28" s="94" t="str">
        <f t="shared" si="408"/>
        <v/>
      </c>
      <c r="FA28" s="95">
        <f t="shared" si="409"/>
        <v>0</v>
      </c>
      <c r="FB28" s="96" t="str">
        <f t="shared" si="410"/>
        <v/>
      </c>
      <c r="FC28" s="97" t="str">
        <f t="shared" si="411"/>
        <v/>
      </c>
      <c r="FD28" s="98">
        <f t="shared" si="412"/>
        <v>0</v>
      </c>
      <c r="FE28" s="93" t="str">
        <f t="shared" si="413"/>
        <v/>
      </c>
      <c r="FF28" s="94" t="str">
        <f t="shared" si="414"/>
        <v/>
      </c>
      <c r="FG28" s="95">
        <f t="shared" si="415"/>
        <v>0</v>
      </c>
      <c r="FH28" s="96" t="str">
        <f t="shared" si="416"/>
        <v/>
      </c>
      <c r="FI28" s="97" t="str">
        <f t="shared" si="417"/>
        <v/>
      </c>
      <c r="FJ28" s="98">
        <f t="shared" si="418"/>
        <v>0</v>
      </c>
    </row>
    <row r="29" ht="15.75" customHeight="1">
      <c r="A29" s="6" t="str">
        <f>Menus!B21</f>
        <v/>
      </c>
      <c r="B29" s="16">
        <f t="shared" si="256"/>
        <v>0</v>
      </c>
      <c r="C29" s="16">
        <f t="shared" si="257"/>
        <v>0</v>
      </c>
      <c r="D29" s="16">
        <f t="shared" si="254"/>
        <v>0</v>
      </c>
      <c r="E29" s="87" t="str">
        <f t="shared" si="258"/>
        <v/>
      </c>
      <c r="F29" s="88" t="str">
        <f t="shared" si="259"/>
        <v/>
      </c>
      <c r="G29" s="89">
        <f t="shared" si="255"/>
        <v>0</v>
      </c>
      <c r="H29" s="90" t="str">
        <f t="shared" si="260"/>
        <v/>
      </c>
      <c r="I29" s="91" t="str">
        <f t="shared" si="261"/>
        <v/>
      </c>
      <c r="J29" s="92">
        <f t="shared" si="262"/>
        <v>0</v>
      </c>
      <c r="K29" s="93" t="str">
        <f t="shared" si="263"/>
        <v/>
      </c>
      <c r="L29" s="94" t="str">
        <f t="shared" si="264"/>
        <v/>
      </c>
      <c r="M29" s="95">
        <f t="shared" si="265"/>
        <v>0</v>
      </c>
      <c r="N29" s="96" t="str">
        <f t="shared" si="266"/>
        <v/>
      </c>
      <c r="O29" s="97" t="str">
        <f t="shared" si="267"/>
        <v/>
      </c>
      <c r="P29" s="98">
        <f t="shared" si="268"/>
        <v>0</v>
      </c>
      <c r="Q29" s="93" t="str">
        <f t="shared" si="269"/>
        <v/>
      </c>
      <c r="R29" s="94" t="str">
        <f t="shared" si="270"/>
        <v/>
      </c>
      <c r="S29" s="95">
        <f t="shared" si="271"/>
        <v>0</v>
      </c>
      <c r="T29" s="96" t="str">
        <f t="shared" si="272"/>
        <v/>
      </c>
      <c r="U29" s="97" t="str">
        <f t="shared" si="273"/>
        <v/>
      </c>
      <c r="V29" s="98">
        <f t="shared" si="274"/>
        <v>0</v>
      </c>
      <c r="W29" s="93" t="str">
        <f t="shared" si="275"/>
        <v/>
      </c>
      <c r="X29" s="94" t="str">
        <f t="shared" si="276"/>
        <v/>
      </c>
      <c r="Y29" s="95">
        <f t="shared" si="277"/>
        <v>0</v>
      </c>
      <c r="Z29" s="96" t="str">
        <f t="shared" si="278"/>
        <v/>
      </c>
      <c r="AA29" s="97" t="str">
        <f t="shared" si="279"/>
        <v/>
      </c>
      <c r="AB29" s="98">
        <f t="shared" si="280"/>
        <v>0</v>
      </c>
      <c r="AC29" s="93" t="str">
        <f t="shared" si="281"/>
        <v/>
      </c>
      <c r="AD29" s="94" t="str">
        <f t="shared" si="282"/>
        <v/>
      </c>
      <c r="AE29" s="95">
        <f t="shared" si="283"/>
        <v>0</v>
      </c>
      <c r="AF29" s="96" t="str">
        <f t="shared" si="284"/>
        <v/>
      </c>
      <c r="AG29" s="97" t="str">
        <f t="shared" si="285"/>
        <v/>
      </c>
      <c r="AH29" s="98">
        <f t="shared" si="286"/>
        <v>0</v>
      </c>
      <c r="AI29" s="93" t="str">
        <f t="shared" si="287"/>
        <v/>
      </c>
      <c r="AJ29" s="94" t="str">
        <f t="shared" si="288"/>
        <v/>
      </c>
      <c r="AK29" s="95">
        <f t="shared" si="289"/>
        <v>0</v>
      </c>
      <c r="AL29" s="96" t="str">
        <f t="shared" si="290"/>
        <v/>
      </c>
      <c r="AM29" s="97" t="str">
        <f t="shared" si="291"/>
        <v/>
      </c>
      <c r="AN29" s="98">
        <f t="shared" si="292"/>
        <v>0</v>
      </c>
      <c r="AO29" s="93" t="str">
        <f t="shared" si="293"/>
        <v/>
      </c>
      <c r="AP29" s="94" t="str">
        <f t="shared" si="294"/>
        <v/>
      </c>
      <c r="AQ29" s="95">
        <f t="shared" si="295"/>
        <v>0</v>
      </c>
      <c r="AR29" s="96" t="str">
        <f t="shared" si="296"/>
        <v/>
      </c>
      <c r="AS29" s="97" t="str">
        <f t="shared" si="297"/>
        <v/>
      </c>
      <c r="AT29" s="98">
        <f t="shared" si="298"/>
        <v>0</v>
      </c>
      <c r="AU29" s="93" t="str">
        <f t="shared" si="299"/>
        <v/>
      </c>
      <c r="AV29" s="94" t="str">
        <f t="shared" si="300"/>
        <v/>
      </c>
      <c r="AW29" s="95">
        <f t="shared" si="301"/>
        <v>0</v>
      </c>
      <c r="AX29" s="96" t="str">
        <f t="shared" si="302"/>
        <v/>
      </c>
      <c r="AY29" s="97" t="str">
        <f t="shared" si="303"/>
        <v/>
      </c>
      <c r="AZ29" s="98">
        <f t="shared" si="304"/>
        <v>0</v>
      </c>
      <c r="BA29" s="93" t="str">
        <f t="shared" si="305"/>
        <v/>
      </c>
      <c r="BB29" s="94" t="str">
        <f t="shared" si="306"/>
        <v/>
      </c>
      <c r="BC29" s="95">
        <f t="shared" si="307"/>
        <v>0</v>
      </c>
      <c r="BD29" s="96" t="str">
        <f t="shared" si="308"/>
        <v/>
      </c>
      <c r="BE29" s="97" t="str">
        <f t="shared" si="309"/>
        <v/>
      </c>
      <c r="BF29" s="98">
        <f t="shared" si="310"/>
        <v>0</v>
      </c>
      <c r="BG29" s="93" t="str">
        <f t="shared" si="311"/>
        <v/>
      </c>
      <c r="BH29" s="94" t="str">
        <f t="shared" si="312"/>
        <v/>
      </c>
      <c r="BI29" s="95">
        <f t="shared" si="313"/>
        <v>0</v>
      </c>
      <c r="BJ29" s="96" t="str">
        <f t="shared" si="314"/>
        <v/>
      </c>
      <c r="BK29" s="97" t="str">
        <f t="shared" si="315"/>
        <v/>
      </c>
      <c r="BL29" s="98">
        <f t="shared" si="316"/>
        <v>0</v>
      </c>
      <c r="BM29" s="93" t="str">
        <f t="shared" si="317"/>
        <v/>
      </c>
      <c r="BN29" s="94" t="str">
        <f t="shared" si="318"/>
        <v/>
      </c>
      <c r="BO29" s="95">
        <f t="shared" si="319"/>
        <v>0</v>
      </c>
      <c r="BP29" s="96" t="str">
        <f t="shared" si="320"/>
        <v/>
      </c>
      <c r="BQ29" s="97" t="str">
        <f t="shared" si="321"/>
        <v/>
      </c>
      <c r="BR29" s="98">
        <f t="shared" si="322"/>
        <v>0</v>
      </c>
      <c r="BS29" s="93" t="str">
        <f t="shared" si="323"/>
        <v/>
      </c>
      <c r="BT29" s="94" t="str">
        <f t="shared" si="324"/>
        <v/>
      </c>
      <c r="BU29" s="95">
        <f t="shared" si="325"/>
        <v>0</v>
      </c>
      <c r="BV29" s="96" t="str">
        <f t="shared" si="326"/>
        <v/>
      </c>
      <c r="BW29" s="97" t="str">
        <f t="shared" si="327"/>
        <v/>
      </c>
      <c r="BX29" s="98">
        <f t="shared" si="328"/>
        <v>0</v>
      </c>
      <c r="BY29" s="93" t="str">
        <f t="shared" si="329"/>
        <v/>
      </c>
      <c r="BZ29" s="94" t="str">
        <f t="shared" si="330"/>
        <v/>
      </c>
      <c r="CA29" s="95">
        <f t="shared" si="331"/>
        <v>0</v>
      </c>
      <c r="CB29" s="96" t="str">
        <f t="shared" si="332"/>
        <v/>
      </c>
      <c r="CC29" s="97" t="str">
        <f t="shared" si="333"/>
        <v/>
      </c>
      <c r="CD29" s="98">
        <f t="shared" si="334"/>
        <v>0</v>
      </c>
      <c r="CE29" s="93" t="str">
        <f t="shared" si="335"/>
        <v/>
      </c>
      <c r="CF29" s="94" t="str">
        <f t="shared" si="336"/>
        <v/>
      </c>
      <c r="CG29" s="95">
        <f t="shared" si="337"/>
        <v>0</v>
      </c>
      <c r="CH29" s="96" t="str">
        <f t="shared" si="338"/>
        <v/>
      </c>
      <c r="CI29" s="97" t="str">
        <f t="shared" si="339"/>
        <v/>
      </c>
      <c r="CJ29" s="98">
        <f t="shared" si="340"/>
        <v>0</v>
      </c>
      <c r="CK29" s="93" t="str">
        <f t="shared" si="341"/>
        <v/>
      </c>
      <c r="CL29" s="94" t="str">
        <f t="shared" si="342"/>
        <v/>
      </c>
      <c r="CM29" s="95">
        <f t="shared" si="343"/>
        <v>0</v>
      </c>
      <c r="CN29" s="96" t="str">
        <f t="shared" si="344"/>
        <v/>
      </c>
      <c r="CO29" s="97" t="str">
        <f t="shared" si="345"/>
        <v/>
      </c>
      <c r="CP29" s="98">
        <f t="shared" si="346"/>
        <v>0</v>
      </c>
      <c r="CQ29" s="93" t="str">
        <f t="shared" si="347"/>
        <v/>
      </c>
      <c r="CR29" s="94" t="str">
        <f t="shared" si="348"/>
        <v/>
      </c>
      <c r="CS29" s="95">
        <f t="shared" si="349"/>
        <v>0</v>
      </c>
      <c r="CT29" s="96" t="str">
        <f t="shared" si="350"/>
        <v/>
      </c>
      <c r="CU29" s="97" t="str">
        <f t="shared" si="351"/>
        <v/>
      </c>
      <c r="CV29" s="98">
        <f t="shared" si="352"/>
        <v>0</v>
      </c>
      <c r="CW29" s="93" t="str">
        <f t="shared" si="353"/>
        <v/>
      </c>
      <c r="CX29" s="94" t="str">
        <f t="shared" si="354"/>
        <v/>
      </c>
      <c r="CY29" s="95">
        <f t="shared" si="355"/>
        <v>0</v>
      </c>
      <c r="CZ29" s="96" t="str">
        <f t="shared" si="356"/>
        <v/>
      </c>
      <c r="DA29" s="97" t="str">
        <f t="shared" si="357"/>
        <v/>
      </c>
      <c r="DB29" s="98">
        <f t="shared" si="358"/>
        <v>0</v>
      </c>
      <c r="DC29" s="93" t="str">
        <f t="shared" si="359"/>
        <v/>
      </c>
      <c r="DD29" s="94" t="str">
        <f t="shared" si="360"/>
        <v/>
      </c>
      <c r="DE29" s="95">
        <f t="shared" si="361"/>
        <v>0</v>
      </c>
      <c r="DF29" s="96" t="str">
        <f t="shared" si="362"/>
        <v/>
      </c>
      <c r="DG29" s="97" t="str">
        <f t="shared" si="363"/>
        <v/>
      </c>
      <c r="DH29" s="98">
        <f t="shared" si="364"/>
        <v>0</v>
      </c>
      <c r="DI29" s="93" t="str">
        <f t="shared" si="365"/>
        <v/>
      </c>
      <c r="DJ29" s="94" t="str">
        <f t="shared" si="366"/>
        <v/>
      </c>
      <c r="DK29" s="95">
        <f t="shared" si="367"/>
        <v>0</v>
      </c>
      <c r="DL29" s="96" t="str">
        <f t="shared" si="368"/>
        <v/>
      </c>
      <c r="DM29" s="97" t="str">
        <f t="shared" si="369"/>
        <v/>
      </c>
      <c r="DN29" s="98">
        <f t="shared" si="370"/>
        <v>0</v>
      </c>
      <c r="DO29" s="93" t="str">
        <f t="shared" si="371"/>
        <v/>
      </c>
      <c r="DP29" s="94" t="str">
        <f t="shared" si="372"/>
        <v/>
      </c>
      <c r="DQ29" s="95">
        <f t="shared" si="373"/>
        <v>0</v>
      </c>
      <c r="DR29" s="96" t="str">
        <f t="shared" si="374"/>
        <v/>
      </c>
      <c r="DS29" s="97" t="str">
        <f t="shared" si="375"/>
        <v/>
      </c>
      <c r="DT29" s="98">
        <f t="shared" si="376"/>
        <v>0</v>
      </c>
      <c r="DU29" s="93" t="str">
        <f t="shared" si="377"/>
        <v/>
      </c>
      <c r="DV29" s="94" t="str">
        <f t="shared" si="378"/>
        <v/>
      </c>
      <c r="DW29" s="95">
        <f t="shared" si="379"/>
        <v>0</v>
      </c>
      <c r="DX29" s="96" t="str">
        <f t="shared" si="380"/>
        <v/>
      </c>
      <c r="DY29" s="97" t="str">
        <f t="shared" si="381"/>
        <v/>
      </c>
      <c r="DZ29" s="98">
        <f t="shared" si="382"/>
        <v>0</v>
      </c>
      <c r="EA29" s="93" t="str">
        <f t="shared" si="383"/>
        <v/>
      </c>
      <c r="EB29" s="94" t="str">
        <f t="shared" si="384"/>
        <v/>
      </c>
      <c r="EC29" s="95">
        <f t="shared" si="385"/>
        <v>0</v>
      </c>
      <c r="ED29" s="96" t="str">
        <f t="shared" si="386"/>
        <v/>
      </c>
      <c r="EE29" s="97" t="str">
        <f t="shared" si="387"/>
        <v/>
      </c>
      <c r="EF29" s="98">
        <f t="shared" si="388"/>
        <v>0</v>
      </c>
      <c r="EG29" s="93" t="str">
        <f t="shared" si="389"/>
        <v/>
      </c>
      <c r="EH29" s="94" t="str">
        <f t="shared" si="390"/>
        <v/>
      </c>
      <c r="EI29" s="95">
        <f t="shared" si="391"/>
        <v>0</v>
      </c>
      <c r="EJ29" s="96" t="str">
        <f t="shared" si="392"/>
        <v/>
      </c>
      <c r="EK29" s="97" t="str">
        <f t="shared" si="393"/>
        <v/>
      </c>
      <c r="EL29" s="98">
        <f t="shared" si="394"/>
        <v>0</v>
      </c>
      <c r="EM29" s="93" t="str">
        <f t="shared" si="395"/>
        <v/>
      </c>
      <c r="EN29" s="94" t="str">
        <f t="shared" si="396"/>
        <v/>
      </c>
      <c r="EO29" s="95">
        <f t="shared" si="397"/>
        <v>0</v>
      </c>
      <c r="EP29" s="96" t="str">
        <f t="shared" si="398"/>
        <v/>
      </c>
      <c r="EQ29" s="97" t="str">
        <f t="shared" si="399"/>
        <v/>
      </c>
      <c r="ER29" s="98">
        <f t="shared" si="400"/>
        <v>0</v>
      </c>
      <c r="ES29" s="93" t="str">
        <f t="shared" si="401"/>
        <v/>
      </c>
      <c r="ET29" s="94" t="str">
        <f t="shared" si="402"/>
        <v/>
      </c>
      <c r="EU29" s="95">
        <f t="shared" si="403"/>
        <v>0</v>
      </c>
      <c r="EV29" s="96" t="str">
        <f t="shared" si="404"/>
        <v/>
      </c>
      <c r="EW29" s="97" t="str">
        <f t="shared" si="405"/>
        <v/>
      </c>
      <c r="EX29" s="98">
        <f t="shared" si="406"/>
        <v>0</v>
      </c>
      <c r="EY29" s="93" t="str">
        <f t="shared" si="407"/>
        <v/>
      </c>
      <c r="EZ29" s="94" t="str">
        <f t="shared" si="408"/>
        <v/>
      </c>
      <c r="FA29" s="95">
        <f t="shared" si="409"/>
        <v>0</v>
      </c>
      <c r="FB29" s="96" t="str">
        <f t="shared" si="410"/>
        <v/>
      </c>
      <c r="FC29" s="97" t="str">
        <f t="shared" si="411"/>
        <v/>
      </c>
      <c r="FD29" s="98">
        <f t="shared" si="412"/>
        <v>0</v>
      </c>
      <c r="FE29" s="93" t="str">
        <f t="shared" si="413"/>
        <v/>
      </c>
      <c r="FF29" s="94" t="str">
        <f t="shared" si="414"/>
        <v/>
      </c>
      <c r="FG29" s="95">
        <f t="shared" si="415"/>
        <v>0</v>
      </c>
      <c r="FH29" s="96" t="str">
        <f t="shared" si="416"/>
        <v/>
      </c>
      <c r="FI29" s="97" t="str">
        <f t="shared" si="417"/>
        <v/>
      </c>
      <c r="FJ29" s="98">
        <f t="shared" si="418"/>
        <v>0</v>
      </c>
    </row>
    <row r="30" ht="15.75" customHeight="1">
      <c r="A30" s="6" t="str">
        <f>Menus!B22</f>
        <v/>
      </c>
      <c r="B30" s="16">
        <f t="shared" si="256"/>
        <v>0</v>
      </c>
      <c r="C30" s="16">
        <f t="shared" si="257"/>
        <v>0</v>
      </c>
      <c r="D30" s="16">
        <f t="shared" si="254"/>
        <v>0</v>
      </c>
      <c r="E30" s="87" t="str">
        <f t="shared" si="258"/>
        <v/>
      </c>
      <c r="F30" s="88" t="str">
        <f t="shared" si="259"/>
        <v/>
      </c>
      <c r="G30" s="89">
        <f t="shared" si="255"/>
        <v>0</v>
      </c>
      <c r="H30" s="90" t="str">
        <f t="shared" si="260"/>
        <v/>
      </c>
      <c r="I30" s="91" t="str">
        <f t="shared" si="261"/>
        <v/>
      </c>
      <c r="J30" s="92">
        <f t="shared" si="262"/>
        <v>0</v>
      </c>
      <c r="K30" s="93" t="str">
        <f t="shared" si="263"/>
        <v/>
      </c>
      <c r="L30" s="94" t="str">
        <f t="shared" si="264"/>
        <v/>
      </c>
      <c r="M30" s="95">
        <f t="shared" si="265"/>
        <v>0</v>
      </c>
      <c r="N30" s="96" t="str">
        <f t="shared" si="266"/>
        <v/>
      </c>
      <c r="O30" s="97" t="str">
        <f t="shared" si="267"/>
        <v/>
      </c>
      <c r="P30" s="98">
        <f t="shared" si="268"/>
        <v>0</v>
      </c>
      <c r="Q30" s="93" t="str">
        <f t="shared" si="269"/>
        <v/>
      </c>
      <c r="R30" s="94" t="str">
        <f t="shared" si="270"/>
        <v/>
      </c>
      <c r="S30" s="95">
        <f t="shared" si="271"/>
        <v>0</v>
      </c>
      <c r="T30" s="96" t="str">
        <f t="shared" si="272"/>
        <v/>
      </c>
      <c r="U30" s="97" t="str">
        <f t="shared" si="273"/>
        <v/>
      </c>
      <c r="V30" s="98">
        <f t="shared" si="274"/>
        <v>0</v>
      </c>
      <c r="W30" s="93" t="str">
        <f t="shared" si="275"/>
        <v/>
      </c>
      <c r="X30" s="94" t="str">
        <f t="shared" si="276"/>
        <v/>
      </c>
      <c r="Y30" s="95">
        <f t="shared" si="277"/>
        <v>0</v>
      </c>
      <c r="Z30" s="96" t="str">
        <f t="shared" si="278"/>
        <v/>
      </c>
      <c r="AA30" s="97" t="str">
        <f t="shared" si="279"/>
        <v/>
      </c>
      <c r="AB30" s="98">
        <f t="shared" si="280"/>
        <v>0</v>
      </c>
      <c r="AC30" s="93" t="str">
        <f t="shared" si="281"/>
        <v/>
      </c>
      <c r="AD30" s="94" t="str">
        <f t="shared" si="282"/>
        <v/>
      </c>
      <c r="AE30" s="95">
        <f t="shared" si="283"/>
        <v>0</v>
      </c>
      <c r="AF30" s="96" t="str">
        <f t="shared" si="284"/>
        <v/>
      </c>
      <c r="AG30" s="97" t="str">
        <f t="shared" si="285"/>
        <v/>
      </c>
      <c r="AH30" s="98">
        <f t="shared" si="286"/>
        <v>0</v>
      </c>
      <c r="AI30" s="93" t="str">
        <f t="shared" si="287"/>
        <v/>
      </c>
      <c r="AJ30" s="94" t="str">
        <f t="shared" si="288"/>
        <v/>
      </c>
      <c r="AK30" s="95">
        <f t="shared" si="289"/>
        <v>0</v>
      </c>
      <c r="AL30" s="96" t="str">
        <f t="shared" si="290"/>
        <v/>
      </c>
      <c r="AM30" s="97" t="str">
        <f t="shared" si="291"/>
        <v/>
      </c>
      <c r="AN30" s="98">
        <f t="shared" si="292"/>
        <v>0</v>
      </c>
      <c r="AO30" s="93" t="str">
        <f t="shared" si="293"/>
        <v/>
      </c>
      <c r="AP30" s="94" t="str">
        <f t="shared" si="294"/>
        <v/>
      </c>
      <c r="AQ30" s="95">
        <f t="shared" si="295"/>
        <v>0</v>
      </c>
      <c r="AR30" s="96" t="str">
        <f t="shared" si="296"/>
        <v/>
      </c>
      <c r="AS30" s="97" t="str">
        <f t="shared" si="297"/>
        <v/>
      </c>
      <c r="AT30" s="98">
        <f t="shared" si="298"/>
        <v>0</v>
      </c>
      <c r="AU30" s="93" t="str">
        <f t="shared" si="299"/>
        <v/>
      </c>
      <c r="AV30" s="94" t="str">
        <f t="shared" si="300"/>
        <v/>
      </c>
      <c r="AW30" s="95">
        <f t="shared" si="301"/>
        <v>0</v>
      </c>
      <c r="AX30" s="96" t="str">
        <f t="shared" si="302"/>
        <v/>
      </c>
      <c r="AY30" s="97" t="str">
        <f t="shared" si="303"/>
        <v/>
      </c>
      <c r="AZ30" s="98">
        <f t="shared" si="304"/>
        <v>0</v>
      </c>
      <c r="BA30" s="93" t="str">
        <f t="shared" si="305"/>
        <v/>
      </c>
      <c r="BB30" s="94" t="str">
        <f t="shared" si="306"/>
        <v/>
      </c>
      <c r="BC30" s="95">
        <f t="shared" si="307"/>
        <v>0</v>
      </c>
      <c r="BD30" s="96" t="str">
        <f t="shared" si="308"/>
        <v/>
      </c>
      <c r="BE30" s="97" t="str">
        <f t="shared" si="309"/>
        <v/>
      </c>
      <c r="BF30" s="98">
        <f t="shared" si="310"/>
        <v>0</v>
      </c>
      <c r="BG30" s="93" t="str">
        <f t="shared" si="311"/>
        <v/>
      </c>
      <c r="BH30" s="94" t="str">
        <f t="shared" si="312"/>
        <v/>
      </c>
      <c r="BI30" s="95">
        <f t="shared" si="313"/>
        <v>0</v>
      </c>
      <c r="BJ30" s="96" t="str">
        <f t="shared" si="314"/>
        <v/>
      </c>
      <c r="BK30" s="97" t="str">
        <f t="shared" si="315"/>
        <v/>
      </c>
      <c r="BL30" s="98">
        <f t="shared" si="316"/>
        <v>0</v>
      </c>
      <c r="BM30" s="93" t="str">
        <f t="shared" si="317"/>
        <v/>
      </c>
      <c r="BN30" s="94" t="str">
        <f t="shared" si="318"/>
        <v/>
      </c>
      <c r="BO30" s="95">
        <f t="shared" si="319"/>
        <v>0</v>
      </c>
      <c r="BP30" s="96" t="str">
        <f t="shared" si="320"/>
        <v/>
      </c>
      <c r="BQ30" s="97" t="str">
        <f t="shared" si="321"/>
        <v/>
      </c>
      <c r="BR30" s="98">
        <f t="shared" si="322"/>
        <v>0</v>
      </c>
      <c r="BS30" s="93" t="str">
        <f t="shared" si="323"/>
        <v/>
      </c>
      <c r="BT30" s="94" t="str">
        <f t="shared" si="324"/>
        <v/>
      </c>
      <c r="BU30" s="95">
        <f t="shared" si="325"/>
        <v>0</v>
      </c>
      <c r="BV30" s="96" t="str">
        <f t="shared" si="326"/>
        <v/>
      </c>
      <c r="BW30" s="97" t="str">
        <f t="shared" si="327"/>
        <v/>
      </c>
      <c r="BX30" s="98">
        <f t="shared" si="328"/>
        <v>0</v>
      </c>
      <c r="BY30" s="93" t="str">
        <f t="shared" si="329"/>
        <v/>
      </c>
      <c r="BZ30" s="94" t="str">
        <f t="shared" si="330"/>
        <v/>
      </c>
      <c r="CA30" s="95">
        <f t="shared" si="331"/>
        <v>0</v>
      </c>
      <c r="CB30" s="96" t="str">
        <f t="shared" si="332"/>
        <v/>
      </c>
      <c r="CC30" s="97" t="str">
        <f t="shared" si="333"/>
        <v/>
      </c>
      <c r="CD30" s="98">
        <f t="shared" si="334"/>
        <v>0</v>
      </c>
      <c r="CE30" s="93" t="str">
        <f t="shared" si="335"/>
        <v/>
      </c>
      <c r="CF30" s="94" t="str">
        <f t="shared" si="336"/>
        <v/>
      </c>
      <c r="CG30" s="95">
        <f t="shared" si="337"/>
        <v>0</v>
      </c>
      <c r="CH30" s="96" t="str">
        <f t="shared" si="338"/>
        <v/>
      </c>
      <c r="CI30" s="97" t="str">
        <f t="shared" si="339"/>
        <v/>
      </c>
      <c r="CJ30" s="98">
        <f t="shared" si="340"/>
        <v>0</v>
      </c>
      <c r="CK30" s="93" t="str">
        <f t="shared" si="341"/>
        <v/>
      </c>
      <c r="CL30" s="94" t="str">
        <f t="shared" si="342"/>
        <v/>
      </c>
      <c r="CM30" s="95">
        <f t="shared" si="343"/>
        <v>0</v>
      </c>
      <c r="CN30" s="96" t="str">
        <f t="shared" si="344"/>
        <v/>
      </c>
      <c r="CO30" s="97" t="str">
        <f t="shared" si="345"/>
        <v/>
      </c>
      <c r="CP30" s="98">
        <f t="shared" si="346"/>
        <v>0</v>
      </c>
      <c r="CQ30" s="93" t="str">
        <f t="shared" si="347"/>
        <v/>
      </c>
      <c r="CR30" s="94" t="str">
        <f t="shared" si="348"/>
        <v/>
      </c>
      <c r="CS30" s="95">
        <f t="shared" si="349"/>
        <v>0</v>
      </c>
      <c r="CT30" s="96" t="str">
        <f t="shared" si="350"/>
        <v/>
      </c>
      <c r="CU30" s="97" t="str">
        <f t="shared" si="351"/>
        <v/>
      </c>
      <c r="CV30" s="98">
        <f t="shared" si="352"/>
        <v>0</v>
      </c>
      <c r="CW30" s="93" t="str">
        <f t="shared" si="353"/>
        <v/>
      </c>
      <c r="CX30" s="94" t="str">
        <f t="shared" si="354"/>
        <v/>
      </c>
      <c r="CY30" s="95">
        <f t="shared" si="355"/>
        <v>0</v>
      </c>
      <c r="CZ30" s="96" t="str">
        <f t="shared" si="356"/>
        <v/>
      </c>
      <c r="DA30" s="97" t="str">
        <f t="shared" si="357"/>
        <v/>
      </c>
      <c r="DB30" s="98">
        <f t="shared" si="358"/>
        <v>0</v>
      </c>
      <c r="DC30" s="93" t="str">
        <f t="shared" si="359"/>
        <v/>
      </c>
      <c r="DD30" s="94" t="str">
        <f t="shared" si="360"/>
        <v/>
      </c>
      <c r="DE30" s="95">
        <f t="shared" si="361"/>
        <v>0</v>
      </c>
      <c r="DF30" s="96" t="str">
        <f t="shared" si="362"/>
        <v/>
      </c>
      <c r="DG30" s="97" t="str">
        <f t="shared" si="363"/>
        <v/>
      </c>
      <c r="DH30" s="98">
        <f t="shared" si="364"/>
        <v>0</v>
      </c>
      <c r="DI30" s="93" t="str">
        <f t="shared" si="365"/>
        <v/>
      </c>
      <c r="DJ30" s="94" t="str">
        <f t="shared" si="366"/>
        <v/>
      </c>
      <c r="DK30" s="95">
        <f t="shared" si="367"/>
        <v>0</v>
      </c>
      <c r="DL30" s="96" t="str">
        <f t="shared" si="368"/>
        <v/>
      </c>
      <c r="DM30" s="97" t="str">
        <f t="shared" si="369"/>
        <v/>
      </c>
      <c r="DN30" s="98">
        <f t="shared" si="370"/>
        <v>0</v>
      </c>
      <c r="DO30" s="93" t="str">
        <f t="shared" si="371"/>
        <v/>
      </c>
      <c r="DP30" s="94" t="str">
        <f t="shared" si="372"/>
        <v/>
      </c>
      <c r="DQ30" s="95">
        <f t="shared" si="373"/>
        <v>0</v>
      </c>
      <c r="DR30" s="96" t="str">
        <f t="shared" si="374"/>
        <v/>
      </c>
      <c r="DS30" s="97" t="str">
        <f t="shared" si="375"/>
        <v/>
      </c>
      <c r="DT30" s="98">
        <f t="shared" si="376"/>
        <v>0</v>
      </c>
      <c r="DU30" s="93" t="str">
        <f t="shared" si="377"/>
        <v/>
      </c>
      <c r="DV30" s="94" t="str">
        <f t="shared" si="378"/>
        <v/>
      </c>
      <c r="DW30" s="95">
        <f t="shared" si="379"/>
        <v>0</v>
      </c>
      <c r="DX30" s="96" t="str">
        <f t="shared" si="380"/>
        <v/>
      </c>
      <c r="DY30" s="97" t="str">
        <f t="shared" si="381"/>
        <v/>
      </c>
      <c r="DZ30" s="98">
        <f t="shared" si="382"/>
        <v>0</v>
      </c>
      <c r="EA30" s="93" t="str">
        <f t="shared" si="383"/>
        <v/>
      </c>
      <c r="EB30" s="94" t="str">
        <f t="shared" si="384"/>
        <v/>
      </c>
      <c r="EC30" s="95">
        <f t="shared" si="385"/>
        <v>0</v>
      </c>
      <c r="ED30" s="96" t="str">
        <f t="shared" si="386"/>
        <v/>
      </c>
      <c r="EE30" s="97" t="str">
        <f t="shared" si="387"/>
        <v/>
      </c>
      <c r="EF30" s="98">
        <f t="shared" si="388"/>
        <v>0</v>
      </c>
      <c r="EG30" s="93" t="str">
        <f t="shared" si="389"/>
        <v/>
      </c>
      <c r="EH30" s="94" t="str">
        <f t="shared" si="390"/>
        <v/>
      </c>
      <c r="EI30" s="95">
        <f t="shared" si="391"/>
        <v>0</v>
      </c>
      <c r="EJ30" s="96" t="str">
        <f t="shared" si="392"/>
        <v/>
      </c>
      <c r="EK30" s="97" t="str">
        <f t="shared" si="393"/>
        <v/>
      </c>
      <c r="EL30" s="98">
        <f t="shared" si="394"/>
        <v>0</v>
      </c>
      <c r="EM30" s="93" t="str">
        <f t="shared" si="395"/>
        <v/>
      </c>
      <c r="EN30" s="94" t="str">
        <f t="shared" si="396"/>
        <v/>
      </c>
      <c r="EO30" s="95">
        <f t="shared" si="397"/>
        <v>0</v>
      </c>
      <c r="EP30" s="96" t="str">
        <f t="shared" si="398"/>
        <v/>
      </c>
      <c r="EQ30" s="97" t="str">
        <f t="shared" si="399"/>
        <v/>
      </c>
      <c r="ER30" s="98">
        <f t="shared" si="400"/>
        <v>0</v>
      </c>
      <c r="ES30" s="93" t="str">
        <f t="shared" si="401"/>
        <v/>
      </c>
      <c r="ET30" s="94" t="str">
        <f t="shared" si="402"/>
        <v/>
      </c>
      <c r="EU30" s="95">
        <f t="shared" si="403"/>
        <v>0</v>
      </c>
      <c r="EV30" s="96" t="str">
        <f t="shared" si="404"/>
        <v/>
      </c>
      <c r="EW30" s="97" t="str">
        <f t="shared" si="405"/>
        <v/>
      </c>
      <c r="EX30" s="98">
        <f t="shared" si="406"/>
        <v>0</v>
      </c>
      <c r="EY30" s="93" t="str">
        <f t="shared" si="407"/>
        <v/>
      </c>
      <c r="EZ30" s="94" t="str">
        <f t="shared" si="408"/>
        <v/>
      </c>
      <c r="FA30" s="95">
        <f t="shared" si="409"/>
        <v>0</v>
      </c>
      <c r="FB30" s="96" t="str">
        <f t="shared" si="410"/>
        <v/>
      </c>
      <c r="FC30" s="97" t="str">
        <f t="shared" si="411"/>
        <v/>
      </c>
      <c r="FD30" s="98">
        <f t="shared" si="412"/>
        <v>0</v>
      </c>
      <c r="FE30" s="93" t="str">
        <f t="shared" si="413"/>
        <v/>
      </c>
      <c r="FF30" s="94" t="str">
        <f t="shared" si="414"/>
        <v/>
      </c>
      <c r="FG30" s="95">
        <f t="shared" si="415"/>
        <v>0</v>
      </c>
      <c r="FH30" s="96" t="str">
        <f t="shared" si="416"/>
        <v/>
      </c>
      <c r="FI30" s="97" t="str">
        <f t="shared" si="417"/>
        <v/>
      </c>
      <c r="FJ30" s="98">
        <f t="shared" si="418"/>
        <v>0</v>
      </c>
    </row>
    <row r="31" ht="15.75" customHeight="1">
      <c r="A31" s="6" t="str">
        <f>Menus!B23</f>
        <v/>
      </c>
      <c r="B31" s="16">
        <f t="shared" si="256"/>
        <v>0</v>
      </c>
      <c r="C31" s="16">
        <f t="shared" si="257"/>
        <v>0</v>
      </c>
      <c r="D31" s="16">
        <f t="shared" si="254"/>
        <v>0</v>
      </c>
      <c r="E31" s="87" t="str">
        <f t="shared" si="258"/>
        <v/>
      </c>
      <c r="F31" s="88" t="str">
        <f t="shared" si="259"/>
        <v/>
      </c>
      <c r="G31" s="89">
        <f t="shared" si="255"/>
        <v>0</v>
      </c>
      <c r="H31" s="90" t="str">
        <f t="shared" si="260"/>
        <v/>
      </c>
      <c r="I31" s="91" t="str">
        <f t="shared" si="261"/>
        <v/>
      </c>
      <c r="J31" s="92">
        <f t="shared" si="262"/>
        <v>0</v>
      </c>
      <c r="K31" s="93" t="str">
        <f t="shared" si="263"/>
        <v/>
      </c>
      <c r="L31" s="94" t="str">
        <f t="shared" si="264"/>
        <v/>
      </c>
      <c r="M31" s="95">
        <f t="shared" si="265"/>
        <v>0</v>
      </c>
      <c r="N31" s="96" t="str">
        <f t="shared" si="266"/>
        <v/>
      </c>
      <c r="O31" s="97" t="str">
        <f t="shared" si="267"/>
        <v/>
      </c>
      <c r="P31" s="98">
        <f t="shared" si="268"/>
        <v>0</v>
      </c>
      <c r="Q31" s="93" t="str">
        <f t="shared" si="269"/>
        <v/>
      </c>
      <c r="R31" s="94" t="str">
        <f t="shared" si="270"/>
        <v/>
      </c>
      <c r="S31" s="95">
        <f t="shared" si="271"/>
        <v>0</v>
      </c>
      <c r="T31" s="96" t="str">
        <f t="shared" si="272"/>
        <v/>
      </c>
      <c r="U31" s="97" t="str">
        <f t="shared" si="273"/>
        <v/>
      </c>
      <c r="V31" s="98">
        <f t="shared" si="274"/>
        <v>0</v>
      </c>
      <c r="W31" s="93" t="str">
        <f t="shared" si="275"/>
        <v/>
      </c>
      <c r="X31" s="94" t="str">
        <f t="shared" si="276"/>
        <v/>
      </c>
      <c r="Y31" s="95">
        <f t="shared" si="277"/>
        <v>0</v>
      </c>
      <c r="Z31" s="96" t="str">
        <f t="shared" si="278"/>
        <v/>
      </c>
      <c r="AA31" s="97" t="str">
        <f t="shared" si="279"/>
        <v/>
      </c>
      <c r="AB31" s="98">
        <f t="shared" si="280"/>
        <v>0</v>
      </c>
      <c r="AC31" s="93" t="str">
        <f t="shared" si="281"/>
        <v/>
      </c>
      <c r="AD31" s="94" t="str">
        <f t="shared" si="282"/>
        <v/>
      </c>
      <c r="AE31" s="95">
        <f t="shared" si="283"/>
        <v>0</v>
      </c>
      <c r="AF31" s="96" t="str">
        <f t="shared" si="284"/>
        <v/>
      </c>
      <c r="AG31" s="97" t="str">
        <f t="shared" si="285"/>
        <v/>
      </c>
      <c r="AH31" s="98">
        <f t="shared" si="286"/>
        <v>0</v>
      </c>
      <c r="AI31" s="93" t="str">
        <f t="shared" si="287"/>
        <v/>
      </c>
      <c r="AJ31" s="94" t="str">
        <f t="shared" si="288"/>
        <v/>
      </c>
      <c r="AK31" s="95">
        <f t="shared" si="289"/>
        <v>0</v>
      </c>
      <c r="AL31" s="96" t="str">
        <f t="shared" si="290"/>
        <v/>
      </c>
      <c r="AM31" s="97" t="str">
        <f t="shared" si="291"/>
        <v/>
      </c>
      <c r="AN31" s="98">
        <f t="shared" si="292"/>
        <v>0</v>
      </c>
      <c r="AO31" s="93" t="str">
        <f t="shared" si="293"/>
        <v/>
      </c>
      <c r="AP31" s="94" t="str">
        <f t="shared" si="294"/>
        <v/>
      </c>
      <c r="AQ31" s="95">
        <f t="shared" si="295"/>
        <v>0</v>
      </c>
      <c r="AR31" s="96" t="str">
        <f t="shared" si="296"/>
        <v/>
      </c>
      <c r="AS31" s="97" t="str">
        <f t="shared" si="297"/>
        <v/>
      </c>
      <c r="AT31" s="98">
        <f t="shared" si="298"/>
        <v>0</v>
      </c>
      <c r="AU31" s="93" t="str">
        <f t="shared" si="299"/>
        <v/>
      </c>
      <c r="AV31" s="94" t="str">
        <f t="shared" si="300"/>
        <v/>
      </c>
      <c r="AW31" s="95">
        <f t="shared" si="301"/>
        <v>0</v>
      </c>
      <c r="AX31" s="96" t="str">
        <f t="shared" si="302"/>
        <v/>
      </c>
      <c r="AY31" s="97" t="str">
        <f t="shared" si="303"/>
        <v/>
      </c>
      <c r="AZ31" s="98">
        <f t="shared" si="304"/>
        <v>0</v>
      </c>
      <c r="BA31" s="93" t="str">
        <f t="shared" si="305"/>
        <v/>
      </c>
      <c r="BB31" s="94" t="str">
        <f t="shared" si="306"/>
        <v/>
      </c>
      <c r="BC31" s="95">
        <f t="shared" si="307"/>
        <v>0</v>
      </c>
      <c r="BD31" s="96" t="str">
        <f t="shared" si="308"/>
        <v/>
      </c>
      <c r="BE31" s="97" t="str">
        <f t="shared" si="309"/>
        <v/>
      </c>
      <c r="BF31" s="98">
        <f t="shared" si="310"/>
        <v>0</v>
      </c>
      <c r="BG31" s="93" t="str">
        <f t="shared" si="311"/>
        <v/>
      </c>
      <c r="BH31" s="94" t="str">
        <f t="shared" si="312"/>
        <v/>
      </c>
      <c r="BI31" s="95">
        <f t="shared" si="313"/>
        <v>0</v>
      </c>
      <c r="BJ31" s="96" t="str">
        <f t="shared" si="314"/>
        <v/>
      </c>
      <c r="BK31" s="97" t="str">
        <f t="shared" si="315"/>
        <v/>
      </c>
      <c r="BL31" s="98">
        <f t="shared" si="316"/>
        <v>0</v>
      </c>
      <c r="BM31" s="93" t="str">
        <f t="shared" si="317"/>
        <v/>
      </c>
      <c r="BN31" s="94" t="str">
        <f t="shared" si="318"/>
        <v/>
      </c>
      <c r="BO31" s="95">
        <f t="shared" si="319"/>
        <v>0</v>
      </c>
      <c r="BP31" s="96" t="str">
        <f t="shared" si="320"/>
        <v/>
      </c>
      <c r="BQ31" s="97" t="str">
        <f t="shared" si="321"/>
        <v/>
      </c>
      <c r="BR31" s="98">
        <f t="shared" si="322"/>
        <v>0</v>
      </c>
      <c r="BS31" s="93" t="str">
        <f t="shared" si="323"/>
        <v/>
      </c>
      <c r="BT31" s="94" t="str">
        <f t="shared" si="324"/>
        <v/>
      </c>
      <c r="BU31" s="95">
        <f t="shared" si="325"/>
        <v>0</v>
      </c>
      <c r="BV31" s="96" t="str">
        <f t="shared" si="326"/>
        <v/>
      </c>
      <c r="BW31" s="97" t="str">
        <f t="shared" si="327"/>
        <v/>
      </c>
      <c r="BX31" s="98">
        <f t="shared" si="328"/>
        <v>0</v>
      </c>
      <c r="BY31" s="93" t="str">
        <f t="shared" si="329"/>
        <v/>
      </c>
      <c r="BZ31" s="94" t="str">
        <f t="shared" si="330"/>
        <v/>
      </c>
      <c r="CA31" s="95">
        <f t="shared" si="331"/>
        <v>0</v>
      </c>
      <c r="CB31" s="96" t="str">
        <f t="shared" si="332"/>
        <v/>
      </c>
      <c r="CC31" s="97" t="str">
        <f t="shared" si="333"/>
        <v/>
      </c>
      <c r="CD31" s="98">
        <f t="shared" si="334"/>
        <v>0</v>
      </c>
      <c r="CE31" s="93" t="str">
        <f t="shared" si="335"/>
        <v/>
      </c>
      <c r="CF31" s="94" t="str">
        <f t="shared" si="336"/>
        <v/>
      </c>
      <c r="CG31" s="95">
        <f t="shared" si="337"/>
        <v>0</v>
      </c>
      <c r="CH31" s="96" t="str">
        <f t="shared" si="338"/>
        <v/>
      </c>
      <c r="CI31" s="97" t="str">
        <f t="shared" si="339"/>
        <v/>
      </c>
      <c r="CJ31" s="98">
        <f t="shared" si="340"/>
        <v>0</v>
      </c>
      <c r="CK31" s="93" t="str">
        <f t="shared" si="341"/>
        <v/>
      </c>
      <c r="CL31" s="94" t="str">
        <f t="shared" si="342"/>
        <v/>
      </c>
      <c r="CM31" s="95">
        <f t="shared" si="343"/>
        <v>0</v>
      </c>
      <c r="CN31" s="96" t="str">
        <f t="shared" si="344"/>
        <v/>
      </c>
      <c r="CO31" s="97" t="str">
        <f t="shared" si="345"/>
        <v/>
      </c>
      <c r="CP31" s="98">
        <f t="shared" si="346"/>
        <v>0</v>
      </c>
      <c r="CQ31" s="93" t="str">
        <f t="shared" si="347"/>
        <v/>
      </c>
      <c r="CR31" s="94" t="str">
        <f t="shared" si="348"/>
        <v/>
      </c>
      <c r="CS31" s="95">
        <f t="shared" si="349"/>
        <v>0</v>
      </c>
      <c r="CT31" s="96" t="str">
        <f t="shared" si="350"/>
        <v/>
      </c>
      <c r="CU31" s="97" t="str">
        <f t="shared" si="351"/>
        <v/>
      </c>
      <c r="CV31" s="98">
        <f t="shared" si="352"/>
        <v>0</v>
      </c>
      <c r="CW31" s="93" t="str">
        <f t="shared" si="353"/>
        <v/>
      </c>
      <c r="CX31" s="94" t="str">
        <f t="shared" si="354"/>
        <v/>
      </c>
      <c r="CY31" s="95">
        <f t="shared" si="355"/>
        <v>0</v>
      </c>
      <c r="CZ31" s="96" t="str">
        <f t="shared" si="356"/>
        <v/>
      </c>
      <c r="DA31" s="97" t="str">
        <f t="shared" si="357"/>
        <v/>
      </c>
      <c r="DB31" s="98">
        <f t="shared" si="358"/>
        <v>0</v>
      </c>
      <c r="DC31" s="93" t="str">
        <f t="shared" si="359"/>
        <v/>
      </c>
      <c r="DD31" s="94" t="str">
        <f t="shared" si="360"/>
        <v/>
      </c>
      <c r="DE31" s="95">
        <f t="shared" si="361"/>
        <v>0</v>
      </c>
      <c r="DF31" s="96" t="str">
        <f t="shared" si="362"/>
        <v/>
      </c>
      <c r="DG31" s="97" t="str">
        <f t="shared" si="363"/>
        <v/>
      </c>
      <c r="DH31" s="98">
        <f t="shared" si="364"/>
        <v>0</v>
      </c>
      <c r="DI31" s="93" t="str">
        <f t="shared" si="365"/>
        <v/>
      </c>
      <c r="DJ31" s="94" t="str">
        <f t="shared" si="366"/>
        <v/>
      </c>
      <c r="DK31" s="95">
        <f t="shared" si="367"/>
        <v>0</v>
      </c>
      <c r="DL31" s="96" t="str">
        <f t="shared" si="368"/>
        <v/>
      </c>
      <c r="DM31" s="97" t="str">
        <f t="shared" si="369"/>
        <v/>
      </c>
      <c r="DN31" s="98">
        <f t="shared" si="370"/>
        <v>0</v>
      </c>
      <c r="DO31" s="93" t="str">
        <f t="shared" si="371"/>
        <v/>
      </c>
      <c r="DP31" s="94" t="str">
        <f t="shared" si="372"/>
        <v/>
      </c>
      <c r="DQ31" s="95">
        <f t="shared" si="373"/>
        <v>0</v>
      </c>
      <c r="DR31" s="96" t="str">
        <f t="shared" si="374"/>
        <v/>
      </c>
      <c r="DS31" s="97" t="str">
        <f t="shared" si="375"/>
        <v/>
      </c>
      <c r="DT31" s="98">
        <f t="shared" si="376"/>
        <v>0</v>
      </c>
      <c r="DU31" s="93" t="str">
        <f t="shared" si="377"/>
        <v/>
      </c>
      <c r="DV31" s="94" t="str">
        <f t="shared" si="378"/>
        <v/>
      </c>
      <c r="DW31" s="95">
        <f t="shared" si="379"/>
        <v>0</v>
      </c>
      <c r="DX31" s="96" t="str">
        <f t="shared" si="380"/>
        <v/>
      </c>
      <c r="DY31" s="97" t="str">
        <f t="shared" si="381"/>
        <v/>
      </c>
      <c r="DZ31" s="98">
        <f t="shared" si="382"/>
        <v>0</v>
      </c>
      <c r="EA31" s="93" t="str">
        <f t="shared" si="383"/>
        <v/>
      </c>
      <c r="EB31" s="94" t="str">
        <f t="shared" si="384"/>
        <v/>
      </c>
      <c r="EC31" s="95">
        <f t="shared" si="385"/>
        <v>0</v>
      </c>
      <c r="ED31" s="96" t="str">
        <f t="shared" si="386"/>
        <v/>
      </c>
      <c r="EE31" s="97" t="str">
        <f t="shared" si="387"/>
        <v/>
      </c>
      <c r="EF31" s="98">
        <f t="shared" si="388"/>
        <v>0</v>
      </c>
      <c r="EG31" s="93" t="str">
        <f t="shared" si="389"/>
        <v/>
      </c>
      <c r="EH31" s="94" t="str">
        <f t="shared" si="390"/>
        <v/>
      </c>
      <c r="EI31" s="95">
        <f t="shared" si="391"/>
        <v>0</v>
      </c>
      <c r="EJ31" s="96" t="str">
        <f t="shared" si="392"/>
        <v/>
      </c>
      <c r="EK31" s="97" t="str">
        <f t="shared" si="393"/>
        <v/>
      </c>
      <c r="EL31" s="98">
        <f t="shared" si="394"/>
        <v>0</v>
      </c>
      <c r="EM31" s="93" t="str">
        <f t="shared" si="395"/>
        <v/>
      </c>
      <c r="EN31" s="94" t="str">
        <f t="shared" si="396"/>
        <v/>
      </c>
      <c r="EO31" s="95">
        <f t="shared" si="397"/>
        <v>0</v>
      </c>
      <c r="EP31" s="96" t="str">
        <f t="shared" si="398"/>
        <v/>
      </c>
      <c r="EQ31" s="97" t="str">
        <f t="shared" si="399"/>
        <v/>
      </c>
      <c r="ER31" s="98">
        <f t="shared" si="400"/>
        <v>0</v>
      </c>
      <c r="ES31" s="93" t="str">
        <f t="shared" si="401"/>
        <v/>
      </c>
      <c r="ET31" s="94" t="str">
        <f t="shared" si="402"/>
        <v/>
      </c>
      <c r="EU31" s="95">
        <f t="shared" si="403"/>
        <v>0</v>
      </c>
      <c r="EV31" s="96" t="str">
        <f t="shared" si="404"/>
        <v/>
      </c>
      <c r="EW31" s="97" t="str">
        <f t="shared" si="405"/>
        <v/>
      </c>
      <c r="EX31" s="98">
        <f t="shared" si="406"/>
        <v>0</v>
      </c>
      <c r="EY31" s="93" t="str">
        <f t="shared" si="407"/>
        <v/>
      </c>
      <c r="EZ31" s="94" t="str">
        <f t="shared" si="408"/>
        <v/>
      </c>
      <c r="FA31" s="95">
        <f t="shared" si="409"/>
        <v>0</v>
      </c>
      <c r="FB31" s="96" t="str">
        <f t="shared" si="410"/>
        <v/>
      </c>
      <c r="FC31" s="97" t="str">
        <f t="shared" si="411"/>
        <v/>
      </c>
      <c r="FD31" s="98">
        <f t="shared" si="412"/>
        <v>0</v>
      </c>
      <c r="FE31" s="93" t="str">
        <f t="shared" si="413"/>
        <v/>
      </c>
      <c r="FF31" s="94" t="str">
        <f t="shared" si="414"/>
        <v/>
      </c>
      <c r="FG31" s="95">
        <f t="shared" si="415"/>
        <v>0</v>
      </c>
      <c r="FH31" s="96" t="str">
        <f t="shared" si="416"/>
        <v/>
      </c>
      <c r="FI31" s="97" t="str">
        <f t="shared" si="417"/>
        <v/>
      </c>
      <c r="FJ31" s="98">
        <f t="shared" si="418"/>
        <v>0</v>
      </c>
    </row>
    <row r="32" ht="15.75" customHeight="1">
      <c r="A32" s="6" t="str">
        <f>Menus!B24</f>
        <v/>
      </c>
      <c r="B32" s="16">
        <f t="shared" si="256"/>
        <v>0</v>
      </c>
      <c r="C32" s="16">
        <f t="shared" si="257"/>
        <v>0</v>
      </c>
      <c r="D32" s="16">
        <f t="shared" si="254"/>
        <v>0</v>
      </c>
      <c r="E32" s="87" t="str">
        <f t="shared" si="258"/>
        <v/>
      </c>
      <c r="F32" s="88" t="str">
        <f t="shared" si="259"/>
        <v/>
      </c>
      <c r="G32" s="89">
        <f t="shared" si="255"/>
        <v>0</v>
      </c>
      <c r="H32" s="90" t="str">
        <f t="shared" si="260"/>
        <v/>
      </c>
      <c r="I32" s="91" t="str">
        <f t="shared" si="261"/>
        <v/>
      </c>
      <c r="J32" s="92">
        <f t="shared" si="262"/>
        <v>0</v>
      </c>
      <c r="K32" s="93" t="str">
        <f t="shared" si="263"/>
        <v/>
      </c>
      <c r="L32" s="94" t="str">
        <f t="shared" si="264"/>
        <v/>
      </c>
      <c r="M32" s="95">
        <f t="shared" si="265"/>
        <v>0</v>
      </c>
      <c r="N32" s="96" t="str">
        <f t="shared" si="266"/>
        <v/>
      </c>
      <c r="O32" s="97" t="str">
        <f t="shared" si="267"/>
        <v/>
      </c>
      <c r="P32" s="98">
        <f t="shared" si="268"/>
        <v>0</v>
      </c>
      <c r="Q32" s="93" t="str">
        <f t="shared" si="269"/>
        <v/>
      </c>
      <c r="R32" s="94" t="str">
        <f t="shared" si="270"/>
        <v/>
      </c>
      <c r="S32" s="95">
        <f t="shared" si="271"/>
        <v>0</v>
      </c>
      <c r="T32" s="96" t="str">
        <f t="shared" si="272"/>
        <v/>
      </c>
      <c r="U32" s="97" t="str">
        <f t="shared" si="273"/>
        <v/>
      </c>
      <c r="V32" s="98">
        <f t="shared" si="274"/>
        <v>0</v>
      </c>
      <c r="W32" s="93" t="str">
        <f t="shared" si="275"/>
        <v/>
      </c>
      <c r="X32" s="94" t="str">
        <f t="shared" si="276"/>
        <v/>
      </c>
      <c r="Y32" s="95">
        <f t="shared" si="277"/>
        <v>0</v>
      </c>
      <c r="Z32" s="96" t="str">
        <f t="shared" si="278"/>
        <v/>
      </c>
      <c r="AA32" s="97" t="str">
        <f t="shared" si="279"/>
        <v/>
      </c>
      <c r="AB32" s="98">
        <f t="shared" si="280"/>
        <v>0</v>
      </c>
      <c r="AC32" s="93" t="str">
        <f t="shared" si="281"/>
        <v/>
      </c>
      <c r="AD32" s="94" t="str">
        <f t="shared" si="282"/>
        <v/>
      </c>
      <c r="AE32" s="95">
        <f t="shared" si="283"/>
        <v>0</v>
      </c>
      <c r="AF32" s="96" t="str">
        <f t="shared" si="284"/>
        <v/>
      </c>
      <c r="AG32" s="97" t="str">
        <f t="shared" si="285"/>
        <v/>
      </c>
      <c r="AH32" s="98">
        <f t="shared" si="286"/>
        <v>0</v>
      </c>
      <c r="AI32" s="93" t="str">
        <f t="shared" si="287"/>
        <v/>
      </c>
      <c r="AJ32" s="94" t="str">
        <f t="shared" si="288"/>
        <v/>
      </c>
      <c r="AK32" s="95">
        <f t="shared" si="289"/>
        <v>0</v>
      </c>
      <c r="AL32" s="96" t="str">
        <f t="shared" si="290"/>
        <v/>
      </c>
      <c r="AM32" s="97" t="str">
        <f t="shared" si="291"/>
        <v/>
      </c>
      <c r="AN32" s="98">
        <f t="shared" si="292"/>
        <v>0</v>
      </c>
      <c r="AO32" s="93" t="str">
        <f t="shared" si="293"/>
        <v/>
      </c>
      <c r="AP32" s="94" t="str">
        <f t="shared" si="294"/>
        <v/>
      </c>
      <c r="AQ32" s="95">
        <f t="shared" si="295"/>
        <v>0</v>
      </c>
      <c r="AR32" s="96" t="str">
        <f t="shared" si="296"/>
        <v/>
      </c>
      <c r="AS32" s="97" t="str">
        <f t="shared" si="297"/>
        <v/>
      </c>
      <c r="AT32" s="98">
        <f t="shared" si="298"/>
        <v>0</v>
      </c>
      <c r="AU32" s="93" t="str">
        <f t="shared" si="299"/>
        <v/>
      </c>
      <c r="AV32" s="94" t="str">
        <f t="shared" si="300"/>
        <v/>
      </c>
      <c r="AW32" s="95">
        <f t="shared" si="301"/>
        <v>0</v>
      </c>
      <c r="AX32" s="96" t="str">
        <f t="shared" si="302"/>
        <v/>
      </c>
      <c r="AY32" s="97" t="str">
        <f t="shared" si="303"/>
        <v/>
      </c>
      <c r="AZ32" s="98">
        <f t="shared" si="304"/>
        <v>0</v>
      </c>
      <c r="BA32" s="93" t="str">
        <f t="shared" si="305"/>
        <v/>
      </c>
      <c r="BB32" s="94" t="str">
        <f t="shared" si="306"/>
        <v/>
      </c>
      <c r="BC32" s="95">
        <f t="shared" si="307"/>
        <v>0</v>
      </c>
      <c r="BD32" s="96" t="str">
        <f t="shared" si="308"/>
        <v/>
      </c>
      <c r="BE32" s="97" t="str">
        <f t="shared" si="309"/>
        <v/>
      </c>
      <c r="BF32" s="98">
        <f t="shared" si="310"/>
        <v>0</v>
      </c>
      <c r="BG32" s="93" t="str">
        <f t="shared" si="311"/>
        <v/>
      </c>
      <c r="BH32" s="94" t="str">
        <f t="shared" si="312"/>
        <v/>
      </c>
      <c r="BI32" s="95">
        <f t="shared" si="313"/>
        <v>0</v>
      </c>
      <c r="BJ32" s="96" t="str">
        <f t="shared" si="314"/>
        <v/>
      </c>
      <c r="BK32" s="97" t="str">
        <f t="shared" si="315"/>
        <v/>
      </c>
      <c r="BL32" s="98">
        <f t="shared" si="316"/>
        <v>0</v>
      </c>
      <c r="BM32" s="93" t="str">
        <f t="shared" si="317"/>
        <v/>
      </c>
      <c r="BN32" s="94" t="str">
        <f t="shared" si="318"/>
        <v/>
      </c>
      <c r="BO32" s="95">
        <f t="shared" si="319"/>
        <v>0</v>
      </c>
      <c r="BP32" s="96" t="str">
        <f t="shared" si="320"/>
        <v/>
      </c>
      <c r="BQ32" s="97" t="str">
        <f t="shared" si="321"/>
        <v/>
      </c>
      <c r="BR32" s="98">
        <f t="shared" si="322"/>
        <v>0</v>
      </c>
      <c r="BS32" s="93" t="str">
        <f t="shared" si="323"/>
        <v/>
      </c>
      <c r="BT32" s="94" t="str">
        <f t="shared" si="324"/>
        <v/>
      </c>
      <c r="BU32" s="95">
        <f t="shared" si="325"/>
        <v>0</v>
      </c>
      <c r="BV32" s="96" t="str">
        <f t="shared" si="326"/>
        <v/>
      </c>
      <c r="BW32" s="97" t="str">
        <f t="shared" si="327"/>
        <v/>
      </c>
      <c r="BX32" s="98">
        <f t="shared" si="328"/>
        <v>0</v>
      </c>
      <c r="BY32" s="93" t="str">
        <f t="shared" si="329"/>
        <v/>
      </c>
      <c r="BZ32" s="94" t="str">
        <f t="shared" si="330"/>
        <v/>
      </c>
      <c r="CA32" s="95">
        <f t="shared" si="331"/>
        <v>0</v>
      </c>
      <c r="CB32" s="96" t="str">
        <f t="shared" si="332"/>
        <v/>
      </c>
      <c r="CC32" s="97" t="str">
        <f t="shared" si="333"/>
        <v/>
      </c>
      <c r="CD32" s="98">
        <f t="shared" si="334"/>
        <v>0</v>
      </c>
      <c r="CE32" s="93" t="str">
        <f t="shared" si="335"/>
        <v/>
      </c>
      <c r="CF32" s="94" t="str">
        <f t="shared" si="336"/>
        <v/>
      </c>
      <c r="CG32" s="95">
        <f t="shared" si="337"/>
        <v>0</v>
      </c>
      <c r="CH32" s="96" t="str">
        <f t="shared" si="338"/>
        <v/>
      </c>
      <c r="CI32" s="97" t="str">
        <f t="shared" si="339"/>
        <v/>
      </c>
      <c r="CJ32" s="98">
        <f t="shared" si="340"/>
        <v>0</v>
      </c>
      <c r="CK32" s="93" t="str">
        <f t="shared" si="341"/>
        <v/>
      </c>
      <c r="CL32" s="94" t="str">
        <f t="shared" si="342"/>
        <v/>
      </c>
      <c r="CM32" s="95">
        <f t="shared" si="343"/>
        <v>0</v>
      </c>
      <c r="CN32" s="96" t="str">
        <f t="shared" si="344"/>
        <v/>
      </c>
      <c r="CO32" s="97" t="str">
        <f t="shared" si="345"/>
        <v/>
      </c>
      <c r="CP32" s="98">
        <f t="shared" si="346"/>
        <v>0</v>
      </c>
      <c r="CQ32" s="93" t="str">
        <f t="shared" si="347"/>
        <v/>
      </c>
      <c r="CR32" s="94" t="str">
        <f t="shared" si="348"/>
        <v/>
      </c>
      <c r="CS32" s="95">
        <f t="shared" si="349"/>
        <v>0</v>
      </c>
      <c r="CT32" s="96" t="str">
        <f t="shared" si="350"/>
        <v/>
      </c>
      <c r="CU32" s="97" t="str">
        <f t="shared" si="351"/>
        <v/>
      </c>
      <c r="CV32" s="98">
        <f t="shared" si="352"/>
        <v>0</v>
      </c>
      <c r="CW32" s="93" t="str">
        <f t="shared" si="353"/>
        <v/>
      </c>
      <c r="CX32" s="94" t="str">
        <f t="shared" si="354"/>
        <v/>
      </c>
      <c r="CY32" s="95">
        <f t="shared" si="355"/>
        <v>0</v>
      </c>
      <c r="CZ32" s="96" t="str">
        <f t="shared" si="356"/>
        <v/>
      </c>
      <c r="DA32" s="97" t="str">
        <f t="shared" si="357"/>
        <v/>
      </c>
      <c r="DB32" s="98">
        <f t="shared" si="358"/>
        <v>0</v>
      </c>
      <c r="DC32" s="93" t="str">
        <f t="shared" si="359"/>
        <v/>
      </c>
      <c r="DD32" s="94" t="str">
        <f t="shared" si="360"/>
        <v/>
      </c>
      <c r="DE32" s="95">
        <f t="shared" si="361"/>
        <v>0</v>
      </c>
      <c r="DF32" s="96" t="str">
        <f t="shared" si="362"/>
        <v/>
      </c>
      <c r="DG32" s="97" t="str">
        <f t="shared" si="363"/>
        <v/>
      </c>
      <c r="DH32" s="98">
        <f t="shared" si="364"/>
        <v>0</v>
      </c>
      <c r="DI32" s="93" t="str">
        <f t="shared" si="365"/>
        <v/>
      </c>
      <c r="DJ32" s="94" t="str">
        <f t="shared" si="366"/>
        <v/>
      </c>
      <c r="DK32" s="95">
        <f t="shared" si="367"/>
        <v>0</v>
      </c>
      <c r="DL32" s="96" t="str">
        <f t="shared" si="368"/>
        <v/>
      </c>
      <c r="DM32" s="97" t="str">
        <f t="shared" si="369"/>
        <v/>
      </c>
      <c r="DN32" s="98">
        <f t="shared" si="370"/>
        <v>0</v>
      </c>
      <c r="DO32" s="93" t="str">
        <f t="shared" si="371"/>
        <v/>
      </c>
      <c r="DP32" s="94" t="str">
        <f t="shared" si="372"/>
        <v/>
      </c>
      <c r="DQ32" s="95">
        <f t="shared" si="373"/>
        <v>0</v>
      </c>
      <c r="DR32" s="96" t="str">
        <f t="shared" si="374"/>
        <v/>
      </c>
      <c r="DS32" s="97" t="str">
        <f t="shared" si="375"/>
        <v/>
      </c>
      <c r="DT32" s="98">
        <f t="shared" si="376"/>
        <v>0</v>
      </c>
      <c r="DU32" s="93" t="str">
        <f t="shared" si="377"/>
        <v/>
      </c>
      <c r="DV32" s="94" t="str">
        <f t="shared" si="378"/>
        <v/>
      </c>
      <c r="DW32" s="95">
        <f t="shared" si="379"/>
        <v>0</v>
      </c>
      <c r="DX32" s="96" t="str">
        <f t="shared" si="380"/>
        <v/>
      </c>
      <c r="DY32" s="97" t="str">
        <f t="shared" si="381"/>
        <v/>
      </c>
      <c r="DZ32" s="98">
        <f t="shared" si="382"/>
        <v>0</v>
      </c>
      <c r="EA32" s="93" t="str">
        <f t="shared" si="383"/>
        <v/>
      </c>
      <c r="EB32" s="94" t="str">
        <f t="shared" si="384"/>
        <v/>
      </c>
      <c r="EC32" s="95">
        <f t="shared" si="385"/>
        <v>0</v>
      </c>
      <c r="ED32" s="96" t="str">
        <f t="shared" si="386"/>
        <v/>
      </c>
      <c r="EE32" s="97" t="str">
        <f t="shared" si="387"/>
        <v/>
      </c>
      <c r="EF32" s="98">
        <f t="shared" si="388"/>
        <v>0</v>
      </c>
      <c r="EG32" s="93" t="str">
        <f t="shared" si="389"/>
        <v/>
      </c>
      <c r="EH32" s="94" t="str">
        <f t="shared" si="390"/>
        <v/>
      </c>
      <c r="EI32" s="95">
        <f t="shared" si="391"/>
        <v>0</v>
      </c>
      <c r="EJ32" s="96" t="str">
        <f t="shared" si="392"/>
        <v/>
      </c>
      <c r="EK32" s="97" t="str">
        <f t="shared" si="393"/>
        <v/>
      </c>
      <c r="EL32" s="98">
        <f t="shared" si="394"/>
        <v>0</v>
      </c>
      <c r="EM32" s="93" t="str">
        <f t="shared" si="395"/>
        <v/>
      </c>
      <c r="EN32" s="94" t="str">
        <f t="shared" si="396"/>
        <v/>
      </c>
      <c r="EO32" s="95">
        <f t="shared" si="397"/>
        <v>0</v>
      </c>
      <c r="EP32" s="96" t="str">
        <f t="shared" si="398"/>
        <v/>
      </c>
      <c r="EQ32" s="97" t="str">
        <f t="shared" si="399"/>
        <v/>
      </c>
      <c r="ER32" s="98">
        <f t="shared" si="400"/>
        <v>0</v>
      </c>
      <c r="ES32" s="93" t="str">
        <f t="shared" si="401"/>
        <v/>
      </c>
      <c r="ET32" s="94" t="str">
        <f t="shared" si="402"/>
        <v/>
      </c>
      <c r="EU32" s="95">
        <f t="shared" si="403"/>
        <v>0</v>
      </c>
      <c r="EV32" s="96" t="str">
        <f t="shared" si="404"/>
        <v/>
      </c>
      <c r="EW32" s="97" t="str">
        <f t="shared" si="405"/>
        <v/>
      </c>
      <c r="EX32" s="98">
        <f t="shared" si="406"/>
        <v>0</v>
      </c>
      <c r="EY32" s="93" t="str">
        <f t="shared" si="407"/>
        <v/>
      </c>
      <c r="EZ32" s="94" t="str">
        <f t="shared" si="408"/>
        <v/>
      </c>
      <c r="FA32" s="95">
        <f t="shared" si="409"/>
        <v>0</v>
      </c>
      <c r="FB32" s="96" t="str">
        <f t="shared" si="410"/>
        <v/>
      </c>
      <c r="FC32" s="97" t="str">
        <f t="shared" si="411"/>
        <v/>
      </c>
      <c r="FD32" s="98">
        <f t="shared" si="412"/>
        <v>0</v>
      </c>
      <c r="FE32" s="93" t="str">
        <f t="shared" si="413"/>
        <v/>
      </c>
      <c r="FF32" s="94" t="str">
        <f t="shared" si="414"/>
        <v/>
      </c>
      <c r="FG32" s="95">
        <f t="shared" si="415"/>
        <v>0</v>
      </c>
      <c r="FH32" s="96" t="str">
        <f t="shared" si="416"/>
        <v/>
      </c>
      <c r="FI32" s="97" t="str">
        <f t="shared" si="417"/>
        <v/>
      </c>
      <c r="FJ32" s="98">
        <f t="shared" si="418"/>
        <v>0</v>
      </c>
    </row>
    <row r="33" ht="15.75" customHeight="1">
      <c r="A33" s="6" t="str">
        <f>Menus!B25</f>
        <v/>
      </c>
      <c r="B33" s="16">
        <f t="shared" si="256"/>
        <v>0</v>
      </c>
      <c r="C33" s="16">
        <f t="shared" si="257"/>
        <v>0</v>
      </c>
      <c r="D33" s="16">
        <f t="shared" si="254"/>
        <v>0</v>
      </c>
      <c r="E33" s="87" t="str">
        <f t="shared" si="258"/>
        <v/>
      </c>
      <c r="F33" s="88" t="str">
        <f t="shared" si="259"/>
        <v/>
      </c>
      <c r="G33" s="89">
        <f t="shared" si="255"/>
        <v>0</v>
      </c>
      <c r="H33" s="90" t="str">
        <f t="shared" si="260"/>
        <v/>
      </c>
      <c r="I33" s="91" t="str">
        <f t="shared" si="261"/>
        <v/>
      </c>
      <c r="J33" s="92">
        <f t="shared" si="262"/>
        <v>0</v>
      </c>
      <c r="K33" s="93" t="str">
        <f t="shared" si="263"/>
        <v/>
      </c>
      <c r="L33" s="94" t="str">
        <f t="shared" si="264"/>
        <v/>
      </c>
      <c r="M33" s="95">
        <f t="shared" si="265"/>
        <v>0</v>
      </c>
      <c r="N33" s="96" t="str">
        <f t="shared" si="266"/>
        <v/>
      </c>
      <c r="O33" s="97" t="str">
        <f t="shared" si="267"/>
        <v/>
      </c>
      <c r="P33" s="98">
        <f t="shared" si="268"/>
        <v>0</v>
      </c>
      <c r="Q33" s="93" t="str">
        <f t="shared" si="269"/>
        <v/>
      </c>
      <c r="R33" s="94" t="str">
        <f t="shared" si="270"/>
        <v/>
      </c>
      <c r="S33" s="95">
        <f t="shared" si="271"/>
        <v>0</v>
      </c>
      <c r="T33" s="96" t="str">
        <f t="shared" si="272"/>
        <v/>
      </c>
      <c r="U33" s="97" t="str">
        <f t="shared" si="273"/>
        <v/>
      </c>
      <c r="V33" s="98">
        <f t="shared" si="274"/>
        <v>0</v>
      </c>
      <c r="W33" s="93" t="str">
        <f t="shared" si="275"/>
        <v/>
      </c>
      <c r="X33" s="94" t="str">
        <f t="shared" si="276"/>
        <v/>
      </c>
      <c r="Y33" s="95">
        <f t="shared" si="277"/>
        <v>0</v>
      </c>
      <c r="Z33" s="96" t="str">
        <f t="shared" si="278"/>
        <v/>
      </c>
      <c r="AA33" s="97" t="str">
        <f t="shared" si="279"/>
        <v/>
      </c>
      <c r="AB33" s="98">
        <f t="shared" si="280"/>
        <v>0</v>
      </c>
      <c r="AC33" s="93" t="str">
        <f t="shared" si="281"/>
        <v/>
      </c>
      <c r="AD33" s="94" t="str">
        <f t="shared" si="282"/>
        <v/>
      </c>
      <c r="AE33" s="95">
        <f t="shared" si="283"/>
        <v>0</v>
      </c>
      <c r="AF33" s="96" t="str">
        <f t="shared" si="284"/>
        <v/>
      </c>
      <c r="AG33" s="97" t="str">
        <f t="shared" si="285"/>
        <v/>
      </c>
      <c r="AH33" s="98">
        <f t="shared" si="286"/>
        <v>0</v>
      </c>
      <c r="AI33" s="93" t="str">
        <f t="shared" si="287"/>
        <v/>
      </c>
      <c r="AJ33" s="94" t="str">
        <f t="shared" si="288"/>
        <v/>
      </c>
      <c r="AK33" s="95">
        <f t="shared" si="289"/>
        <v>0</v>
      </c>
      <c r="AL33" s="96" t="str">
        <f t="shared" si="290"/>
        <v/>
      </c>
      <c r="AM33" s="97" t="str">
        <f t="shared" si="291"/>
        <v/>
      </c>
      <c r="AN33" s="98">
        <f t="shared" si="292"/>
        <v>0</v>
      </c>
      <c r="AO33" s="93" t="str">
        <f t="shared" si="293"/>
        <v/>
      </c>
      <c r="AP33" s="94" t="str">
        <f t="shared" si="294"/>
        <v/>
      </c>
      <c r="AQ33" s="95">
        <f t="shared" si="295"/>
        <v>0</v>
      </c>
      <c r="AR33" s="96" t="str">
        <f t="shared" si="296"/>
        <v/>
      </c>
      <c r="AS33" s="97" t="str">
        <f t="shared" si="297"/>
        <v/>
      </c>
      <c r="AT33" s="98">
        <f t="shared" si="298"/>
        <v>0</v>
      </c>
      <c r="AU33" s="93" t="str">
        <f t="shared" si="299"/>
        <v/>
      </c>
      <c r="AV33" s="94" t="str">
        <f t="shared" si="300"/>
        <v/>
      </c>
      <c r="AW33" s="95">
        <f t="shared" si="301"/>
        <v>0</v>
      </c>
      <c r="AX33" s="96" t="str">
        <f t="shared" si="302"/>
        <v/>
      </c>
      <c r="AY33" s="97" t="str">
        <f t="shared" si="303"/>
        <v/>
      </c>
      <c r="AZ33" s="98">
        <f t="shared" si="304"/>
        <v>0</v>
      </c>
      <c r="BA33" s="93" t="str">
        <f t="shared" si="305"/>
        <v/>
      </c>
      <c r="BB33" s="94" t="str">
        <f t="shared" si="306"/>
        <v/>
      </c>
      <c r="BC33" s="95">
        <f t="shared" si="307"/>
        <v>0</v>
      </c>
      <c r="BD33" s="96" t="str">
        <f t="shared" si="308"/>
        <v/>
      </c>
      <c r="BE33" s="97" t="str">
        <f t="shared" si="309"/>
        <v/>
      </c>
      <c r="BF33" s="98">
        <f t="shared" si="310"/>
        <v>0</v>
      </c>
      <c r="BG33" s="93" t="str">
        <f t="shared" si="311"/>
        <v/>
      </c>
      <c r="BH33" s="94" t="str">
        <f t="shared" si="312"/>
        <v/>
      </c>
      <c r="BI33" s="95">
        <f t="shared" si="313"/>
        <v>0</v>
      </c>
      <c r="BJ33" s="96" t="str">
        <f t="shared" si="314"/>
        <v/>
      </c>
      <c r="BK33" s="97" t="str">
        <f t="shared" si="315"/>
        <v/>
      </c>
      <c r="BL33" s="98">
        <f t="shared" si="316"/>
        <v>0</v>
      </c>
      <c r="BM33" s="93" t="str">
        <f t="shared" si="317"/>
        <v/>
      </c>
      <c r="BN33" s="94" t="str">
        <f t="shared" si="318"/>
        <v/>
      </c>
      <c r="BO33" s="95">
        <f t="shared" si="319"/>
        <v>0</v>
      </c>
      <c r="BP33" s="96" t="str">
        <f t="shared" si="320"/>
        <v/>
      </c>
      <c r="BQ33" s="97" t="str">
        <f t="shared" si="321"/>
        <v/>
      </c>
      <c r="BR33" s="98">
        <f t="shared" si="322"/>
        <v>0</v>
      </c>
      <c r="BS33" s="93" t="str">
        <f t="shared" si="323"/>
        <v/>
      </c>
      <c r="BT33" s="94" t="str">
        <f t="shared" si="324"/>
        <v/>
      </c>
      <c r="BU33" s="95">
        <f t="shared" si="325"/>
        <v>0</v>
      </c>
      <c r="BV33" s="96" t="str">
        <f t="shared" si="326"/>
        <v/>
      </c>
      <c r="BW33" s="97" t="str">
        <f t="shared" si="327"/>
        <v/>
      </c>
      <c r="BX33" s="98">
        <f t="shared" si="328"/>
        <v>0</v>
      </c>
      <c r="BY33" s="93" t="str">
        <f t="shared" si="329"/>
        <v/>
      </c>
      <c r="BZ33" s="94" t="str">
        <f t="shared" si="330"/>
        <v/>
      </c>
      <c r="CA33" s="95">
        <f t="shared" si="331"/>
        <v>0</v>
      </c>
      <c r="CB33" s="96" t="str">
        <f t="shared" si="332"/>
        <v/>
      </c>
      <c r="CC33" s="97" t="str">
        <f t="shared" si="333"/>
        <v/>
      </c>
      <c r="CD33" s="98">
        <f t="shared" si="334"/>
        <v>0</v>
      </c>
      <c r="CE33" s="93" t="str">
        <f t="shared" si="335"/>
        <v/>
      </c>
      <c r="CF33" s="94" t="str">
        <f t="shared" si="336"/>
        <v/>
      </c>
      <c r="CG33" s="95">
        <f t="shared" si="337"/>
        <v>0</v>
      </c>
      <c r="CH33" s="96" t="str">
        <f t="shared" si="338"/>
        <v/>
      </c>
      <c r="CI33" s="97" t="str">
        <f t="shared" si="339"/>
        <v/>
      </c>
      <c r="CJ33" s="98">
        <f t="shared" si="340"/>
        <v>0</v>
      </c>
      <c r="CK33" s="93" t="str">
        <f t="shared" si="341"/>
        <v/>
      </c>
      <c r="CL33" s="94" t="str">
        <f t="shared" si="342"/>
        <v/>
      </c>
      <c r="CM33" s="95">
        <f t="shared" si="343"/>
        <v>0</v>
      </c>
      <c r="CN33" s="96" t="str">
        <f t="shared" si="344"/>
        <v/>
      </c>
      <c r="CO33" s="97" t="str">
        <f t="shared" si="345"/>
        <v/>
      </c>
      <c r="CP33" s="98">
        <f t="shared" si="346"/>
        <v>0</v>
      </c>
      <c r="CQ33" s="93" t="str">
        <f t="shared" si="347"/>
        <v/>
      </c>
      <c r="CR33" s="94" t="str">
        <f t="shared" si="348"/>
        <v/>
      </c>
      <c r="CS33" s="95">
        <f t="shared" si="349"/>
        <v>0</v>
      </c>
      <c r="CT33" s="96" t="str">
        <f t="shared" si="350"/>
        <v/>
      </c>
      <c r="CU33" s="97" t="str">
        <f t="shared" si="351"/>
        <v/>
      </c>
      <c r="CV33" s="98">
        <f t="shared" si="352"/>
        <v>0</v>
      </c>
      <c r="CW33" s="93" t="str">
        <f t="shared" si="353"/>
        <v/>
      </c>
      <c r="CX33" s="94" t="str">
        <f t="shared" si="354"/>
        <v/>
      </c>
      <c r="CY33" s="95">
        <f t="shared" si="355"/>
        <v>0</v>
      </c>
      <c r="CZ33" s="96" t="str">
        <f t="shared" si="356"/>
        <v/>
      </c>
      <c r="DA33" s="97" t="str">
        <f t="shared" si="357"/>
        <v/>
      </c>
      <c r="DB33" s="98">
        <f t="shared" si="358"/>
        <v>0</v>
      </c>
      <c r="DC33" s="93" t="str">
        <f t="shared" si="359"/>
        <v/>
      </c>
      <c r="DD33" s="94" t="str">
        <f t="shared" si="360"/>
        <v/>
      </c>
      <c r="DE33" s="95">
        <f t="shared" si="361"/>
        <v>0</v>
      </c>
      <c r="DF33" s="96" t="str">
        <f t="shared" si="362"/>
        <v/>
      </c>
      <c r="DG33" s="97" t="str">
        <f t="shared" si="363"/>
        <v/>
      </c>
      <c r="DH33" s="98">
        <f t="shared" si="364"/>
        <v>0</v>
      </c>
      <c r="DI33" s="93" t="str">
        <f t="shared" si="365"/>
        <v/>
      </c>
      <c r="DJ33" s="94" t="str">
        <f t="shared" si="366"/>
        <v/>
      </c>
      <c r="DK33" s="95">
        <f t="shared" si="367"/>
        <v>0</v>
      </c>
      <c r="DL33" s="96" t="str">
        <f t="shared" si="368"/>
        <v/>
      </c>
      <c r="DM33" s="97" t="str">
        <f t="shared" si="369"/>
        <v/>
      </c>
      <c r="DN33" s="98">
        <f t="shared" si="370"/>
        <v>0</v>
      </c>
      <c r="DO33" s="93" t="str">
        <f t="shared" si="371"/>
        <v/>
      </c>
      <c r="DP33" s="94" t="str">
        <f t="shared" si="372"/>
        <v/>
      </c>
      <c r="DQ33" s="95">
        <f t="shared" si="373"/>
        <v>0</v>
      </c>
      <c r="DR33" s="96" t="str">
        <f t="shared" si="374"/>
        <v/>
      </c>
      <c r="DS33" s="97" t="str">
        <f t="shared" si="375"/>
        <v/>
      </c>
      <c r="DT33" s="98">
        <f t="shared" si="376"/>
        <v>0</v>
      </c>
      <c r="DU33" s="93" t="str">
        <f t="shared" si="377"/>
        <v/>
      </c>
      <c r="DV33" s="94" t="str">
        <f t="shared" si="378"/>
        <v/>
      </c>
      <c r="DW33" s="95">
        <f t="shared" si="379"/>
        <v>0</v>
      </c>
      <c r="DX33" s="96" t="str">
        <f t="shared" si="380"/>
        <v/>
      </c>
      <c r="DY33" s="97" t="str">
        <f t="shared" si="381"/>
        <v/>
      </c>
      <c r="DZ33" s="98">
        <f t="shared" si="382"/>
        <v>0</v>
      </c>
      <c r="EA33" s="93" t="str">
        <f t="shared" si="383"/>
        <v/>
      </c>
      <c r="EB33" s="94" t="str">
        <f t="shared" si="384"/>
        <v/>
      </c>
      <c r="EC33" s="95">
        <f t="shared" si="385"/>
        <v>0</v>
      </c>
      <c r="ED33" s="96" t="str">
        <f t="shared" si="386"/>
        <v/>
      </c>
      <c r="EE33" s="97" t="str">
        <f t="shared" si="387"/>
        <v/>
      </c>
      <c r="EF33" s="98">
        <f t="shared" si="388"/>
        <v>0</v>
      </c>
      <c r="EG33" s="93" t="str">
        <f t="shared" si="389"/>
        <v/>
      </c>
      <c r="EH33" s="94" t="str">
        <f t="shared" si="390"/>
        <v/>
      </c>
      <c r="EI33" s="95">
        <f t="shared" si="391"/>
        <v>0</v>
      </c>
      <c r="EJ33" s="96" t="str">
        <f t="shared" si="392"/>
        <v/>
      </c>
      <c r="EK33" s="97" t="str">
        <f t="shared" si="393"/>
        <v/>
      </c>
      <c r="EL33" s="98">
        <f t="shared" si="394"/>
        <v>0</v>
      </c>
      <c r="EM33" s="93" t="str">
        <f t="shared" si="395"/>
        <v/>
      </c>
      <c r="EN33" s="94" t="str">
        <f t="shared" si="396"/>
        <v/>
      </c>
      <c r="EO33" s="95">
        <f t="shared" si="397"/>
        <v>0</v>
      </c>
      <c r="EP33" s="96" t="str">
        <f t="shared" si="398"/>
        <v/>
      </c>
      <c r="EQ33" s="97" t="str">
        <f t="shared" si="399"/>
        <v/>
      </c>
      <c r="ER33" s="98">
        <f t="shared" si="400"/>
        <v>0</v>
      </c>
      <c r="ES33" s="93" t="str">
        <f t="shared" si="401"/>
        <v/>
      </c>
      <c r="ET33" s="94" t="str">
        <f t="shared" si="402"/>
        <v/>
      </c>
      <c r="EU33" s="95">
        <f t="shared" si="403"/>
        <v>0</v>
      </c>
      <c r="EV33" s="96" t="str">
        <f t="shared" si="404"/>
        <v/>
      </c>
      <c r="EW33" s="97" t="str">
        <f t="shared" si="405"/>
        <v/>
      </c>
      <c r="EX33" s="98">
        <f t="shared" si="406"/>
        <v>0</v>
      </c>
      <c r="EY33" s="93" t="str">
        <f t="shared" si="407"/>
        <v/>
      </c>
      <c r="EZ33" s="94" t="str">
        <f t="shared" si="408"/>
        <v/>
      </c>
      <c r="FA33" s="95">
        <f t="shared" si="409"/>
        <v>0</v>
      </c>
      <c r="FB33" s="96" t="str">
        <f t="shared" si="410"/>
        <v/>
      </c>
      <c r="FC33" s="97" t="str">
        <f t="shared" si="411"/>
        <v/>
      </c>
      <c r="FD33" s="98">
        <f t="shared" si="412"/>
        <v>0</v>
      </c>
      <c r="FE33" s="93" t="str">
        <f t="shared" si="413"/>
        <v/>
      </c>
      <c r="FF33" s="94" t="str">
        <f t="shared" si="414"/>
        <v/>
      </c>
      <c r="FG33" s="95">
        <f t="shared" si="415"/>
        <v>0</v>
      </c>
      <c r="FH33" s="96" t="str">
        <f t="shared" si="416"/>
        <v/>
      </c>
      <c r="FI33" s="97" t="str">
        <f t="shared" si="417"/>
        <v/>
      </c>
      <c r="FJ33" s="98">
        <f t="shared" si="418"/>
        <v>0</v>
      </c>
    </row>
    <row r="34" ht="15.75" customHeight="1">
      <c r="A34" s="6" t="str">
        <f>Menus!B26</f>
        <v/>
      </c>
      <c r="B34" s="16">
        <f t="shared" si="256"/>
        <v>0</v>
      </c>
      <c r="C34" s="16">
        <f t="shared" si="257"/>
        <v>0</v>
      </c>
      <c r="D34" s="16">
        <f t="shared" si="254"/>
        <v>0</v>
      </c>
      <c r="E34" s="87" t="str">
        <f t="shared" si="258"/>
        <v/>
      </c>
      <c r="F34" s="88" t="str">
        <f t="shared" si="259"/>
        <v/>
      </c>
      <c r="G34" s="89">
        <f t="shared" si="255"/>
        <v>0</v>
      </c>
      <c r="H34" s="90" t="str">
        <f t="shared" si="260"/>
        <v/>
      </c>
      <c r="I34" s="91" t="str">
        <f t="shared" si="261"/>
        <v/>
      </c>
      <c r="J34" s="92">
        <f t="shared" si="262"/>
        <v>0</v>
      </c>
      <c r="K34" s="93" t="str">
        <f t="shared" si="263"/>
        <v/>
      </c>
      <c r="L34" s="94" t="str">
        <f t="shared" si="264"/>
        <v/>
      </c>
      <c r="M34" s="95">
        <f t="shared" si="265"/>
        <v>0</v>
      </c>
      <c r="N34" s="96" t="str">
        <f t="shared" si="266"/>
        <v/>
      </c>
      <c r="O34" s="97" t="str">
        <f t="shared" si="267"/>
        <v/>
      </c>
      <c r="P34" s="98">
        <f t="shared" si="268"/>
        <v>0</v>
      </c>
      <c r="Q34" s="93" t="str">
        <f t="shared" si="269"/>
        <v/>
      </c>
      <c r="R34" s="94" t="str">
        <f t="shared" si="270"/>
        <v/>
      </c>
      <c r="S34" s="95">
        <f t="shared" si="271"/>
        <v>0</v>
      </c>
      <c r="T34" s="96" t="str">
        <f t="shared" si="272"/>
        <v/>
      </c>
      <c r="U34" s="97" t="str">
        <f t="shared" si="273"/>
        <v/>
      </c>
      <c r="V34" s="98">
        <f t="shared" si="274"/>
        <v>0</v>
      </c>
      <c r="W34" s="93" t="str">
        <f t="shared" si="275"/>
        <v/>
      </c>
      <c r="X34" s="94" t="str">
        <f t="shared" si="276"/>
        <v/>
      </c>
      <c r="Y34" s="95">
        <f t="shared" si="277"/>
        <v>0</v>
      </c>
      <c r="Z34" s="96" t="str">
        <f t="shared" si="278"/>
        <v/>
      </c>
      <c r="AA34" s="97" t="str">
        <f t="shared" si="279"/>
        <v/>
      </c>
      <c r="AB34" s="98">
        <f t="shared" si="280"/>
        <v>0</v>
      </c>
      <c r="AC34" s="93" t="str">
        <f t="shared" si="281"/>
        <v/>
      </c>
      <c r="AD34" s="94" t="str">
        <f t="shared" si="282"/>
        <v/>
      </c>
      <c r="AE34" s="95">
        <f t="shared" si="283"/>
        <v>0</v>
      </c>
      <c r="AF34" s="96" t="str">
        <f t="shared" si="284"/>
        <v/>
      </c>
      <c r="AG34" s="97" t="str">
        <f t="shared" si="285"/>
        <v/>
      </c>
      <c r="AH34" s="98">
        <f t="shared" si="286"/>
        <v>0</v>
      </c>
      <c r="AI34" s="93" t="str">
        <f t="shared" si="287"/>
        <v/>
      </c>
      <c r="AJ34" s="94" t="str">
        <f t="shared" si="288"/>
        <v/>
      </c>
      <c r="AK34" s="95">
        <f t="shared" si="289"/>
        <v>0</v>
      </c>
      <c r="AL34" s="96" t="str">
        <f t="shared" si="290"/>
        <v/>
      </c>
      <c r="AM34" s="97" t="str">
        <f t="shared" si="291"/>
        <v/>
      </c>
      <c r="AN34" s="98">
        <f t="shared" si="292"/>
        <v>0</v>
      </c>
      <c r="AO34" s="93" t="str">
        <f t="shared" si="293"/>
        <v/>
      </c>
      <c r="AP34" s="94" t="str">
        <f t="shared" si="294"/>
        <v/>
      </c>
      <c r="AQ34" s="95">
        <f t="shared" si="295"/>
        <v>0</v>
      </c>
      <c r="AR34" s="96" t="str">
        <f t="shared" si="296"/>
        <v/>
      </c>
      <c r="AS34" s="97" t="str">
        <f t="shared" si="297"/>
        <v/>
      </c>
      <c r="AT34" s="98">
        <f t="shared" si="298"/>
        <v>0</v>
      </c>
      <c r="AU34" s="93" t="str">
        <f t="shared" si="299"/>
        <v/>
      </c>
      <c r="AV34" s="94" t="str">
        <f t="shared" si="300"/>
        <v/>
      </c>
      <c r="AW34" s="95">
        <f t="shared" si="301"/>
        <v>0</v>
      </c>
      <c r="AX34" s="96" t="str">
        <f t="shared" si="302"/>
        <v/>
      </c>
      <c r="AY34" s="97" t="str">
        <f t="shared" si="303"/>
        <v/>
      </c>
      <c r="AZ34" s="98">
        <f t="shared" si="304"/>
        <v>0</v>
      </c>
      <c r="BA34" s="93" t="str">
        <f t="shared" si="305"/>
        <v/>
      </c>
      <c r="BB34" s="94" t="str">
        <f t="shared" si="306"/>
        <v/>
      </c>
      <c r="BC34" s="95">
        <f t="shared" si="307"/>
        <v>0</v>
      </c>
      <c r="BD34" s="96" t="str">
        <f t="shared" si="308"/>
        <v/>
      </c>
      <c r="BE34" s="97" t="str">
        <f t="shared" si="309"/>
        <v/>
      </c>
      <c r="BF34" s="98">
        <f t="shared" si="310"/>
        <v>0</v>
      </c>
      <c r="BG34" s="93" t="str">
        <f t="shared" si="311"/>
        <v/>
      </c>
      <c r="BH34" s="94" t="str">
        <f t="shared" si="312"/>
        <v/>
      </c>
      <c r="BI34" s="95">
        <f t="shared" si="313"/>
        <v>0</v>
      </c>
      <c r="BJ34" s="96" t="str">
        <f t="shared" si="314"/>
        <v/>
      </c>
      <c r="BK34" s="97" t="str">
        <f t="shared" si="315"/>
        <v/>
      </c>
      <c r="BL34" s="98">
        <f t="shared" si="316"/>
        <v>0</v>
      </c>
      <c r="BM34" s="93" t="str">
        <f t="shared" si="317"/>
        <v/>
      </c>
      <c r="BN34" s="94" t="str">
        <f t="shared" si="318"/>
        <v/>
      </c>
      <c r="BO34" s="95">
        <f t="shared" si="319"/>
        <v>0</v>
      </c>
      <c r="BP34" s="96" t="str">
        <f t="shared" si="320"/>
        <v/>
      </c>
      <c r="BQ34" s="97" t="str">
        <f t="shared" si="321"/>
        <v/>
      </c>
      <c r="BR34" s="98">
        <f t="shared" si="322"/>
        <v>0</v>
      </c>
      <c r="BS34" s="93" t="str">
        <f t="shared" si="323"/>
        <v/>
      </c>
      <c r="BT34" s="94" t="str">
        <f t="shared" si="324"/>
        <v/>
      </c>
      <c r="BU34" s="95">
        <f t="shared" si="325"/>
        <v>0</v>
      </c>
      <c r="BV34" s="96" t="str">
        <f t="shared" si="326"/>
        <v/>
      </c>
      <c r="BW34" s="97" t="str">
        <f t="shared" si="327"/>
        <v/>
      </c>
      <c r="BX34" s="98">
        <f t="shared" si="328"/>
        <v>0</v>
      </c>
      <c r="BY34" s="93" t="str">
        <f t="shared" si="329"/>
        <v/>
      </c>
      <c r="BZ34" s="94" t="str">
        <f t="shared" si="330"/>
        <v/>
      </c>
      <c r="CA34" s="95">
        <f t="shared" si="331"/>
        <v>0</v>
      </c>
      <c r="CB34" s="96" t="str">
        <f t="shared" si="332"/>
        <v/>
      </c>
      <c r="CC34" s="97" t="str">
        <f t="shared" si="333"/>
        <v/>
      </c>
      <c r="CD34" s="98">
        <f t="shared" si="334"/>
        <v>0</v>
      </c>
      <c r="CE34" s="93" t="str">
        <f t="shared" si="335"/>
        <v/>
      </c>
      <c r="CF34" s="94" t="str">
        <f t="shared" si="336"/>
        <v/>
      </c>
      <c r="CG34" s="95">
        <f t="shared" si="337"/>
        <v>0</v>
      </c>
      <c r="CH34" s="96" t="str">
        <f t="shared" si="338"/>
        <v/>
      </c>
      <c r="CI34" s="97" t="str">
        <f t="shared" si="339"/>
        <v/>
      </c>
      <c r="CJ34" s="98">
        <f t="shared" si="340"/>
        <v>0</v>
      </c>
      <c r="CK34" s="93" t="str">
        <f t="shared" si="341"/>
        <v/>
      </c>
      <c r="CL34" s="94" t="str">
        <f t="shared" si="342"/>
        <v/>
      </c>
      <c r="CM34" s="95">
        <f t="shared" si="343"/>
        <v>0</v>
      </c>
      <c r="CN34" s="96" t="str">
        <f t="shared" si="344"/>
        <v/>
      </c>
      <c r="CO34" s="97" t="str">
        <f t="shared" si="345"/>
        <v/>
      </c>
      <c r="CP34" s="98">
        <f t="shared" si="346"/>
        <v>0</v>
      </c>
      <c r="CQ34" s="93" t="str">
        <f t="shared" si="347"/>
        <v/>
      </c>
      <c r="CR34" s="94" t="str">
        <f t="shared" si="348"/>
        <v/>
      </c>
      <c r="CS34" s="95">
        <f t="shared" si="349"/>
        <v>0</v>
      </c>
      <c r="CT34" s="96" t="str">
        <f t="shared" si="350"/>
        <v/>
      </c>
      <c r="CU34" s="97" t="str">
        <f t="shared" si="351"/>
        <v/>
      </c>
      <c r="CV34" s="98">
        <f t="shared" si="352"/>
        <v>0</v>
      </c>
      <c r="CW34" s="93" t="str">
        <f t="shared" si="353"/>
        <v/>
      </c>
      <c r="CX34" s="94" t="str">
        <f t="shared" si="354"/>
        <v/>
      </c>
      <c r="CY34" s="95">
        <f t="shared" si="355"/>
        <v>0</v>
      </c>
      <c r="CZ34" s="96" t="str">
        <f t="shared" si="356"/>
        <v/>
      </c>
      <c r="DA34" s="97" t="str">
        <f t="shared" si="357"/>
        <v/>
      </c>
      <c r="DB34" s="98">
        <f t="shared" si="358"/>
        <v>0</v>
      </c>
      <c r="DC34" s="93" t="str">
        <f t="shared" si="359"/>
        <v/>
      </c>
      <c r="DD34" s="94" t="str">
        <f t="shared" si="360"/>
        <v/>
      </c>
      <c r="DE34" s="95">
        <f t="shared" si="361"/>
        <v>0</v>
      </c>
      <c r="DF34" s="96" t="str">
        <f t="shared" si="362"/>
        <v/>
      </c>
      <c r="DG34" s="97" t="str">
        <f t="shared" si="363"/>
        <v/>
      </c>
      <c r="DH34" s="98">
        <f t="shared" si="364"/>
        <v>0</v>
      </c>
      <c r="DI34" s="93" t="str">
        <f t="shared" si="365"/>
        <v/>
      </c>
      <c r="DJ34" s="94" t="str">
        <f t="shared" si="366"/>
        <v/>
      </c>
      <c r="DK34" s="95">
        <f t="shared" si="367"/>
        <v>0</v>
      </c>
      <c r="DL34" s="96" t="str">
        <f t="shared" si="368"/>
        <v/>
      </c>
      <c r="DM34" s="97" t="str">
        <f t="shared" si="369"/>
        <v/>
      </c>
      <c r="DN34" s="98">
        <f t="shared" si="370"/>
        <v>0</v>
      </c>
      <c r="DO34" s="93" t="str">
        <f t="shared" si="371"/>
        <v/>
      </c>
      <c r="DP34" s="94" t="str">
        <f t="shared" si="372"/>
        <v/>
      </c>
      <c r="DQ34" s="95">
        <f t="shared" si="373"/>
        <v>0</v>
      </c>
      <c r="DR34" s="96" t="str">
        <f t="shared" si="374"/>
        <v/>
      </c>
      <c r="DS34" s="97" t="str">
        <f t="shared" si="375"/>
        <v/>
      </c>
      <c r="DT34" s="98">
        <f t="shared" si="376"/>
        <v>0</v>
      </c>
      <c r="DU34" s="93" t="str">
        <f t="shared" si="377"/>
        <v/>
      </c>
      <c r="DV34" s="94" t="str">
        <f t="shared" si="378"/>
        <v/>
      </c>
      <c r="DW34" s="95">
        <f t="shared" si="379"/>
        <v>0</v>
      </c>
      <c r="DX34" s="96" t="str">
        <f t="shared" si="380"/>
        <v/>
      </c>
      <c r="DY34" s="97" t="str">
        <f t="shared" si="381"/>
        <v/>
      </c>
      <c r="DZ34" s="98">
        <f t="shared" si="382"/>
        <v>0</v>
      </c>
      <c r="EA34" s="93" t="str">
        <f t="shared" si="383"/>
        <v/>
      </c>
      <c r="EB34" s="94" t="str">
        <f t="shared" si="384"/>
        <v/>
      </c>
      <c r="EC34" s="95">
        <f t="shared" si="385"/>
        <v>0</v>
      </c>
      <c r="ED34" s="96" t="str">
        <f t="shared" si="386"/>
        <v/>
      </c>
      <c r="EE34" s="97" t="str">
        <f t="shared" si="387"/>
        <v/>
      </c>
      <c r="EF34" s="98">
        <f t="shared" si="388"/>
        <v>0</v>
      </c>
      <c r="EG34" s="93" t="str">
        <f t="shared" si="389"/>
        <v/>
      </c>
      <c r="EH34" s="94" t="str">
        <f t="shared" si="390"/>
        <v/>
      </c>
      <c r="EI34" s="95">
        <f t="shared" si="391"/>
        <v>0</v>
      </c>
      <c r="EJ34" s="96" t="str">
        <f t="shared" si="392"/>
        <v/>
      </c>
      <c r="EK34" s="97" t="str">
        <f t="shared" si="393"/>
        <v/>
      </c>
      <c r="EL34" s="98">
        <f t="shared" si="394"/>
        <v>0</v>
      </c>
      <c r="EM34" s="93" t="str">
        <f t="shared" si="395"/>
        <v/>
      </c>
      <c r="EN34" s="94" t="str">
        <f t="shared" si="396"/>
        <v/>
      </c>
      <c r="EO34" s="95">
        <f t="shared" si="397"/>
        <v>0</v>
      </c>
      <c r="EP34" s="96" t="str">
        <f t="shared" si="398"/>
        <v/>
      </c>
      <c r="EQ34" s="97" t="str">
        <f t="shared" si="399"/>
        <v/>
      </c>
      <c r="ER34" s="98">
        <f t="shared" si="400"/>
        <v>0</v>
      </c>
      <c r="ES34" s="93" t="str">
        <f t="shared" si="401"/>
        <v/>
      </c>
      <c r="ET34" s="94" t="str">
        <f t="shared" si="402"/>
        <v/>
      </c>
      <c r="EU34" s="95">
        <f t="shared" si="403"/>
        <v>0</v>
      </c>
      <c r="EV34" s="96" t="str">
        <f t="shared" si="404"/>
        <v/>
      </c>
      <c r="EW34" s="97" t="str">
        <f t="shared" si="405"/>
        <v/>
      </c>
      <c r="EX34" s="98">
        <f t="shared" si="406"/>
        <v>0</v>
      </c>
      <c r="EY34" s="93" t="str">
        <f t="shared" si="407"/>
        <v/>
      </c>
      <c r="EZ34" s="94" t="str">
        <f t="shared" si="408"/>
        <v/>
      </c>
      <c r="FA34" s="95">
        <f t="shared" si="409"/>
        <v>0</v>
      </c>
      <c r="FB34" s="96" t="str">
        <f t="shared" si="410"/>
        <v/>
      </c>
      <c r="FC34" s="97" t="str">
        <f t="shared" si="411"/>
        <v/>
      </c>
      <c r="FD34" s="98">
        <f t="shared" si="412"/>
        <v>0</v>
      </c>
      <c r="FE34" s="93" t="str">
        <f t="shared" si="413"/>
        <v/>
      </c>
      <c r="FF34" s="94" t="str">
        <f t="shared" si="414"/>
        <v/>
      </c>
      <c r="FG34" s="95">
        <f t="shared" si="415"/>
        <v>0</v>
      </c>
      <c r="FH34" s="96" t="str">
        <f t="shared" si="416"/>
        <v/>
      </c>
      <c r="FI34" s="97" t="str">
        <f t="shared" si="417"/>
        <v/>
      </c>
      <c r="FJ34" s="98">
        <f t="shared" si="418"/>
        <v>0</v>
      </c>
    </row>
    <row r="35" ht="15.75" customHeight="1">
      <c r="A35" s="6" t="str">
        <f>Menus!B27</f>
        <v/>
      </c>
      <c r="B35" s="16">
        <f t="shared" si="256"/>
        <v>0</v>
      </c>
      <c r="C35" s="16">
        <f t="shared" si="257"/>
        <v>0</v>
      </c>
      <c r="D35" s="16">
        <f t="shared" si="254"/>
        <v>0</v>
      </c>
      <c r="E35" s="87" t="str">
        <f t="shared" si="258"/>
        <v/>
      </c>
      <c r="F35" s="88" t="str">
        <f t="shared" si="259"/>
        <v/>
      </c>
      <c r="G35" s="89">
        <f t="shared" si="255"/>
        <v>0</v>
      </c>
      <c r="H35" s="90" t="str">
        <f t="shared" si="260"/>
        <v/>
      </c>
      <c r="I35" s="91" t="str">
        <f t="shared" si="261"/>
        <v/>
      </c>
      <c r="J35" s="92">
        <f t="shared" si="262"/>
        <v>0</v>
      </c>
      <c r="K35" s="93" t="str">
        <f t="shared" si="263"/>
        <v/>
      </c>
      <c r="L35" s="94" t="str">
        <f t="shared" si="264"/>
        <v/>
      </c>
      <c r="M35" s="95">
        <f t="shared" si="265"/>
        <v>0</v>
      </c>
      <c r="N35" s="96" t="str">
        <f t="shared" si="266"/>
        <v/>
      </c>
      <c r="O35" s="97" t="str">
        <f t="shared" si="267"/>
        <v/>
      </c>
      <c r="P35" s="98">
        <f t="shared" si="268"/>
        <v>0</v>
      </c>
      <c r="Q35" s="93" t="str">
        <f t="shared" si="269"/>
        <v/>
      </c>
      <c r="R35" s="94" t="str">
        <f t="shared" si="270"/>
        <v/>
      </c>
      <c r="S35" s="95">
        <f t="shared" si="271"/>
        <v>0</v>
      </c>
      <c r="T35" s="96" t="str">
        <f t="shared" si="272"/>
        <v/>
      </c>
      <c r="U35" s="97" t="str">
        <f t="shared" si="273"/>
        <v/>
      </c>
      <c r="V35" s="98">
        <f t="shared" si="274"/>
        <v>0</v>
      </c>
      <c r="W35" s="93" t="str">
        <f t="shared" si="275"/>
        <v/>
      </c>
      <c r="X35" s="94" t="str">
        <f t="shared" si="276"/>
        <v/>
      </c>
      <c r="Y35" s="95">
        <f t="shared" si="277"/>
        <v>0</v>
      </c>
      <c r="Z35" s="96" t="str">
        <f t="shared" si="278"/>
        <v/>
      </c>
      <c r="AA35" s="97" t="str">
        <f t="shared" si="279"/>
        <v/>
      </c>
      <c r="AB35" s="98">
        <f t="shared" si="280"/>
        <v>0</v>
      </c>
      <c r="AC35" s="93" t="str">
        <f t="shared" si="281"/>
        <v/>
      </c>
      <c r="AD35" s="94" t="str">
        <f t="shared" si="282"/>
        <v/>
      </c>
      <c r="AE35" s="95">
        <f t="shared" si="283"/>
        <v>0</v>
      </c>
      <c r="AF35" s="96" t="str">
        <f t="shared" si="284"/>
        <v/>
      </c>
      <c r="AG35" s="97" t="str">
        <f t="shared" si="285"/>
        <v/>
      </c>
      <c r="AH35" s="98">
        <f t="shared" si="286"/>
        <v>0</v>
      </c>
      <c r="AI35" s="93" t="str">
        <f t="shared" si="287"/>
        <v/>
      </c>
      <c r="AJ35" s="94" t="str">
        <f t="shared" si="288"/>
        <v/>
      </c>
      <c r="AK35" s="95">
        <f t="shared" si="289"/>
        <v>0</v>
      </c>
      <c r="AL35" s="96" t="str">
        <f t="shared" si="290"/>
        <v/>
      </c>
      <c r="AM35" s="97" t="str">
        <f t="shared" si="291"/>
        <v/>
      </c>
      <c r="AN35" s="98">
        <f t="shared" si="292"/>
        <v>0</v>
      </c>
      <c r="AO35" s="93" t="str">
        <f t="shared" si="293"/>
        <v/>
      </c>
      <c r="AP35" s="94" t="str">
        <f t="shared" si="294"/>
        <v/>
      </c>
      <c r="AQ35" s="95">
        <f t="shared" si="295"/>
        <v>0</v>
      </c>
      <c r="AR35" s="96" t="str">
        <f t="shared" si="296"/>
        <v/>
      </c>
      <c r="AS35" s="97" t="str">
        <f t="shared" si="297"/>
        <v/>
      </c>
      <c r="AT35" s="98">
        <f t="shared" si="298"/>
        <v>0</v>
      </c>
      <c r="AU35" s="93" t="str">
        <f t="shared" si="299"/>
        <v/>
      </c>
      <c r="AV35" s="94" t="str">
        <f t="shared" si="300"/>
        <v/>
      </c>
      <c r="AW35" s="95">
        <f t="shared" si="301"/>
        <v>0</v>
      </c>
      <c r="AX35" s="96" t="str">
        <f t="shared" si="302"/>
        <v/>
      </c>
      <c r="AY35" s="97" t="str">
        <f t="shared" si="303"/>
        <v/>
      </c>
      <c r="AZ35" s="98">
        <f t="shared" si="304"/>
        <v>0</v>
      </c>
      <c r="BA35" s="93" t="str">
        <f t="shared" si="305"/>
        <v/>
      </c>
      <c r="BB35" s="94" t="str">
        <f t="shared" si="306"/>
        <v/>
      </c>
      <c r="BC35" s="95">
        <f t="shared" si="307"/>
        <v>0</v>
      </c>
      <c r="BD35" s="96" t="str">
        <f t="shared" si="308"/>
        <v/>
      </c>
      <c r="BE35" s="97" t="str">
        <f t="shared" si="309"/>
        <v/>
      </c>
      <c r="BF35" s="98">
        <f t="shared" si="310"/>
        <v>0</v>
      </c>
      <c r="BG35" s="93" t="str">
        <f t="shared" si="311"/>
        <v/>
      </c>
      <c r="BH35" s="94" t="str">
        <f t="shared" si="312"/>
        <v/>
      </c>
      <c r="BI35" s="95">
        <f t="shared" si="313"/>
        <v>0</v>
      </c>
      <c r="BJ35" s="96" t="str">
        <f t="shared" si="314"/>
        <v/>
      </c>
      <c r="BK35" s="97" t="str">
        <f t="shared" si="315"/>
        <v/>
      </c>
      <c r="BL35" s="98">
        <f t="shared" si="316"/>
        <v>0</v>
      </c>
      <c r="BM35" s="93" t="str">
        <f t="shared" si="317"/>
        <v/>
      </c>
      <c r="BN35" s="94" t="str">
        <f t="shared" si="318"/>
        <v/>
      </c>
      <c r="BO35" s="95">
        <f t="shared" si="319"/>
        <v>0</v>
      </c>
      <c r="BP35" s="96" t="str">
        <f t="shared" si="320"/>
        <v/>
      </c>
      <c r="BQ35" s="97" t="str">
        <f t="shared" si="321"/>
        <v/>
      </c>
      <c r="BR35" s="98">
        <f t="shared" si="322"/>
        <v>0</v>
      </c>
      <c r="BS35" s="93" t="str">
        <f t="shared" si="323"/>
        <v/>
      </c>
      <c r="BT35" s="94" t="str">
        <f t="shared" si="324"/>
        <v/>
      </c>
      <c r="BU35" s="95">
        <f t="shared" si="325"/>
        <v>0</v>
      </c>
      <c r="BV35" s="96" t="str">
        <f t="shared" si="326"/>
        <v/>
      </c>
      <c r="BW35" s="97" t="str">
        <f t="shared" si="327"/>
        <v/>
      </c>
      <c r="BX35" s="98">
        <f t="shared" si="328"/>
        <v>0</v>
      </c>
      <c r="BY35" s="93" t="str">
        <f t="shared" si="329"/>
        <v/>
      </c>
      <c r="BZ35" s="94" t="str">
        <f t="shared" si="330"/>
        <v/>
      </c>
      <c r="CA35" s="95">
        <f t="shared" si="331"/>
        <v>0</v>
      </c>
      <c r="CB35" s="96" t="str">
        <f t="shared" si="332"/>
        <v/>
      </c>
      <c r="CC35" s="97" t="str">
        <f t="shared" si="333"/>
        <v/>
      </c>
      <c r="CD35" s="98">
        <f t="shared" si="334"/>
        <v>0</v>
      </c>
      <c r="CE35" s="93" t="str">
        <f t="shared" si="335"/>
        <v/>
      </c>
      <c r="CF35" s="94" t="str">
        <f t="shared" si="336"/>
        <v/>
      </c>
      <c r="CG35" s="95">
        <f t="shared" si="337"/>
        <v>0</v>
      </c>
      <c r="CH35" s="96" t="str">
        <f t="shared" si="338"/>
        <v/>
      </c>
      <c r="CI35" s="97" t="str">
        <f t="shared" si="339"/>
        <v/>
      </c>
      <c r="CJ35" s="98">
        <f t="shared" si="340"/>
        <v>0</v>
      </c>
      <c r="CK35" s="93" t="str">
        <f t="shared" si="341"/>
        <v/>
      </c>
      <c r="CL35" s="94" t="str">
        <f t="shared" si="342"/>
        <v/>
      </c>
      <c r="CM35" s="95">
        <f t="shared" si="343"/>
        <v>0</v>
      </c>
      <c r="CN35" s="96" t="str">
        <f t="shared" si="344"/>
        <v/>
      </c>
      <c r="CO35" s="97" t="str">
        <f t="shared" si="345"/>
        <v/>
      </c>
      <c r="CP35" s="98">
        <f t="shared" si="346"/>
        <v>0</v>
      </c>
      <c r="CQ35" s="93" t="str">
        <f t="shared" si="347"/>
        <v/>
      </c>
      <c r="CR35" s="94" t="str">
        <f t="shared" si="348"/>
        <v/>
      </c>
      <c r="CS35" s="95">
        <f t="shared" si="349"/>
        <v>0</v>
      </c>
      <c r="CT35" s="96" t="str">
        <f t="shared" si="350"/>
        <v/>
      </c>
      <c r="CU35" s="97" t="str">
        <f t="shared" si="351"/>
        <v/>
      </c>
      <c r="CV35" s="98">
        <f t="shared" si="352"/>
        <v>0</v>
      </c>
      <c r="CW35" s="93" t="str">
        <f t="shared" si="353"/>
        <v/>
      </c>
      <c r="CX35" s="94" t="str">
        <f t="shared" si="354"/>
        <v/>
      </c>
      <c r="CY35" s="95">
        <f t="shared" si="355"/>
        <v>0</v>
      </c>
      <c r="CZ35" s="96" t="str">
        <f t="shared" si="356"/>
        <v/>
      </c>
      <c r="DA35" s="97" t="str">
        <f t="shared" si="357"/>
        <v/>
      </c>
      <c r="DB35" s="98">
        <f t="shared" si="358"/>
        <v>0</v>
      </c>
      <c r="DC35" s="93" t="str">
        <f t="shared" si="359"/>
        <v/>
      </c>
      <c r="DD35" s="94" t="str">
        <f t="shared" si="360"/>
        <v/>
      </c>
      <c r="DE35" s="95">
        <f t="shared" si="361"/>
        <v>0</v>
      </c>
      <c r="DF35" s="96" t="str">
        <f t="shared" si="362"/>
        <v/>
      </c>
      <c r="DG35" s="97" t="str">
        <f t="shared" si="363"/>
        <v/>
      </c>
      <c r="DH35" s="98">
        <f t="shared" si="364"/>
        <v>0</v>
      </c>
      <c r="DI35" s="93" t="str">
        <f t="shared" si="365"/>
        <v/>
      </c>
      <c r="DJ35" s="94" t="str">
        <f t="shared" si="366"/>
        <v/>
      </c>
      <c r="DK35" s="95">
        <f t="shared" si="367"/>
        <v>0</v>
      </c>
      <c r="DL35" s="96" t="str">
        <f t="shared" si="368"/>
        <v/>
      </c>
      <c r="DM35" s="97" t="str">
        <f t="shared" si="369"/>
        <v/>
      </c>
      <c r="DN35" s="98">
        <f t="shared" si="370"/>
        <v>0</v>
      </c>
      <c r="DO35" s="93" t="str">
        <f t="shared" si="371"/>
        <v/>
      </c>
      <c r="DP35" s="94" t="str">
        <f t="shared" si="372"/>
        <v/>
      </c>
      <c r="DQ35" s="95">
        <f t="shared" si="373"/>
        <v>0</v>
      </c>
      <c r="DR35" s="96" t="str">
        <f t="shared" si="374"/>
        <v/>
      </c>
      <c r="DS35" s="97" t="str">
        <f t="shared" si="375"/>
        <v/>
      </c>
      <c r="DT35" s="98">
        <f t="shared" si="376"/>
        <v>0</v>
      </c>
      <c r="DU35" s="93" t="str">
        <f t="shared" si="377"/>
        <v/>
      </c>
      <c r="DV35" s="94" t="str">
        <f t="shared" si="378"/>
        <v/>
      </c>
      <c r="DW35" s="95">
        <f t="shared" si="379"/>
        <v>0</v>
      </c>
      <c r="DX35" s="96" t="str">
        <f t="shared" si="380"/>
        <v/>
      </c>
      <c r="DY35" s="97" t="str">
        <f t="shared" si="381"/>
        <v/>
      </c>
      <c r="DZ35" s="98">
        <f t="shared" si="382"/>
        <v>0</v>
      </c>
      <c r="EA35" s="93" t="str">
        <f t="shared" si="383"/>
        <v/>
      </c>
      <c r="EB35" s="94" t="str">
        <f t="shared" si="384"/>
        <v/>
      </c>
      <c r="EC35" s="95">
        <f t="shared" si="385"/>
        <v>0</v>
      </c>
      <c r="ED35" s="96" t="str">
        <f t="shared" si="386"/>
        <v/>
      </c>
      <c r="EE35" s="97" t="str">
        <f t="shared" si="387"/>
        <v/>
      </c>
      <c r="EF35" s="98">
        <f t="shared" si="388"/>
        <v>0</v>
      </c>
      <c r="EG35" s="93" t="str">
        <f t="shared" si="389"/>
        <v/>
      </c>
      <c r="EH35" s="94" t="str">
        <f t="shared" si="390"/>
        <v/>
      </c>
      <c r="EI35" s="95">
        <f t="shared" si="391"/>
        <v>0</v>
      </c>
      <c r="EJ35" s="96" t="str">
        <f t="shared" si="392"/>
        <v/>
      </c>
      <c r="EK35" s="97" t="str">
        <f t="shared" si="393"/>
        <v/>
      </c>
      <c r="EL35" s="98">
        <f t="shared" si="394"/>
        <v>0</v>
      </c>
      <c r="EM35" s="93" t="str">
        <f t="shared" si="395"/>
        <v/>
      </c>
      <c r="EN35" s="94" t="str">
        <f t="shared" si="396"/>
        <v/>
      </c>
      <c r="EO35" s="95">
        <f t="shared" si="397"/>
        <v>0</v>
      </c>
      <c r="EP35" s="96" t="str">
        <f t="shared" si="398"/>
        <v/>
      </c>
      <c r="EQ35" s="97" t="str">
        <f t="shared" si="399"/>
        <v/>
      </c>
      <c r="ER35" s="98">
        <f t="shared" si="400"/>
        <v>0</v>
      </c>
      <c r="ES35" s="93" t="str">
        <f t="shared" si="401"/>
        <v/>
      </c>
      <c r="ET35" s="94" t="str">
        <f t="shared" si="402"/>
        <v/>
      </c>
      <c r="EU35" s="95">
        <f t="shared" si="403"/>
        <v>0</v>
      </c>
      <c r="EV35" s="96" t="str">
        <f t="shared" si="404"/>
        <v/>
      </c>
      <c r="EW35" s="97" t="str">
        <f t="shared" si="405"/>
        <v/>
      </c>
      <c r="EX35" s="98">
        <f t="shared" si="406"/>
        <v>0</v>
      </c>
      <c r="EY35" s="93" t="str">
        <f t="shared" si="407"/>
        <v/>
      </c>
      <c r="EZ35" s="94" t="str">
        <f t="shared" si="408"/>
        <v/>
      </c>
      <c r="FA35" s="95">
        <f t="shared" si="409"/>
        <v>0</v>
      </c>
      <c r="FB35" s="96" t="str">
        <f t="shared" si="410"/>
        <v/>
      </c>
      <c r="FC35" s="97" t="str">
        <f t="shared" si="411"/>
        <v/>
      </c>
      <c r="FD35" s="98">
        <f t="shared" si="412"/>
        <v>0</v>
      </c>
      <c r="FE35" s="93" t="str">
        <f t="shared" si="413"/>
        <v/>
      </c>
      <c r="FF35" s="94" t="str">
        <f t="shared" si="414"/>
        <v/>
      </c>
      <c r="FG35" s="95">
        <f t="shared" si="415"/>
        <v>0</v>
      </c>
      <c r="FH35" s="96" t="str">
        <f t="shared" si="416"/>
        <v/>
      </c>
      <c r="FI35" s="97" t="str">
        <f t="shared" si="417"/>
        <v/>
      </c>
      <c r="FJ35" s="98">
        <f t="shared" si="418"/>
        <v>0</v>
      </c>
    </row>
    <row r="36" ht="15.75" customHeight="1">
      <c r="A36" s="6" t="str">
        <f>Menus!B28</f>
        <v/>
      </c>
      <c r="B36" s="16">
        <f t="shared" si="256"/>
        <v>0</v>
      </c>
      <c r="C36" s="16">
        <f t="shared" si="257"/>
        <v>0</v>
      </c>
      <c r="D36" s="16">
        <f t="shared" si="254"/>
        <v>0</v>
      </c>
      <c r="E36" s="87" t="str">
        <f t="shared" si="258"/>
        <v/>
      </c>
      <c r="F36" s="88" t="str">
        <f t="shared" si="259"/>
        <v/>
      </c>
      <c r="G36" s="89">
        <f t="shared" si="255"/>
        <v>0</v>
      </c>
      <c r="H36" s="90" t="str">
        <f t="shared" si="260"/>
        <v/>
      </c>
      <c r="I36" s="91" t="str">
        <f t="shared" si="261"/>
        <v/>
      </c>
      <c r="J36" s="92">
        <f t="shared" si="262"/>
        <v>0</v>
      </c>
      <c r="K36" s="93" t="str">
        <f t="shared" si="263"/>
        <v/>
      </c>
      <c r="L36" s="94" t="str">
        <f t="shared" si="264"/>
        <v/>
      </c>
      <c r="M36" s="95">
        <f t="shared" si="265"/>
        <v>0</v>
      </c>
      <c r="N36" s="96" t="str">
        <f t="shared" si="266"/>
        <v/>
      </c>
      <c r="O36" s="97" t="str">
        <f t="shared" si="267"/>
        <v/>
      </c>
      <c r="P36" s="98">
        <f t="shared" si="268"/>
        <v>0</v>
      </c>
      <c r="Q36" s="93" t="str">
        <f t="shared" si="269"/>
        <v/>
      </c>
      <c r="R36" s="94" t="str">
        <f t="shared" si="270"/>
        <v/>
      </c>
      <c r="S36" s="95">
        <f t="shared" si="271"/>
        <v>0</v>
      </c>
      <c r="T36" s="96" t="str">
        <f t="shared" si="272"/>
        <v/>
      </c>
      <c r="U36" s="97" t="str">
        <f t="shared" si="273"/>
        <v/>
      </c>
      <c r="V36" s="98">
        <f t="shared" si="274"/>
        <v>0</v>
      </c>
      <c r="W36" s="93" t="str">
        <f t="shared" si="275"/>
        <v/>
      </c>
      <c r="X36" s="94" t="str">
        <f t="shared" si="276"/>
        <v/>
      </c>
      <c r="Y36" s="95">
        <f t="shared" si="277"/>
        <v>0</v>
      </c>
      <c r="Z36" s="96" t="str">
        <f t="shared" si="278"/>
        <v/>
      </c>
      <c r="AA36" s="97" t="str">
        <f t="shared" si="279"/>
        <v/>
      </c>
      <c r="AB36" s="98">
        <f t="shared" si="280"/>
        <v>0</v>
      </c>
      <c r="AC36" s="93" t="str">
        <f t="shared" si="281"/>
        <v/>
      </c>
      <c r="AD36" s="94" t="str">
        <f t="shared" si="282"/>
        <v/>
      </c>
      <c r="AE36" s="95">
        <f t="shared" si="283"/>
        <v>0</v>
      </c>
      <c r="AF36" s="96" t="str">
        <f t="shared" si="284"/>
        <v/>
      </c>
      <c r="AG36" s="97" t="str">
        <f t="shared" si="285"/>
        <v/>
      </c>
      <c r="AH36" s="98">
        <f t="shared" si="286"/>
        <v>0</v>
      </c>
      <c r="AI36" s="93" t="str">
        <f t="shared" si="287"/>
        <v/>
      </c>
      <c r="AJ36" s="94" t="str">
        <f t="shared" si="288"/>
        <v/>
      </c>
      <c r="AK36" s="95">
        <f t="shared" si="289"/>
        <v>0</v>
      </c>
      <c r="AL36" s="96" t="str">
        <f t="shared" si="290"/>
        <v/>
      </c>
      <c r="AM36" s="97" t="str">
        <f t="shared" si="291"/>
        <v/>
      </c>
      <c r="AN36" s="98">
        <f t="shared" si="292"/>
        <v>0</v>
      </c>
      <c r="AO36" s="93" t="str">
        <f t="shared" si="293"/>
        <v/>
      </c>
      <c r="AP36" s="94" t="str">
        <f t="shared" si="294"/>
        <v/>
      </c>
      <c r="AQ36" s="95">
        <f t="shared" si="295"/>
        <v>0</v>
      </c>
      <c r="AR36" s="96" t="str">
        <f t="shared" si="296"/>
        <v/>
      </c>
      <c r="AS36" s="97" t="str">
        <f t="shared" si="297"/>
        <v/>
      </c>
      <c r="AT36" s="98">
        <f t="shared" si="298"/>
        <v>0</v>
      </c>
      <c r="AU36" s="93" t="str">
        <f t="shared" si="299"/>
        <v/>
      </c>
      <c r="AV36" s="94" t="str">
        <f t="shared" si="300"/>
        <v/>
      </c>
      <c r="AW36" s="95">
        <f t="shared" si="301"/>
        <v>0</v>
      </c>
      <c r="AX36" s="96" t="str">
        <f t="shared" si="302"/>
        <v/>
      </c>
      <c r="AY36" s="97" t="str">
        <f t="shared" si="303"/>
        <v/>
      </c>
      <c r="AZ36" s="98">
        <f t="shared" si="304"/>
        <v>0</v>
      </c>
      <c r="BA36" s="93" t="str">
        <f t="shared" si="305"/>
        <v/>
      </c>
      <c r="BB36" s="94" t="str">
        <f t="shared" si="306"/>
        <v/>
      </c>
      <c r="BC36" s="95">
        <f t="shared" si="307"/>
        <v>0</v>
      </c>
      <c r="BD36" s="96" t="str">
        <f t="shared" si="308"/>
        <v/>
      </c>
      <c r="BE36" s="97" t="str">
        <f t="shared" si="309"/>
        <v/>
      </c>
      <c r="BF36" s="98">
        <f t="shared" si="310"/>
        <v>0</v>
      </c>
      <c r="BG36" s="93" t="str">
        <f t="shared" si="311"/>
        <v/>
      </c>
      <c r="BH36" s="94" t="str">
        <f t="shared" si="312"/>
        <v/>
      </c>
      <c r="BI36" s="95">
        <f t="shared" si="313"/>
        <v>0</v>
      </c>
      <c r="BJ36" s="96" t="str">
        <f t="shared" si="314"/>
        <v/>
      </c>
      <c r="BK36" s="97" t="str">
        <f t="shared" si="315"/>
        <v/>
      </c>
      <c r="BL36" s="98">
        <f t="shared" si="316"/>
        <v>0</v>
      </c>
      <c r="BM36" s="93" t="str">
        <f t="shared" si="317"/>
        <v/>
      </c>
      <c r="BN36" s="94" t="str">
        <f t="shared" si="318"/>
        <v/>
      </c>
      <c r="BO36" s="95">
        <f t="shared" si="319"/>
        <v>0</v>
      </c>
      <c r="BP36" s="96" t="str">
        <f t="shared" si="320"/>
        <v/>
      </c>
      <c r="BQ36" s="97" t="str">
        <f t="shared" si="321"/>
        <v/>
      </c>
      <c r="BR36" s="98">
        <f t="shared" si="322"/>
        <v>0</v>
      </c>
      <c r="BS36" s="93" t="str">
        <f t="shared" si="323"/>
        <v/>
      </c>
      <c r="BT36" s="94" t="str">
        <f t="shared" si="324"/>
        <v/>
      </c>
      <c r="BU36" s="95">
        <f t="shared" si="325"/>
        <v>0</v>
      </c>
      <c r="BV36" s="96" t="str">
        <f t="shared" si="326"/>
        <v/>
      </c>
      <c r="BW36" s="97" t="str">
        <f t="shared" si="327"/>
        <v/>
      </c>
      <c r="BX36" s="98">
        <f t="shared" si="328"/>
        <v>0</v>
      </c>
      <c r="BY36" s="93" t="str">
        <f t="shared" si="329"/>
        <v/>
      </c>
      <c r="BZ36" s="94" t="str">
        <f t="shared" si="330"/>
        <v/>
      </c>
      <c r="CA36" s="95">
        <f t="shared" si="331"/>
        <v>0</v>
      </c>
      <c r="CB36" s="96" t="str">
        <f t="shared" si="332"/>
        <v/>
      </c>
      <c r="CC36" s="97" t="str">
        <f t="shared" si="333"/>
        <v/>
      </c>
      <c r="CD36" s="98">
        <f t="shared" si="334"/>
        <v>0</v>
      </c>
      <c r="CE36" s="93" t="str">
        <f t="shared" si="335"/>
        <v/>
      </c>
      <c r="CF36" s="94" t="str">
        <f t="shared" si="336"/>
        <v/>
      </c>
      <c r="CG36" s="95">
        <f t="shared" si="337"/>
        <v>0</v>
      </c>
      <c r="CH36" s="96" t="str">
        <f t="shared" si="338"/>
        <v/>
      </c>
      <c r="CI36" s="97" t="str">
        <f t="shared" si="339"/>
        <v/>
      </c>
      <c r="CJ36" s="98">
        <f t="shared" si="340"/>
        <v>0</v>
      </c>
      <c r="CK36" s="93" t="str">
        <f t="shared" si="341"/>
        <v/>
      </c>
      <c r="CL36" s="94" t="str">
        <f t="shared" si="342"/>
        <v/>
      </c>
      <c r="CM36" s="95">
        <f t="shared" si="343"/>
        <v>0</v>
      </c>
      <c r="CN36" s="96" t="str">
        <f t="shared" si="344"/>
        <v/>
      </c>
      <c r="CO36" s="97" t="str">
        <f t="shared" si="345"/>
        <v/>
      </c>
      <c r="CP36" s="98">
        <f t="shared" si="346"/>
        <v>0</v>
      </c>
      <c r="CQ36" s="93" t="str">
        <f t="shared" si="347"/>
        <v/>
      </c>
      <c r="CR36" s="94" t="str">
        <f t="shared" si="348"/>
        <v/>
      </c>
      <c r="CS36" s="95">
        <f t="shared" si="349"/>
        <v>0</v>
      </c>
      <c r="CT36" s="96" t="str">
        <f t="shared" si="350"/>
        <v/>
      </c>
      <c r="CU36" s="97" t="str">
        <f t="shared" si="351"/>
        <v/>
      </c>
      <c r="CV36" s="98">
        <f t="shared" si="352"/>
        <v>0</v>
      </c>
      <c r="CW36" s="93" t="str">
        <f t="shared" si="353"/>
        <v/>
      </c>
      <c r="CX36" s="94" t="str">
        <f t="shared" si="354"/>
        <v/>
      </c>
      <c r="CY36" s="95">
        <f t="shared" si="355"/>
        <v>0</v>
      </c>
      <c r="CZ36" s="96" t="str">
        <f t="shared" si="356"/>
        <v/>
      </c>
      <c r="DA36" s="97" t="str">
        <f t="shared" si="357"/>
        <v/>
      </c>
      <c r="DB36" s="98">
        <f t="shared" si="358"/>
        <v>0</v>
      </c>
      <c r="DC36" s="93" t="str">
        <f t="shared" si="359"/>
        <v/>
      </c>
      <c r="DD36" s="94" t="str">
        <f t="shared" si="360"/>
        <v/>
      </c>
      <c r="DE36" s="95">
        <f t="shared" si="361"/>
        <v>0</v>
      </c>
      <c r="DF36" s="96" t="str">
        <f t="shared" si="362"/>
        <v/>
      </c>
      <c r="DG36" s="97" t="str">
        <f t="shared" si="363"/>
        <v/>
      </c>
      <c r="DH36" s="98">
        <f t="shared" si="364"/>
        <v>0</v>
      </c>
      <c r="DI36" s="93" t="str">
        <f t="shared" si="365"/>
        <v/>
      </c>
      <c r="DJ36" s="94" t="str">
        <f t="shared" si="366"/>
        <v/>
      </c>
      <c r="DK36" s="95">
        <f t="shared" si="367"/>
        <v>0</v>
      </c>
      <c r="DL36" s="96" t="str">
        <f t="shared" si="368"/>
        <v/>
      </c>
      <c r="DM36" s="97" t="str">
        <f t="shared" si="369"/>
        <v/>
      </c>
      <c r="DN36" s="98">
        <f t="shared" si="370"/>
        <v>0</v>
      </c>
      <c r="DO36" s="93" t="str">
        <f t="shared" si="371"/>
        <v/>
      </c>
      <c r="DP36" s="94" t="str">
        <f t="shared" si="372"/>
        <v/>
      </c>
      <c r="DQ36" s="95">
        <f t="shared" si="373"/>
        <v>0</v>
      </c>
      <c r="DR36" s="96" t="str">
        <f t="shared" si="374"/>
        <v/>
      </c>
      <c r="DS36" s="97" t="str">
        <f t="shared" si="375"/>
        <v/>
      </c>
      <c r="DT36" s="98">
        <f t="shared" si="376"/>
        <v>0</v>
      </c>
      <c r="DU36" s="93" t="str">
        <f t="shared" si="377"/>
        <v/>
      </c>
      <c r="DV36" s="94" t="str">
        <f t="shared" si="378"/>
        <v/>
      </c>
      <c r="DW36" s="95">
        <f t="shared" si="379"/>
        <v>0</v>
      </c>
      <c r="DX36" s="96" t="str">
        <f t="shared" si="380"/>
        <v/>
      </c>
      <c r="DY36" s="97" t="str">
        <f t="shared" si="381"/>
        <v/>
      </c>
      <c r="DZ36" s="98">
        <f t="shared" si="382"/>
        <v>0</v>
      </c>
      <c r="EA36" s="93" t="str">
        <f t="shared" si="383"/>
        <v/>
      </c>
      <c r="EB36" s="94" t="str">
        <f t="shared" si="384"/>
        <v/>
      </c>
      <c r="EC36" s="95">
        <f t="shared" si="385"/>
        <v>0</v>
      </c>
      <c r="ED36" s="96" t="str">
        <f t="shared" si="386"/>
        <v/>
      </c>
      <c r="EE36" s="97" t="str">
        <f t="shared" si="387"/>
        <v/>
      </c>
      <c r="EF36" s="98">
        <f t="shared" si="388"/>
        <v>0</v>
      </c>
      <c r="EG36" s="93" t="str">
        <f t="shared" si="389"/>
        <v/>
      </c>
      <c r="EH36" s="94" t="str">
        <f t="shared" si="390"/>
        <v/>
      </c>
      <c r="EI36" s="95">
        <f t="shared" si="391"/>
        <v>0</v>
      </c>
      <c r="EJ36" s="96" t="str">
        <f t="shared" si="392"/>
        <v/>
      </c>
      <c r="EK36" s="97" t="str">
        <f t="shared" si="393"/>
        <v/>
      </c>
      <c r="EL36" s="98">
        <f t="shared" si="394"/>
        <v>0</v>
      </c>
      <c r="EM36" s="93" t="str">
        <f t="shared" si="395"/>
        <v/>
      </c>
      <c r="EN36" s="94" t="str">
        <f t="shared" si="396"/>
        <v/>
      </c>
      <c r="EO36" s="95">
        <f t="shared" si="397"/>
        <v>0</v>
      </c>
      <c r="EP36" s="96" t="str">
        <f t="shared" si="398"/>
        <v/>
      </c>
      <c r="EQ36" s="97" t="str">
        <f t="shared" si="399"/>
        <v/>
      </c>
      <c r="ER36" s="98">
        <f t="shared" si="400"/>
        <v>0</v>
      </c>
      <c r="ES36" s="93" t="str">
        <f t="shared" si="401"/>
        <v/>
      </c>
      <c r="ET36" s="94" t="str">
        <f t="shared" si="402"/>
        <v/>
      </c>
      <c r="EU36" s="95">
        <f t="shared" si="403"/>
        <v>0</v>
      </c>
      <c r="EV36" s="96" t="str">
        <f t="shared" si="404"/>
        <v/>
      </c>
      <c r="EW36" s="97" t="str">
        <f t="shared" si="405"/>
        <v/>
      </c>
      <c r="EX36" s="98">
        <f t="shared" si="406"/>
        <v>0</v>
      </c>
      <c r="EY36" s="93" t="str">
        <f t="shared" si="407"/>
        <v/>
      </c>
      <c r="EZ36" s="94" t="str">
        <f t="shared" si="408"/>
        <v/>
      </c>
      <c r="FA36" s="95">
        <f t="shared" si="409"/>
        <v>0</v>
      </c>
      <c r="FB36" s="96" t="str">
        <f t="shared" si="410"/>
        <v/>
      </c>
      <c r="FC36" s="97" t="str">
        <f t="shared" si="411"/>
        <v/>
      </c>
      <c r="FD36" s="98">
        <f t="shared" si="412"/>
        <v>0</v>
      </c>
      <c r="FE36" s="93" t="str">
        <f t="shared" si="413"/>
        <v/>
      </c>
      <c r="FF36" s="94" t="str">
        <f t="shared" si="414"/>
        <v/>
      </c>
      <c r="FG36" s="95">
        <f t="shared" si="415"/>
        <v>0</v>
      </c>
      <c r="FH36" s="96" t="str">
        <f t="shared" si="416"/>
        <v/>
      </c>
      <c r="FI36" s="97" t="str">
        <f t="shared" si="417"/>
        <v/>
      </c>
      <c r="FJ36" s="98">
        <f t="shared" si="418"/>
        <v>0</v>
      </c>
    </row>
    <row r="37" ht="15.75" customHeight="1">
      <c r="A37" s="6" t="str">
        <f>Menus!B29</f>
        <v/>
      </c>
      <c r="B37" s="16">
        <f t="shared" si="256"/>
        <v>0</v>
      </c>
      <c r="C37" s="16">
        <f t="shared" si="257"/>
        <v>0</v>
      </c>
      <c r="D37" s="16">
        <f t="shared" si="254"/>
        <v>0</v>
      </c>
      <c r="E37" s="87" t="str">
        <f t="shared" si="258"/>
        <v/>
      </c>
      <c r="F37" s="88" t="str">
        <f t="shared" si="259"/>
        <v/>
      </c>
      <c r="G37" s="89">
        <f t="shared" si="255"/>
        <v>0</v>
      </c>
      <c r="H37" s="90" t="str">
        <f t="shared" si="260"/>
        <v/>
      </c>
      <c r="I37" s="91" t="str">
        <f t="shared" si="261"/>
        <v/>
      </c>
      <c r="J37" s="92">
        <f t="shared" si="262"/>
        <v>0</v>
      </c>
      <c r="K37" s="93" t="str">
        <f t="shared" si="263"/>
        <v/>
      </c>
      <c r="L37" s="94" t="str">
        <f t="shared" si="264"/>
        <v/>
      </c>
      <c r="M37" s="95">
        <f t="shared" si="265"/>
        <v>0</v>
      </c>
      <c r="N37" s="96" t="str">
        <f t="shared" si="266"/>
        <v/>
      </c>
      <c r="O37" s="97" t="str">
        <f t="shared" si="267"/>
        <v/>
      </c>
      <c r="P37" s="98">
        <f t="shared" si="268"/>
        <v>0</v>
      </c>
      <c r="Q37" s="93" t="str">
        <f t="shared" si="269"/>
        <v/>
      </c>
      <c r="R37" s="94" t="str">
        <f t="shared" si="270"/>
        <v/>
      </c>
      <c r="S37" s="95">
        <f t="shared" si="271"/>
        <v>0</v>
      </c>
      <c r="T37" s="96" t="str">
        <f t="shared" si="272"/>
        <v/>
      </c>
      <c r="U37" s="97" t="str">
        <f t="shared" si="273"/>
        <v/>
      </c>
      <c r="V37" s="98">
        <f t="shared" si="274"/>
        <v>0</v>
      </c>
      <c r="W37" s="93" t="str">
        <f t="shared" si="275"/>
        <v/>
      </c>
      <c r="X37" s="94" t="str">
        <f t="shared" si="276"/>
        <v/>
      </c>
      <c r="Y37" s="95">
        <f t="shared" si="277"/>
        <v>0</v>
      </c>
      <c r="Z37" s="96" t="str">
        <f t="shared" si="278"/>
        <v/>
      </c>
      <c r="AA37" s="97" t="str">
        <f t="shared" si="279"/>
        <v/>
      </c>
      <c r="AB37" s="98">
        <f t="shared" si="280"/>
        <v>0</v>
      </c>
      <c r="AC37" s="93" t="str">
        <f t="shared" si="281"/>
        <v/>
      </c>
      <c r="AD37" s="94" t="str">
        <f t="shared" si="282"/>
        <v/>
      </c>
      <c r="AE37" s="95">
        <f t="shared" si="283"/>
        <v>0</v>
      </c>
      <c r="AF37" s="96" t="str">
        <f t="shared" si="284"/>
        <v/>
      </c>
      <c r="AG37" s="97" t="str">
        <f t="shared" si="285"/>
        <v/>
      </c>
      <c r="AH37" s="98">
        <f t="shared" si="286"/>
        <v>0</v>
      </c>
      <c r="AI37" s="93" t="str">
        <f t="shared" si="287"/>
        <v/>
      </c>
      <c r="AJ37" s="94" t="str">
        <f t="shared" si="288"/>
        <v/>
      </c>
      <c r="AK37" s="95">
        <f t="shared" si="289"/>
        <v>0</v>
      </c>
      <c r="AL37" s="96" t="str">
        <f t="shared" si="290"/>
        <v/>
      </c>
      <c r="AM37" s="97" t="str">
        <f t="shared" si="291"/>
        <v/>
      </c>
      <c r="AN37" s="98">
        <f t="shared" si="292"/>
        <v>0</v>
      </c>
      <c r="AO37" s="93" t="str">
        <f t="shared" si="293"/>
        <v/>
      </c>
      <c r="AP37" s="94" t="str">
        <f t="shared" si="294"/>
        <v/>
      </c>
      <c r="AQ37" s="95">
        <f t="shared" si="295"/>
        <v>0</v>
      </c>
      <c r="AR37" s="96" t="str">
        <f t="shared" si="296"/>
        <v/>
      </c>
      <c r="AS37" s="97" t="str">
        <f t="shared" si="297"/>
        <v/>
      </c>
      <c r="AT37" s="98">
        <f t="shared" si="298"/>
        <v>0</v>
      </c>
      <c r="AU37" s="93" t="str">
        <f t="shared" si="299"/>
        <v/>
      </c>
      <c r="AV37" s="94" t="str">
        <f t="shared" si="300"/>
        <v/>
      </c>
      <c r="AW37" s="95">
        <f t="shared" si="301"/>
        <v>0</v>
      </c>
      <c r="AX37" s="96" t="str">
        <f t="shared" si="302"/>
        <v/>
      </c>
      <c r="AY37" s="97" t="str">
        <f t="shared" si="303"/>
        <v/>
      </c>
      <c r="AZ37" s="98">
        <f t="shared" si="304"/>
        <v>0</v>
      </c>
      <c r="BA37" s="93" t="str">
        <f t="shared" si="305"/>
        <v/>
      </c>
      <c r="BB37" s="94" t="str">
        <f t="shared" si="306"/>
        <v/>
      </c>
      <c r="BC37" s="95">
        <f t="shared" si="307"/>
        <v>0</v>
      </c>
      <c r="BD37" s="96" t="str">
        <f t="shared" si="308"/>
        <v/>
      </c>
      <c r="BE37" s="97" t="str">
        <f t="shared" si="309"/>
        <v/>
      </c>
      <c r="BF37" s="98">
        <f t="shared" si="310"/>
        <v>0</v>
      </c>
      <c r="BG37" s="93" t="str">
        <f t="shared" si="311"/>
        <v/>
      </c>
      <c r="BH37" s="94" t="str">
        <f t="shared" si="312"/>
        <v/>
      </c>
      <c r="BI37" s="95">
        <f t="shared" si="313"/>
        <v>0</v>
      </c>
      <c r="BJ37" s="96" t="str">
        <f t="shared" si="314"/>
        <v/>
      </c>
      <c r="BK37" s="97" t="str">
        <f t="shared" si="315"/>
        <v/>
      </c>
      <c r="BL37" s="98">
        <f t="shared" si="316"/>
        <v>0</v>
      </c>
      <c r="BM37" s="93" t="str">
        <f t="shared" si="317"/>
        <v/>
      </c>
      <c r="BN37" s="94" t="str">
        <f t="shared" si="318"/>
        <v/>
      </c>
      <c r="BO37" s="95">
        <f t="shared" si="319"/>
        <v>0</v>
      </c>
      <c r="BP37" s="96" t="str">
        <f t="shared" si="320"/>
        <v/>
      </c>
      <c r="BQ37" s="97" t="str">
        <f t="shared" si="321"/>
        <v/>
      </c>
      <c r="BR37" s="98">
        <f t="shared" si="322"/>
        <v>0</v>
      </c>
      <c r="BS37" s="93" t="str">
        <f t="shared" si="323"/>
        <v/>
      </c>
      <c r="BT37" s="94" t="str">
        <f t="shared" si="324"/>
        <v/>
      </c>
      <c r="BU37" s="95">
        <f t="shared" si="325"/>
        <v>0</v>
      </c>
      <c r="BV37" s="96" t="str">
        <f t="shared" si="326"/>
        <v/>
      </c>
      <c r="BW37" s="97" t="str">
        <f t="shared" si="327"/>
        <v/>
      </c>
      <c r="BX37" s="98">
        <f t="shared" si="328"/>
        <v>0</v>
      </c>
      <c r="BY37" s="93" t="str">
        <f t="shared" si="329"/>
        <v/>
      </c>
      <c r="BZ37" s="94" t="str">
        <f t="shared" si="330"/>
        <v/>
      </c>
      <c r="CA37" s="95">
        <f t="shared" si="331"/>
        <v>0</v>
      </c>
      <c r="CB37" s="96" t="str">
        <f t="shared" si="332"/>
        <v/>
      </c>
      <c r="CC37" s="97" t="str">
        <f t="shared" si="333"/>
        <v/>
      </c>
      <c r="CD37" s="98">
        <f t="shared" si="334"/>
        <v>0</v>
      </c>
      <c r="CE37" s="93" t="str">
        <f t="shared" si="335"/>
        <v/>
      </c>
      <c r="CF37" s="94" t="str">
        <f t="shared" si="336"/>
        <v/>
      </c>
      <c r="CG37" s="95">
        <f t="shared" si="337"/>
        <v>0</v>
      </c>
      <c r="CH37" s="96" t="str">
        <f t="shared" si="338"/>
        <v/>
      </c>
      <c r="CI37" s="97" t="str">
        <f t="shared" si="339"/>
        <v/>
      </c>
      <c r="CJ37" s="98">
        <f t="shared" si="340"/>
        <v>0</v>
      </c>
      <c r="CK37" s="93" t="str">
        <f t="shared" si="341"/>
        <v/>
      </c>
      <c r="CL37" s="94" t="str">
        <f t="shared" si="342"/>
        <v/>
      </c>
      <c r="CM37" s="95">
        <f t="shared" si="343"/>
        <v>0</v>
      </c>
      <c r="CN37" s="96" t="str">
        <f t="shared" si="344"/>
        <v/>
      </c>
      <c r="CO37" s="97" t="str">
        <f t="shared" si="345"/>
        <v/>
      </c>
      <c r="CP37" s="98">
        <f t="shared" si="346"/>
        <v>0</v>
      </c>
      <c r="CQ37" s="93" t="str">
        <f t="shared" si="347"/>
        <v/>
      </c>
      <c r="CR37" s="94" t="str">
        <f t="shared" si="348"/>
        <v/>
      </c>
      <c r="CS37" s="95">
        <f t="shared" si="349"/>
        <v>0</v>
      </c>
      <c r="CT37" s="96" t="str">
        <f t="shared" si="350"/>
        <v/>
      </c>
      <c r="CU37" s="97" t="str">
        <f t="shared" si="351"/>
        <v/>
      </c>
      <c r="CV37" s="98">
        <f t="shared" si="352"/>
        <v>0</v>
      </c>
      <c r="CW37" s="93" t="str">
        <f t="shared" si="353"/>
        <v/>
      </c>
      <c r="CX37" s="94" t="str">
        <f t="shared" si="354"/>
        <v/>
      </c>
      <c r="CY37" s="95">
        <f t="shared" si="355"/>
        <v>0</v>
      </c>
      <c r="CZ37" s="96" t="str">
        <f t="shared" si="356"/>
        <v/>
      </c>
      <c r="DA37" s="97" t="str">
        <f t="shared" si="357"/>
        <v/>
      </c>
      <c r="DB37" s="98">
        <f t="shared" si="358"/>
        <v>0</v>
      </c>
      <c r="DC37" s="93" t="str">
        <f t="shared" si="359"/>
        <v/>
      </c>
      <c r="DD37" s="94" t="str">
        <f t="shared" si="360"/>
        <v/>
      </c>
      <c r="DE37" s="95">
        <f t="shared" si="361"/>
        <v>0</v>
      </c>
      <c r="DF37" s="96" t="str">
        <f t="shared" si="362"/>
        <v/>
      </c>
      <c r="DG37" s="97" t="str">
        <f t="shared" si="363"/>
        <v/>
      </c>
      <c r="DH37" s="98">
        <f t="shared" si="364"/>
        <v>0</v>
      </c>
      <c r="DI37" s="93" t="str">
        <f t="shared" si="365"/>
        <v/>
      </c>
      <c r="DJ37" s="94" t="str">
        <f t="shared" si="366"/>
        <v/>
      </c>
      <c r="DK37" s="95">
        <f t="shared" si="367"/>
        <v>0</v>
      </c>
      <c r="DL37" s="96" t="str">
        <f t="shared" si="368"/>
        <v/>
      </c>
      <c r="DM37" s="97" t="str">
        <f t="shared" si="369"/>
        <v/>
      </c>
      <c r="DN37" s="98">
        <f t="shared" si="370"/>
        <v>0</v>
      </c>
      <c r="DO37" s="93" t="str">
        <f t="shared" si="371"/>
        <v/>
      </c>
      <c r="DP37" s="94" t="str">
        <f t="shared" si="372"/>
        <v/>
      </c>
      <c r="DQ37" s="95">
        <f t="shared" si="373"/>
        <v>0</v>
      </c>
      <c r="DR37" s="96" t="str">
        <f t="shared" si="374"/>
        <v/>
      </c>
      <c r="DS37" s="97" t="str">
        <f t="shared" si="375"/>
        <v/>
      </c>
      <c r="DT37" s="98">
        <f t="shared" si="376"/>
        <v>0</v>
      </c>
      <c r="DU37" s="93" t="str">
        <f t="shared" si="377"/>
        <v/>
      </c>
      <c r="DV37" s="94" t="str">
        <f t="shared" si="378"/>
        <v/>
      </c>
      <c r="DW37" s="95">
        <f t="shared" si="379"/>
        <v>0</v>
      </c>
      <c r="DX37" s="96" t="str">
        <f t="shared" si="380"/>
        <v/>
      </c>
      <c r="DY37" s="97" t="str">
        <f t="shared" si="381"/>
        <v/>
      </c>
      <c r="DZ37" s="98">
        <f t="shared" si="382"/>
        <v>0</v>
      </c>
      <c r="EA37" s="93" t="str">
        <f t="shared" si="383"/>
        <v/>
      </c>
      <c r="EB37" s="94" t="str">
        <f t="shared" si="384"/>
        <v/>
      </c>
      <c r="EC37" s="95">
        <f t="shared" si="385"/>
        <v>0</v>
      </c>
      <c r="ED37" s="96" t="str">
        <f t="shared" si="386"/>
        <v/>
      </c>
      <c r="EE37" s="97" t="str">
        <f t="shared" si="387"/>
        <v/>
      </c>
      <c r="EF37" s="98">
        <f t="shared" si="388"/>
        <v>0</v>
      </c>
      <c r="EG37" s="93" t="str">
        <f t="shared" si="389"/>
        <v/>
      </c>
      <c r="EH37" s="94" t="str">
        <f t="shared" si="390"/>
        <v/>
      </c>
      <c r="EI37" s="95">
        <f t="shared" si="391"/>
        <v>0</v>
      </c>
      <c r="EJ37" s="96" t="str">
        <f t="shared" si="392"/>
        <v/>
      </c>
      <c r="EK37" s="97" t="str">
        <f t="shared" si="393"/>
        <v/>
      </c>
      <c r="EL37" s="98">
        <f t="shared" si="394"/>
        <v>0</v>
      </c>
      <c r="EM37" s="93" t="str">
        <f t="shared" si="395"/>
        <v/>
      </c>
      <c r="EN37" s="94" t="str">
        <f t="shared" si="396"/>
        <v/>
      </c>
      <c r="EO37" s="95">
        <f t="shared" si="397"/>
        <v>0</v>
      </c>
      <c r="EP37" s="96" t="str">
        <f t="shared" si="398"/>
        <v/>
      </c>
      <c r="EQ37" s="97" t="str">
        <f t="shared" si="399"/>
        <v/>
      </c>
      <c r="ER37" s="98">
        <f t="shared" si="400"/>
        <v>0</v>
      </c>
      <c r="ES37" s="93" t="str">
        <f t="shared" si="401"/>
        <v/>
      </c>
      <c r="ET37" s="94" t="str">
        <f t="shared" si="402"/>
        <v/>
      </c>
      <c r="EU37" s="95">
        <f t="shared" si="403"/>
        <v>0</v>
      </c>
      <c r="EV37" s="96" t="str">
        <f t="shared" si="404"/>
        <v/>
      </c>
      <c r="EW37" s="97" t="str">
        <f t="shared" si="405"/>
        <v/>
      </c>
      <c r="EX37" s="98">
        <f t="shared" si="406"/>
        <v>0</v>
      </c>
      <c r="EY37" s="93" t="str">
        <f t="shared" si="407"/>
        <v/>
      </c>
      <c r="EZ37" s="94" t="str">
        <f t="shared" si="408"/>
        <v/>
      </c>
      <c r="FA37" s="95">
        <f t="shared" si="409"/>
        <v>0</v>
      </c>
      <c r="FB37" s="96" t="str">
        <f t="shared" si="410"/>
        <v/>
      </c>
      <c r="FC37" s="97" t="str">
        <f t="shared" si="411"/>
        <v/>
      </c>
      <c r="FD37" s="98">
        <f t="shared" si="412"/>
        <v>0</v>
      </c>
      <c r="FE37" s="93" t="str">
        <f t="shared" si="413"/>
        <v/>
      </c>
      <c r="FF37" s="94" t="str">
        <f t="shared" si="414"/>
        <v/>
      </c>
      <c r="FG37" s="95">
        <f t="shared" si="415"/>
        <v>0</v>
      </c>
      <c r="FH37" s="96" t="str">
        <f t="shared" si="416"/>
        <v/>
      </c>
      <c r="FI37" s="97" t="str">
        <f t="shared" si="417"/>
        <v/>
      </c>
      <c r="FJ37" s="98">
        <f t="shared" si="418"/>
        <v>0</v>
      </c>
    </row>
    <row r="38" ht="15.75" customHeight="1">
      <c r="A38" s="6" t="str">
        <f>Menus!B30</f>
        <v/>
      </c>
      <c r="B38" s="16">
        <f t="shared" si="256"/>
        <v>0</v>
      </c>
      <c r="C38" s="16">
        <f t="shared" si="257"/>
        <v>0</v>
      </c>
      <c r="D38" s="16">
        <f t="shared" si="254"/>
        <v>0</v>
      </c>
      <c r="E38" s="87" t="str">
        <f t="shared" si="258"/>
        <v/>
      </c>
      <c r="F38" s="88" t="str">
        <f t="shared" si="259"/>
        <v/>
      </c>
      <c r="G38" s="89">
        <f t="shared" si="255"/>
        <v>0</v>
      </c>
      <c r="H38" s="90" t="str">
        <f t="shared" si="260"/>
        <v/>
      </c>
      <c r="I38" s="91" t="str">
        <f t="shared" si="261"/>
        <v/>
      </c>
      <c r="J38" s="92">
        <f t="shared" si="262"/>
        <v>0</v>
      </c>
      <c r="K38" s="93" t="str">
        <f t="shared" si="263"/>
        <v/>
      </c>
      <c r="L38" s="94" t="str">
        <f t="shared" si="264"/>
        <v/>
      </c>
      <c r="M38" s="95">
        <f t="shared" si="265"/>
        <v>0</v>
      </c>
      <c r="N38" s="96" t="str">
        <f t="shared" si="266"/>
        <v/>
      </c>
      <c r="O38" s="97" t="str">
        <f t="shared" si="267"/>
        <v/>
      </c>
      <c r="P38" s="98">
        <f t="shared" si="268"/>
        <v>0</v>
      </c>
      <c r="Q38" s="93" t="str">
        <f t="shared" si="269"/>
        <v/>
      </c>
      <c r="R38" s="94" t="str">
        <f t="shared" si="270"/>
        <v/>
      </c>
      <c r="S38" s="95">
        <f t="shared" si="271"/>
        <v>0</v>
      </c>
      <c r="T38" s="96" t="str">
        <f t="shared" si="272"/>
        <v/>
      </c>
      <c r="U38" s="97" t="str">
        <f t="shared" si="273"/>
        <v/>
      </c>
      <c r="V38" s="98">
        <f t="shared" si="274"/>
        <v>0</v>
      </c>
      <c r="W38" s="93" t="str">
        <f t="shared" si="275"/>
        <v/>
      </c>
      <c r="X38" s="94" t="str">
        <f t="shared" si="276"/>
        <v/>
      </c>
      <c r="Y38" s="95">
        <f t="shared" si="277"/>
        <v>0</v>
      </c>
      <c r="Z38" s="96" t="str">
        <f t="shared" si="278"/>
        <v/>
      </c>
      <c r="AA38" s="97" t="str">
        <f t="shared" si="279"/>
        <v/>
      </c>
      <c r="AB38" s="98">
        <f t="shared" si="280"/>
        <v>0</v>
      </c>
      <c r="AC38" s="93" t="str">
        <f t="shared" si="281"/>
        <v/>
      </c>
      <c r="AD38" s="94" t="str">
        <f t="shared" si="282"/>
        <v/>
      </c>
      <c r="AE38" s="95">
        <f t="shared" si="283"/>
        <v>0</v>
      </c>
      <c r="AF38" s="96" t="str">
        <f t="shared" si="284"/>
        <v/>
      </c>
      <c r="AG38" s="97" t="str">
        <f t="shared" si="285"/>
        <v/>
      </c>
      <c r="AH38" s="98">
        <f t="shared" si="286"/>
        <v>0</v>
      </c>
      <c r="AI38" s="93" t="str">
        <f t="shared" si="287"/>
        <v/>
      </c>
      <c r="AJ38" s="94" t="str">
        <f t="shared" si="288"/>
        <v/>
      </c>
      <c r="AK38" s="95">
        <f t="shared" si="289"/>
        <v>0</v>
      </c>
      <c r="AL38" s="96" t="str">
        <f t="shared" si="290"/>
        <v/>
      </c>
      <c r="AM38" s="97" t="str">
        <f t="shared" si="291"/>
        <v/>
      </c>
      <c r="AN38" s="98">
        <f t="shared" si="292"/>
        <v>0</v>
      </c>
      <c r="AO38" s="93" t="str">
        <f t="shared" si="293"/>
        <v/>
      </c>
      <c r="AP38" s="94" t="str">
        <f t="shared" si="294"/>
        <v/>
      </c>
      <c r="AQ38" s="95">
        <f t="shared" si="295"/>
        <v>0</v>
      </c>
      <c r="AR38" s="96" t="str">
        <f t="shared" si="296"/>
        <v/>
      </c>
      <c r="AS38" s="97" t="str">
        <f t="shared" si="297"/>
        <v/>
      </c>
      <c r="AT38" s="98">
        <f t="shared" si="298"/>
        <v>0</v>
      </c>
      <c r="AU38" s="93" t="str">
        <f t="shared" si="299"/>
        <v/>
      </c>
      <c r="AV38" s="94" t="str">
        <f t="shared" si="300"/>
        <v/>
      </c>
      <c r="AW38" s="95">
        <f t="shared" si="301"/>
        <v>0</v>
      </c>
      <c r="AX38" s="96" t="str">
        <f t="shared" si="302"/>
        <v/>
      </c>
      <c r="AY38" s="97" t="str">
        <f t="shared" si="303"/>
        <v/>
      </c>
      <c r="AZ38" s="98">
        <f t="shared" si="304"/>
        <v>0</v>
      </c>
      <c r="BA38" s="93" t="str">
        <f t="shared" si="305"/>
        <v/>
      </c>
      <c r="BB38" s="94" t="str">
        <f t="shared" si="306"/>
        <v/>
      </c>
      <c r="BC38" s="95">
        <f t="shared" si="307"/>
        <v>0</v>
      </c>
      <c r="BD38" s="96" t="str">
        <f t="shared" si="308"/>
        <v/>
      </c>
      <c r="BE38" s="97" t="str">
        <f t="shared" si="309"/>
        <v/>
      </c>
      <c r="BF38" s="98">
        <f t="shared" si="310"/>
        <v>0</v>
      </c>
      <c r="BG38" s="93" t="str">
        <f t="shared" si="311"/>
        <v/>
      </c>
      <c r="BH38" s="94" t="str">
        <f t="shared" si="312"/>
        <v/>
      </c>
      <c r="BI38" s="95">
        <f t="shared" si="313"/>
        <v>0</v>
      </c>
      <c r="BJ38" s="96" t="str">
        <f t="shared" si="314"/>
        <v/>
      </c>
      <c r="BK38" s="97" t="str">
        <f t="shared" si="315"/>
        <v/>
      </c>
      <c r="BL38" s="98">
        <f t="shared" si="316"/>
        <v>0</v>
      </c>
      <c r="BM38" s="93" t="str">
        <f t="shared" si="317"/>
        <v/>
      </c>
      <c r="BN38" s="94" t="str">
        <f t="shared" si="318"/>
        <v/>
      </c>
      <c r="BO38" s="95">
        <f t="shared" si="319"/>
        <v>0</v>
      </c>
      <c r="BP38" s="96" t="str">
        <f t="shared" si="320"/>
        <v/>
      </c>
      <c r="BQ38" s="97" t="str">
        <f t="shared" si="321"/>
        <v/>
      </c>
      <c r="BR38" s="98">
        <f t="shared" si="322"/>
        <v>0</v>
      </c>
      <c r="BS38" s="93" t="str">
        <f t="shared" si="323"/>
        <v/>
      </c>
      <c r="BT38" s="94" t="str">
        <f t="shared" si="324"/>
        <v/>
      </c>
      <c r="BU38" s="95">
        <f t="shared" si="325"/>
        <v>0</v>
      </c>
      <c r="BV38" s="96" t="str">
        <f t="shared" si="326"/>
        <v/>
      </c>
      <c r="BW38" s="97" t="str">
        <f t="shared" si="327"/>
        <v/>
      </c>
      <c r="BX38" s="98">
        <f t="shared" si="328"/>
        <v>0</v>
      </c>
      <c r="BY38" s="93" t="str">
        <f t="shared" si="329"/>
        <v/>
      </c>
      <c r="BZ38" s="94" t="str">
        <f t="shared" si="330"/>
        <v/>
      </c>
      <c r="CA38" s="95">
        <f t="shared" si="331"/>
        <v>0</v>
      </c>
      <c r="CB38" s="96" t="str">
        <f t="shared" si="332"/>
        <v/>
      </c>
      <c r="CC38" s="97" t="str">
        <f t="shared" si="333"/>
        <v/>
      </c>
      <c r="CD38" s="98">
        <f t="shared" si="334"/>
        <v>0</v>
      </c>
      <c r="CE38" s="93" t="str">
        <f t="shared" si="335"/>
        <v/>
      </c>
      <c r="CF38" s="94" t="str">
        <f t="shared" si="336"/>
        <v/>
      </c>
      <c r="CG38" s="95">
        <f t="shared" si="337"/>
        <v>0</v>
      </c>
      <c r="CH38" s="96" t="str">
        <f t="shared" si="338"/>
        <v/>
      </c>
      <c r="CI38" s="97" t="str">
        <f t="shared" si="339"/>
        <v/>
      </c>
      <c r="CJ38" s="98">
        <f t="shared" si="340"/>
        <v>0</v>
      </c>
      <c r="CK38" s="93" t="str">
        <f t="shared" si="341"/>
        <v/>
      </c>
      <c r="CL38" s="94" t="str">
        <f t="shared" si="342"/>
        <v/>
      </c>
      <c r="CM38" s="95">
        <f t="shared" si="343"/>
        <v>0</v>
      </c>
      <c r="CN38" s="96" t="str">
        <f t="shared" si="344"/>
        <v/>
      </c>
      <c r="CO38" s="97" t="str">
        <f t="shared" si="345"/>
        <v/>
      </c>
      <c r="CP38" s="98">
        <f t="shared" si="346"/>
        <v>0</v>
      </c>
      <c r="CQ38" s="93" t="str">
        <f t="shared" si="347"/>
        <v/>
      </c>
      <c r="CR38" s="94" t="str">
        <f t="shared" si="348"/>
        <v/>
      </c>
      <c r="CS38" s="95">
        <f t="shared" si="349"/>
        <v>0</v>
      </c>
      <c r="CT38" s="96" t="str">
        <f t="shared" si="350"/>
        <v/>
      </c>
      <c r="CU38" s="97" t="str">
        <f t="shared" si="351"/>
        <v/>
      </c>
      <c r="CV38" s="98">
        <f t="shared" si="352"/>
        <v>0</v>
      </c>
      <c r="CW38" s="93" t="str">
        <f t="shared" si="353"/>
        <v/>
      </c>
      <c r="CX38" s="94" t="str">
        <f t="shared" si="354"/>
        <v/>
      </c>
      <c r="CY38" s="95">
        <f t="shared" si="355"/>
        <v>0</v>
      </c>
      <c r="CZ38" s="96" t="str">
        <f t="shared" si="356"/>
        <v/>
      </c>
      <c r="DA38" s="97" t="str">
        <f t="shared" si="357"/>
        <v/>
      </c>
      <c r="DB38" s="98">
        <f t="shared" si="358"/>
        <v>0</v>
      </c>
      <c r="DC38" s="93" t="str">
        <f t="shared" si="359"/>
        <v/>
      </c>
      <c r="DD38" s="94" t="str">
        <f t="shared" si="360"/>
        <v/>
      </c>
      <c r="DE38" s="95">
        <f t="shared" si="361"/>
        <v>0</v>
      </c>
      <c r="DF38" s="96" t="str">
        <f t="shared" si="362"/>
        <v/>
      </c>
      <c r="DG38" s="97" t="str">
        <f t="shared" si="363"/>
        <v/>
      </c>
      <c r="DH38" s="98">
        <f t="shared" si="364"/>
        <v>0</v>
      </c>
      <c r="DI38" s="93" t="str">
        <f t="shared" si="365"/>
        <v/>
      </c>
      <c r="DJ38" s="94" t="str">
        <f t="shared" si="366"/>
        <v/>
      </c>
      <c r="DK38" s="95">
        <f t="shared" si="367"/>
        <v>0</v>
      </c>
      <c r="DL38" s="96" t="str">
        <f t="shared" si="368"/>
        <v/>
      </c>
      <c r="DM38" s="97" t="str">
        <f t="shared" si="369"/>
        <v/>
      </c>
      <c r="DN38" s="98">
        <f t="shared" si="370"/>
        <v>0</v>
      </c>
      <c r="DO38" s="93" t="str">
        <f t="shared" si="371"/>
        <v/>
      </c>
      <c r="DP38" s="94" t="str">
        <f t="shared" si="372"/>
        <v/>
      </c>
      <c r="DQ38" s="95">
        <f t="shared" si="373"/>
        <v>0</v>
      </c>
      <c r="DR38" s="96" t="str">
        <f t="shared" si="374"/>
        <v/>
      </c>
      <c r="DS38" s="97" t="str">
        <f t="shared" si="375"/>
        <v/>
      </c>
      <c r="DT38" s="98">
        <f t="shared" si="376"/>
        <v>0</v>
      </c>
      <c r="DU38" s="93" t="str">
        <f t="shared" si="377"/>
        <v/>
      </c>
      <c r="DV38" s="94" t="str">
        <f t="shared" si="378"/>
        <v/>
      </c>
      <c r="DW38" s="95">
        <f t="shared" si="379"/>
        <v>0</v>
      </c>
      <c r="DX38" s="96" t="str">
        <f t="shared" si="380"/>
        <v/>
      </c>
      <c r="DY38" s="97" t="str">
        <f t="shared" si="381"/>
        <v/>
      </c>
      <c r="DZ38" s="98">
        <f t="shared" si="382"/>
        <v>0</v>
      </c>
      <c r="EA38" s="93" t="str">
        <f t="shared" si="383"/>
        <v/>
      </c>
      <c r="EB38" s="94" t="str">
        <f t="shared" si="384"/>
        <v/>
      </c>
      <c r="EC38" s="95">
        <f t="shared" si="385"/>
        <v>0</v>
      </c>
      <c r="ED38" s="96" t="str">
        <f t="shared" si="386"/>
        <v/>
      </c>
      <c r="EE38" s="97" t="str">
        <f t="shared" si="387"/>
        <v/>
      </c>
      <c r="EF38" s="98">
        <f t="shared" si="388"/>
        <v>0</v>
      </c>
      <c r="EG38" s="93" t="str">
        <f t="shared" si="389"/>
        <v/>
      </c>
      <c r="EH38" s="94" t="str">
        <f t="shared" si="390"/>
        <v/>
      </c>
      <c r="EI38" s="95">
        <f t="shared" si="391"/>
        <v>0</v>
      </c>
      <c r="EJ38" s="96" t="str">
        <f t="shared" si="392"/>
        <v/>
      </c>
      <c r="EK38" s="97" t="str">
        <f t="shared" si="393"/>
        <v/>
      </c>
      <c r="EL38" s="98">
        <f t="shared" si="394"/>
        <v>0</v>
      </c>
      <c r="EM38" s="93" t="str">
        <f t="shared" si="395"/>
        <v/>
      </c>
      <c r="EN38" s="94" t="str">
        <f t="shared" si="396"/>
        <v/>
      </c>
      <c r="EO38" s="95">
        <f t="shared" si="397"/>
        <v>0</v>
      </c>
      <c r="EP38" s="96" t="str">
        <f t="shared" si="398"/>
        <v/>
      </c>
      <c r="EQ38" s="97" t="str">
        <f t="shared" si="399"/>
        <v/>
      </c>
      <c r="ER38" s="98">
        <f t="shared" si="400"/>
        <v>0</v>
      </c>
      <c r="ES38" s="93" t="str">
        <f t="shared" si="401"/>
        <v/>
      </c>
      <c r="ET38" s="94" t="str">
        <f t="shared" si="402"/>
        <v/>
      </c>
      <c r="EU38" s="95">
        <f t="shared" si="403"/>
        <v>0</v>
      </c>
      <c r="EV38" s="96" t="str">
        <f t="shared" si="404"/>
        <v/>
      </c>
      <c r="EW38" s="97" t="str">
        <f t="shared" si="405"/>
        <v/>
      </c>
      <c r="EX38" s="98">
        <f t="shared" si="406"/>
        <v>0</v>
      </c>
      <c r="EY38" s="93" t="str">
        <f t="shared" si="407"/>
        <v/>
      </c>
      <c r="EZ38" s="94" t="str">
        <f t="shared" si="408"/>
        <v/>
      </c>
      <c r="FA38" s="95">
        <f t="shared" si="409"/>
        <v>0</v>
      </c>
      <c r="FB38" s="96" t="str">
        <f t="shared" si="410"/>
        <v/>
      </c>
      <c r="FC38" s="97" t="str">
        <f t="shared" si="411"/>
        <v/>
      </c>
      <c r="FD38" s="98">
        <f t="shared" si="412"/>
        <v>0</v>
      </c>
      <c r="FE38" s="93" t="str">
        <f t="shared" si="413"/>
        <v/>
      </c>
      <c r="FF38" s="94" t="str">
        <f t="shared" si="414"/>
        <v/>
      </c>
      <c r="FG38" s="95">
        <f t="shared" si="415"/>
        <v>0</v>
      </c>
      <c r="FH38" s="96" t="str">
        <f t="shared" si="416"/>
        <v/>
      </c>
      <c r="FI38" s="97" t="str">
        <f t="shared" si="417"/>
        <v/>
      </c>
      <c r="FJ38" s="98">
        <f t="shared" si="418"/>
        <v>0</v>
      </c>
    </row>
    <row r="39" ht="15.75" customHeight="1">
      <c r="A39" s="6" t="str">
        <f>Menus!B31</f>
        <v/>
      </c>
      <c r="B39" s="16">
        <f t="shared" si="256"/>
        <v>0</v>
      </c>
      <c r="C39" s="16">
        <f t="shared" si="257"/>
        <v>0</v>
      </c>
      <c r="D39" s="16">
        <f t="shared" si="254"/>
        <v>0</v>
      </c>
      <c r="E39" s="87" t="str">
        <f t="shared" si="258"/>
        <v/>
      </c>
      <c r="F39" s="88" t="str">
        <f t="shared" si="259"/>
        <v/>
      </c>
      <c r="G39" s="89">
        <f t="shared" si="255"/>
        <v>0</v>
      </c>
      <c r="H39" s="90" t="str">
        <f t="shared" si="260"/>
        <v/>
      </c>
      <c r="I39" s="91" t="str">
        <f t="shared" si="261"/>
        <v/>
      </c>
      <c r="J39" s="92">
        <f t="shared" si="262"/>
        <v>0</v>
      </c>
      <c r="K39" s="93" t="str">
        <f t="shared" si="263"/>
        <v/>
      </c>
      <c r="L39" s="94" t="str">
        <f t="shared" si="264"/>
        <v/>
      </c>
      <c r="M39" s="95">
        <f t="shared" si="265"/>
        <v>0</v>
      </c>
      <c r="N39" s="96" t="str">
        <f t="shared" si="266"/>
        <v/>
      </c>
      <c r="O39" s="97" t="str">
        <f t="shared" si="267"/>
        <v/>
      </c>
      <c r="P39" s="98">
        <f t="shared" si="268"/>
        <v>0</v>
      </c>
      <c r="Q39" s="93" t="str">
        <f t="shared" si="269"/>
        <v/>
      </c>
      <c r="R39" s="94" t="str">
        <f t="shared" si="270"/>
        <v/>
      </c>
      <c r="S39" s="95">
        <f t="shared" si="271"/>
        <v>0</v>
      </c>
      <c r="T39" s="96" t="str">
        <f t="shared" si="272"/>
        <v/>
      </c>
      <c r="U39" s="97" t="str">
        <f t="shared" si="273"/>
        <v/>
      </c>
      <c r="V39" s="98">
        <f t="shared" si="274"/>
        <v>0</v>
      </c>
      <c r="W39" s="93" t="str">
        <f t="shared" si="275"/>
        <v/>
      </c>
      <c r="X39" s="94" t="str">
        <f t="shared" si="276"/>
        <v/>
      </c>
      <c r="Y39" s="95">
        <f t="shared" si="277"/>
        <v>0</v>
      </c>
      <c r="Z39" s="96" t="str">
        <f t="shared" si="278"/>
        <v/>
      </c>
      <c r="AA39" s="97" t="str">
        <f t="shared" si="279"/>
        <v/>
      </c>
      <c r="AB39" s="98">
        <f t="shared" si="280"/>
        <v>0</v>
      </c>
      <c r="AC39" s="93" t="str">
        <f t="shared" si="281"/>
        <v/>
      </c>
      <c r="AD39" s="94" t="str">
        <f t="shared" si="282"/>
        <v/>
      </c>
      <c r="AE39" s="95">
        <f t="shared" si="283"/>
        <v>0</v>
      </c>
      <c r="AF39" s="96" t="str">
        <f t="shared" si="284"/>
        <v/>
      </c>
      <c r="AG39" s="97" t="str">
        <f t="shared" si="285"/>
        <v/>
      </c>
      <c r="AH39" s="98">
        <f t="shared" si="286"/>
        <v>0</v>
      </c>
      <c r="AI39" s="93" t="str">
        <f t="shared" si="287"/>
        <v/>
      </c>
      <c r="AJ39" s="94" t="str">
        <f t="shared" si="288"/>
        <v/>
      </c>
      <c r="AK39" s="95">
        <f t="shared" si="289"/>
        <v>0</v>
      </c>
      <c r="AL39" s="96" t="str">
        <f t="shared" si="290"/>
        <v/>
      </c>
      <c r="AM39" s="97" t="str">
        <f t="shared" si="291"/>
        <v/>
      </c>
      <c r="AN39" s="98">
        <f t="shared" si="292"/>
        <v>0</v>
      </c>
      <c r="AO39" s="93" t="str">
        <f t="shared" si="293"/>
        <v/>
      </c>
      <c r="AP39" s="94" t="str">
        <f t="shared" si="294"/>
        <v/>
      </c>
      <c r="AQ39" s="95">
        <f t="shared" si="295"/>
        <v>0</v>
      </c>
      <c r="AR39" s="96" t="str">
        <f t="shared" si="296"/>
        <v/>
      </c>
      <c r="AS39" s="97" t="str">
        <f t="shared" si="297"/>
        <v/>
      </c>
      <c r="AT39" s="98">
        <f t="shared" si="298"/>
        <v>0</v>
      </c>
      <c r="AU39" s="93" t="str">
        <f t="shared" si="299"/>
        <v/>
      </c>
      <c r="AV39" s="94" t="str">
        <f t="shared" si="300"/>
        <v/>
      </c>
      <c r="AW39" s="95">
        <f t="shared" si="301"/>
        <v>0</v>
      </c>
      <c r="AX39" s="96" t="str">
        <f t="shared" si="302"/>
        <v/>
      </c>
      <c r="AY39" s="97" t="str">
        <f t="shared" si="303"/>
        <v/>
      </c>
      <c r="AZ39" s="98">
        <f t="shared" si="304"/>
        <v>0</v>
      </c>
      <c r="BA39" s="93" t="str">
        <f t="shared" si="305"/>
        <v/>
      </c>
      <c r="BB39" s="94" t="str">
        <f t="shared" si="306"/>
        <v/>
      </c>
      <c r="BC39" s="95">
        <f t="shared" si="307"/>
        <v>0</v>
      </c>
      <c r="BD39" s="96" t="str">
        <f t="shared" si="308"/>
        <v/>
      </c>
      <c r="BE39" s="97" t="str">
        <f t="shared" si="309"/>
        <v/>
      </c>
      <c r="BF39" s="98">
        <f t="shared" si="310"/>
        <v>0</v>
      </c>
      <c r="BG39" s="93" t="str">
        <f t="shared" si="311"/>
        <v/>
      </c>
      <c r="BH39" s="94" t="str">
        <f t="shared" si="312"/>
        <v/>
      </c>
      <c r="BI39" s="95">
        <f t="shared" si="313"/>
        <v>0</v>
      </c>
      <c r="BJ39" s="96" t="str">
        <f t="shared" si="314"/>
        <v/>
      </c>
      <c r="BK39" s="97" t="str">
        <f t="shared" si="315"/>
        <v/>
      </c>
      <c r="BL39" s="98">
        <f t="shared" si="316"/>
        <v>0</v>
      </c>
      <c r="BM39" s="93" t="str">
        <f t="shared" si="317"/>
        <v/>
      </c>
      <c r="BN39" s="94" t="str">
        <f t="shared" si="318"/>
        <v/>
      </c>
      <c r="BO39" s="95">
        <f t="shared" si="319"/>
        <v>0</v>
      </c>
      <c r="BP39" s="96" t="str">
        <f t="shared" si="320"/>
        <v/>
      </c>
      <c r="BQ39" s="97" t="str">
        <f t="shared" si="321"/>
        <v/>
      </c>
      <c r="BR39" s="98">
        <f t="shared" si="322"/>
        <v>0</v>
      </c>
      <c r="BS39" s="93" t="str">
        <f t="shared" si="323"/>
        <v/>
      </c>
      <c r="BT39" s="94" t="str">
        <f t="shared" si="324"/>
        <v/>
      </c>
      <c r="BU39" s="95">
        <f t="shared" si="325"/>
        <v>0</v>
      </c>
      <c r="BV39" s="96" t="str">
        <f t="shared" si="326"/>
        <v/>
      </c>
      <c r="BW39" s="97" t="str">
        <f t="shared" si="327"/>
        <v/>
      </c>
      <c r="BX39" s="98">
        <f t="shared" si="328"/>
        <v>0</v>
      </c>
      <c r="BY39" s="93" t="str">
        <f t="shared" si="329"/>
        <v/>
      </c>
      <c r="BZ39" s="94" t="str">
        <f t="shared" si="330"/>
        <v/>
      </c>
      <c r="CA39" s="95">
        <f t="shared" si="331"/>
        <v>0</v>
      </c>
      <c r="CB39" s="96" t="str">
        <f t="shared" si="332"/>
        <v/>
      </c>
      <c r="CC39" s="97" t="str">
        <f t="shared" si="333"/>
        <v/>
      </c>
      <c r="CD39" s="98">
        <f t="shared" si="334"/>
        <v>0</v>
      </c>
      <c r="CE39" s="93" t="str">
        <f t="shared" si="335"/>
        <v/>
      </c>
      <c r="CF39" s="94" t="str">
        <f t="shared" si="336"/>
        <v/>
      </c>
      <c r="CG39" s="95">
        <f t="shared" si="337"/>
        <v>0</v>
      </c>
      <c r="CH39" s="96" t="str">
        <f t="shared" si="338"/>
        <v/>
      </c>
      <c r="CI39" s="97" t="str">
        <f t="shared" si="339"/>
        <v/>
      </c>
      <c r="CJ39" s="98">
        <f t="shared" si="340"/>
        <v>0</v>
      </c>
      <c r="CK39" s="93" t="str">
        <f t="shared" si="341"/>
        <v/>
      </c>
      <c r="CL39" s="94" t="str">
        <f t="shared" si="342"/>
        <v/>
      </c>
      <c r="CM39" s="95">
        <f t="shared" si="343"/>
        <v>0</v>
      </c>
      <c r="CN39" s="96" t="str">
        <f t="shared" si="344"/>
        <v/>
      </c>
      <c r="CO39" s="97" t="str">
        <f t="shared" si="345"/>
        <v/>
      </c>
      <c r="CP39" s="98">
        <f t="shared" si="346"/>
        <v>0</v>
      </c>
      <c r="CQ39" s="93" t="str">
        <f t="shared" si="347"/>
        <v/>
      </c>
      <c r="CR39" s="94" t="str">
        <f t="shared" si="348"/>
        <v/>
      </c>
      <c r="CS39" s="95">
        <f t="shared" si="349"/>
        <v>0</v>
      </c>
      <c r="CT39" s="96" t="str">
        <f t="shared" si="350"/>
        <v/>
      </c>
      <c r="CU39" s="97" t="str">
        <f t="shared" si="351"/>
        <v/>
      </c>
      <c r="CV39" s="98">
        <f t="shared" si="352"/>
        <v>0</v>
      </c>
      <c r="CW39" s="93" t="str">
        <f t="shared" si="353"/>
        <v/>
      </c>
      <c r="CX39" s="94" t="str">
        <f t="shared" si="354"/>
        <v/>
      </c>
      <c r="CY39" s="95">
        <f t="shared" si="355"/>
        <v>0</v>
      </c>
      <c r="CZ39" s="96" t="str">
        <f t="shared" si="356"/>
        <v/>
      </c>
      <c r="DA39" s="97" t="str">
        <f t="shared" si="357"/>
        <v/>
      </c>
      <c r="DB39" s="98">
        <f t="shared" si="358"/>
        <v>0</v>
      </c>
      <c r="DC39" s="93" t="str">
        <f t="shared" si="359"/>
        <v/>
      </c>
      <c r="DD39" s="94" t="str">
        <f t="shared" si="360"/>
        <v/>
      </c>
      <c r="DE39" s="95">
        <f t="shared" si="361"/>
        <v>0</v>
      </c>
      <c r="DF39" s="96" t="str">
        <f t="shared" si="362"/>
        <v/>
      </c>
      <c r="DG39" s="97" t="str">
        <f t="shared" si="363"/>
        <v/>
      </c>
      <c r="DH39" s="98">
        <f t="shared" si="364"/>
        <v>0</v>
      </c>
      <c r="DI39" s="93" t="str">
        <f t="shared" si="365"/>
        <v/>
      </c>
      <c r="DJ39" s="94" t="str">
        <f t="shared" si="366"/>
        <v/>
      </c>
      <c r="DK39" s="95">
        <f t="shared" si="367"/>
        <v>0</v>
      </c>
      <c r="DL39" s="96" t="str">
        <f t="shared" si="368"/>
        <v/>
      </c>
      <c r="DM39" s="97" t="str">
        <f t="shared" si="369"/>
        <v/>
      </c>
      <c r="DN39" s="98">
        <f t="shared" si="370"/>
        <v>0</v>
      </c>
      <c r="DO39" s="93" t="str">
        <f t="shared" si="371"/>
        <v/>
      </c>
      <c r="DP39" s="94" t="str">
        <f t="shared" si="372"/>
        <v/>
      </c>
      <c r="DQ39" s="95">
        <f t="shared" si="373"/>
        <v>0</v>
      </c>
      <c r="DR39" s="96" t="str">
        <f t="shared" si="374"/>
        <v/>
      </c>
      <c r="DS39" s="97" t="str">
        <f t="shared" si="375"/>
        <v/>
      </c>
      <c r="DT39" s="98">
        <f t="shared" si="376"/>
        <v>0</v>
      </c>
      <c r="DU39" s="93" t="str">
        <f t="shared" si="377"/>
        <v/>
      </c>
      <c r="DV39" s="94" t="str">
        <f t="shared" si="378"/>
        <v/>
      </c>
      <c r="DW39" s="95">
        <f t="shared" si="379"/>
        <v>0</v>
      </c>
      <c r="DX39" s="96" t="str">
        <f t="shared" si="380"/>
        <v/>
      </c>
      <c r="DY39" s="97" t="str">
        <f t="shared" si="381"/>
        <v/>
      </c>
      <c r="DZ39" s="98">
        <f t="shared" si="382"/>
        <v>0</v>
      </c>
      <c r="EA39" s="93" t="str">
        <f t="shared" si="383"/>
        <v/>
      </c>
      <c r="EB39" s="94" t="str">
        <f t="shared" si="384"/>
        <v/>
      </c>
      <c r="EC39" s="95">
        <f t="shared" si="385"/>
        <v>0</v>
      </c>
      <c r="ED39" s="96" t="str">
        <f t="shared" si="386"/>
        <v/>
      </c>
      <c r="EE39" s="97" t="str">
        <f t="shared" si="387"/>
        <v/>
      </c>
      <c r="EF39" s="98">
        <f t="shared" si="388"/>
        <v>0</v>
      </c>
      <c r="EG39" s="93" t="str">
        <f t="shared" si="389"/>
        <v/>
      </c>
      <c r="EH39" s="94" t="str">
        <f t="shared" si="390"/>
        <v/>
      </c>
      <c r="EI39" s="95">
        <f t="shared" si="391"/>
        <v>0</v>
      </c>
      <c r="EJ39" s="96" t="str">
        <f t="shared" si="392"/>
        <v/>
      </c>
      <c r="EK39" s="97" t="str">
        <f t="shared" si="393"/>
        <v/>
      </c>
      <c r="EL39" s="98">
        <f t="shared" si="394"/>
        <v>0</v>
      </c>
      <c r="EM39" s="93" t="str">
        <f t="shared" si="395"/>
        <v/>
      </c>
      <c r="EN39" s="94" t="str">
        <f t="shared" si="396"/>
        <v/>
      </c>
      <c r="EO39" s="95">
        <f t="shared" si="397"/>
        <v>0</v>
      </c>
      <c r="EP39" s="96" t="str">
        <f t="shared" si="398"/>
        <v/>
      </c>
      <c r="EQ39" s="97" t="str">
        <f t="shared" si="399"/>
        <v/>
      </c>
      <c r="ER39" s="98">
        <f t="shared" si="400"/>
        <v>0</v>
      </c>
      <c r="ES39" s="93" t="str">
        <f t="shared" si="401"/>
        <v/>
      </c>
      <c r="ET39" s="94" t="str">
        <f t="shared" si="402"/>
        <v/>
      </c>
      <c r="EU39" s="95">
        <f t="shared" si="403"/>
        <v>0</v>
      </c>
      <c r="EV39" s="96" t="str">
        <f t="shared" si="404"/>
        <v/>
      </c>
      <c r="EW39" s="97" t="str">
        <f t="shared" si="405"/>
        <v/>
      </c>
      <c r="EX39" s="98">
        <f t="shared" si="406"/>
        <v>0</v>
      </c>
      <c r="EY39" s="93" t="str">
        <f t="shared" si="407"/>
        <v/>
      </c>
      <c r="EZ39" s="94" t="str">
        <f t="shared" si="408"/>
        <v/>
      </c>
      <c r="FA39" s="95">
        <f t="shared" si="409"/>
        <v>0</v>
      </c>
      <c r="FB39" s="96" t="str">
        <f t="shared" si="410"/>
        <v/>
      </c>
      <c r="FC39" s="97" t="str">
        <f t="shared" si="411"/>
        <v/>
      </c>
      <c r="FD39" s="98">
        <f t="shared" si="412"/>
        <v>0</v>
      </c>
      <c r="FE39" s="93" t="str">
        <f t="shared" si="413"/>
        <v/>
      </c>
      <c r="FF39" s="94" t="str">
        <f t="shared" si="414"/>
        <v/>
      </c>
      <c r="FG39" s="95">
        <f t="shared" si="415"/>
        <v>0</v>
      </c>
      <c r="FH39" s="96" t="str">
        <f t="shared" si="416"/>
        <v/>
      </c>
      <c r="FI39" s="97" t="str">
        <f t="shared" si="417"/>
        <v/>
      </c>
      <c r="FJ39" s="98">
        <f t="shared" si="418"/>
        <v>0</v>
      </c>
    </row>
    <row r="40" ht="15.75" customHeight="1">
      <c r="A40" s="6" t="str">
        <f>Menus!B32</f>
        <v/>
      </c>
      <c r="B40" s="16">
        <f t="shared" si="256"/>
        <v>0</v>
      </c>
      <c r="C40" s="16">
        <f t="shared" si="257"/>
        <v>0</v>
      </c>
      <c r="D40" s="16">
        <f t="shared" si="254"/>
        <v>0</v>
      </c>
      <c r="E40" s="87" t="str">
        <f t="shared" si="258"/>
        <v/>
      </c>
      <c r="F40" s="88" t="str">
        <f t="shared" si="259"/>
        <v/>
      </c>
      <c r="G40" s="89">
        <f t="shared" si="255"/>
        <v>0</v>
      </c>
      <c r="H40" s="90" t="str">
        <f t="shared" si="260"/>
        <v/>
      </c>
      <c r="I40" s="91" t="str">
        <f t="shared" si="261"/>
        <v/>
      </c>
      <c r="J40" s="92">
        <f t="shared" si="262"/>
        <v>0</v>
      </c>
      <c r="K40" s="93" t="str">
        <f t="shared" si="263"/>
        <v/>
      </c>
      <c r="L40" s="94" t="str">
        <f t="shared" si="264"/>
        <v/>
      </c>
      <c r="M40" s="95">
        <f t="shared" si="265"/>
        <v>0</v>
      </c>
      <c r="N40" s="96" t="str">
        <f t="shared" si="266"/>
        <v/>
      </c>
      <c r="O40" s="97" t="str">
        <f t="shared" si="267"/>
        <v/>
      </c>
      <c r="P40" s="98">
        <f t="shared" si="268"/>
        <v>0</v>
      </c>
      <c r="Q40" s="93" t="str">
        <f t="shared" si="269"/>
        <v/>
      </c>
      <c r="R40" s="94" t="str">
        <f t="shared" si="270"/>
        <v/>
      </c>
      <c r="S40" s="95">
        <f t="shared" si="271"/>
        <v>0</v>
      </c>
      <c r="T40" s="96" t="str">
        <f t="shared" si="272"/>
        <v/>
      </c>
      <c r="U40" s="97" t="str">
        <f t="shared" si="273"/>
        <v/>
      </c>
      <c r="V40" s="98">
        <f t="shared" si="274"/>
        <v>0</v>
      </c>
      <c r="W40" s="93" t="str">
        <f t="shared" si="275"/>
        <v/>
      </c>
      <c r="X40" s="94" t="str">
        <f t="shared" si="276"/>
        <v/>
      </c>
      <c r="Y40" s="95">
        <f t="shared" si="277"/>
        <v>0</v>
      </c>
      <c r="Z40" s="96" t="str">
        <f t="shared" si="278"/>
        <v/>
      </c>
      <c r="AA40" s="97" t="str">
        <f t="shared" si="279"/>
        <v/>
      </c>
      <c r="AB40" s="98">
        <f t="shared" si="280"/>
        <v>0</v>
      </c>
      <c r="AC40" s="93" t="str">
        <f t="shared" si="281"/>
        <v/>
      </c>
      <c r="AD40" s="94" t="str">
        <f t="shared" si="282"/>
        <v/>
      </c>
      <c r="AE40" s="95">
        <f t="shared" si="283"/>
        <v>0</v>
      </c>
      <c r="AF40" s="96" t="str">
        <f t="shared" si="284"/>
        <v/>
      </c>
      <c r="AG40" s="97" t="str">
        <f t="shared" si="285"/>
        <v/>
      </c>
      <c r="AH40" s="98">
        <f t="shared" si="286"/>
        <v>0</v>
      </c>
      <c r="AI40" s="93" t="str">
        <f t="shared" si="287"/>
        <v/>
      </c>
      <c r="AJ40" s="94" t="str">
        <f t="shared" si="288"/>
        <v/>
      </c>
      <c r="AK40" s="95">
        <f t="shared" si="289"/>
        <v>0</v>
      </c>
      <c r="AL40" s="96" t="str">
        <f t="shared" si="290"/>
        <v/>
      </c>
      <c r="AM40" s="97" t="str">
        <f t="shared" si="291"/>
        <v/>
      </c>
      <c r="AN40" s="98">
        <f t="shared" si="292"/>
        <v>0</v>
      </c>
      <c r="AO40" s="93" t="str">
        <f t="shared" si="293"/>
        <v/>
      </c>
      <c r="AP40" s="94" t="str">
        <f t="shared" si="294"/>
        <v/>
      </c>
      <c r="AQ40" s="95">
        <f t="shared" si="295"/>
        <v>0</v>
      </c>
      <c r="AR40" s="96" t="str">
        <f t="shared" si="296"/>
        <v/>
      </c>
      <c r="AS40" s="97" t="str">
        <f t="shared" si="297"/>
        <v/>
      </c>
      <c r="AT40" s="98">
        <f t="shared" si="298"/>
        <v>0</v>
      </c>
      <c r="AU40" s="93" t="str">
        <f t="shared" si="299"/>
        <v/>
      </c>
      <c r="AV40" s="94" t="str">
        <f t="shared" si="300"/>
        <v/>
      </c>
      <c r="AW40" s="95">
        <f t="shared" si="301"/>
        <v>0</v>
      </c>
      <c r="AX40" s="96" t="str">
        <f t="shared" si="302"/>
        <v/>
      </c>
      <c r="AY40" s="97" t="str">
        <f t="shared" si="303"/>
        <v/>
      </c>
      <c r="AZ40" s="98">
        <f t="shared" si="304"/>
        <v>0</v>
      </c>
      <c r="BA40" s="93" t="str">
        <f t="shared" si="305"/>
        <v/>
      </c>
      <c r="BB40" s="94" t="str">
        <f t="shared" si="306"/>
        <v/>
      </c>
      <c r="BC40" s="95">
        <f t="shared" si="307"/>
        <v>0</v>
      </c>
      <c r="BD40" s="96" t="str">
        <f t="shared" si="308"/>
        <v/>
      </c>
      <c r="BE40" s="97" t="str">
        <f t="shared" si="309"/>
        <v/>
      </c>
      <c r="BF40" s="98">
        <f t="shared" si="310"/>
        <v>0</v>
      </c>
      <c r="BG40" s="93" t="str">
        <f t="shared" si="311"/>
        <v/>
      </c>
      <c r="BH40" s="94" t="str">
        <f t="shared" si="312"/>
        <v/>
      </c>
      <c r="BI40" s="95">
        <f t="shared" si="313"/>
        <v>0</v>
      </c>
      <c r="BJ40" s="96" t="str">
        <f t="shared" si="314"/>
        <v/>
      </c>
      <c r="BK40" s="97" t="str">
        <f t="shared" si="315"/>
        <v/>
      </c>
      <c r="BL40" s="98">
        <f t="shared" si="316"/>
        <v>0</v>
      </c>
      <c r="BM40" s="93" t="str">
        <f t="shared" si="317"/>
        <v/>
      </c>
      <c r="BN40" s="94" t="str">
        <f t="shared" si="318"/>
        <v/>
      </c>
      <c r="BO40" s="95">
        <f t="shared" si="319"/>
        <v>0</v>
      </c>
      <c r="BP40" s="96" t="str">
        <f t="shared" si="320"/>
        <v/>
      </c>
      <c r="BQ40" s="97" t="str">
        <f t="shared" si="321"/>
        <v/>
      </c>
      <c r="BR40" s="98">
        <f t="shared" si="322"/>
        <v>0</v>
      </c>
      <c r="BS40" s="93" t="str">
        <f t="shared" si="323"/>
        <v/>
      </c>
      <c r="BT40" s="94" t="str">
        <f t="shared" si="324"/>
        <v/>
      </c>
      <c r="BU40" s="95">
        <f t="shared" si="325"/>
        <v>0</v>
      </c>
      <c r="BV40" s="96" t="str">
        <f t="shared" si="326"/>
        <v/>
      </c>
      <c r="BW40" s="97" t="str">
        <f t="shared" si="327"/>
        <v/>
      </c>
      <c r="BX40" s="98">
        <f t="shared" si="328"/>
        <v>0</v>
      </c>
      <c r="BY40" s="93" t="str">
        <f t="shared" si="329"/>
        <v/>
      </c>
      <c r="BZ40" s="94" t="str">
        <f t="shared" si="330"/>
        <v/>
      </c>
      <c r="CA40" s="95">
        <f t="shared" si="331"/>
        <v>0</v>
      </c>
      <c r="CB40" s="96" t="str">
        <f t="shared" si="332"/>
        <v/>
      </c>
      <c r="CC40" s="97" t="str">
        <f t="shared" si="333"/>
        <v/>
      </c>
      <c r="CD40" s="98">
        <f t="shared" si="334"/>
        <v>0</v>
      </c>
      <c r="CE40" s="93" t="str">
        <f t="shared" si="335"/>
        <v/>
      </c>
      <c r="CF40" s="94" t="str">
        <f t="shared" si="336"/>
        <v/>
      </c>
      <c r="CG40" s="95">
        <f t="shared" si="337"/>
        <v>0</v>
      </c>
      <c r="CH40" s="96" t="str">
        <f t="shared" si="338"/>
        <v/>
      </c>
      <c r="CI40" s="97" t="str">
        <f t="shared" si="339"/>
        <v/>
      </c>
      <c r="CJ40" s="98">
        <f t="shared" si="340"/>
        <v>0</v>
      </c>
      <c r="CK40" s="93" t="str">
        <f t="shared" si="341"/>
        <v/>
      </c>
      <c r="CL40" s="94" t="str">
        <f t="shared" si="342"/>
        <v/>
      </c>
      <c r="CM40" s="95">
        <f t="shared" si="343"/>
        <v>0</v>
      </c>
      <c r="CN40" s="96" t="str">
        <f t="shared" si="344"/>
        <v/>
      </c>
      <c r="CO40" s="97" t="str">
        <f t="shared" si="345"/>
        <v/>
      </c>
      <c r="CP40" s="98">
        <f t="shared" si="346"/>
        <v>0</v>
      </c>
      <c r="CQ40" s="93" t="str">
        <f t="shared" si="347"/>
        <v/>
      </c>
      <c r="CR40" s="94" t="str">
        <f t="shared" si="348"/>
        <v/>
      </c>
      <c r="CS40" s="95">
        <f t="shared" si="349"/>
        <v>0</v>
      </c>
      <c r="CT40" s="96" t="str">
        <f t="shared" si="350"/>
        <v/>
      </c>
      <c r="CU40" s="97" t="str">
        <f t="shared" si="351"/>
        <v/>
      </c>
      <c r="CV40" s="98">
        <f t="shared" si="352"/>
        <v>0</v>
      </c>
      <c r="CW40" s="93" t="str">
        <f t="shared" si="353"/>
        <v/>
      </c>
      <c r="CX40" s="94" t="str">
        <f t="shared" si="354"/>
        <v/>
      </c>
      <c r="CY40" s="95">
        <f t="shared" si="355"/>
        <v>0</v>
      </c>
      <c r="CZ40" s="96" t="str">
        <f t="shared" si="356"/>
        <v/>
      </c>
      <c r="DA40" s="97" t="str">
        <f t="shared" si="357"/>
        <v/>
      </c>
      <c r="DB40" s="98">
        <f t="shared" si="358"/>
        <v>0</v>
      </c>
      <c r="DC40" s="93" t="str">
        <f t="shared" si="359"/>
        <v/>
      </c>
      <c r="DD40" s="94" t="str">
        <f t="shared" si="360"/>
        <v/>
      </c>
      <c r="DE40" s="95">
        <f t="shared" si="361"/>
        <v>0</v>
      </c>
      <c r="DF40" s="96" t="str">
        <f t="shared" si="362"/>
        <v/>
      </c>
      <c r="DG40" s="97" t="str">
        <f t="shared" si="363"/>
        <v/>
      </c>
      <c r="DH40" s="98">
        <f t="shared" si="364"/>
        <v>0</v>
      </c>
      <c r="DI40" s="93" t="str">
        <f t="shared" si="365"/>
        <v/>
      </c>
      <c r="DJ40" s="94" t="str">
        <f t="shared" si="366"/>
        <v/>
      </c>
      <c r="DK40" s="95">
        <f t="shared" si="367"/>
        <v>0</v>
      </c>
      <c r="DL40" s="96" t="str">
        <f t="shared" si="368"/>
        <v/>
      </c>
      <c r="DM40" s="97" t="str">
        <f t="shared" si="369"/>
        <v/>
      </c>
      <c r="DN40" s="98">
        <f t="shared" si="370"/>
        <v>0</v>
      </c>
      <c r="DO40" s="93" t="str">
        <f t="shared" si="371"/>
        <v/>
      </c>
      <c r="DP40" s="94" t="str">
        <f t="shared" si="372"/>
        <v/>
      </c>
      <c r="DQ40" s="95">
        <f t="shared" si="373"/>
        <v>0</v>
      </c>
      <c r="DR40" s="96" t="str">
        <f t="shared" si="374"/>
        <v/>
      </c>
      <c r="DS40" s="97" t="str">
        <f t="shared" si="375"/>
        <v/>
      </c>
      <c r="DT40" s="98">
        <f t="shared" si="376"/>
        <v>0</v>
      </c>
      <c r="DU40" s="93" t="str">
        <f t="shared" si="377"/>
        <v/>
      </c>
      <c r="DV40" s="94" t="str">
        <f t="shared" si="378"/>
        <v/>
      </c>
      <c r="DW40" s="95">
        <f t="shared" si="379"/>
        <v>0</v>
      </c>
      <c r="DX40" s="96" t="str">
        <f t="shared" si="380"/>
        <v/>
      </c>
      <c r="DY40" s="97" t="str">
        <f t="shared" si="381"/>
        <v/>
      </c>
      <c r="DZ40" s="98">
        <f t="shared" si="382"/>
        <v>0</v>
      </c>
      <c r="EA40" s="93" t="str">
        <f t="shared" si="383"/>
        <v/>
      </c>
      <c r="EB40" s="94" t="str">
        <f t="shared" si="384"/>
        <v/>
      </c>
      <c r="EC40" s="95">
        <f t="shared" si="385"/>
        <v>0</v>
      </c>
      <c r="ED40" s="96" t="str">
        <f t="shared" si="386"/>
        <v/>
      </c>
      <c r="EE40" s="97" t="str">
        <f t="shared" si="387"/>
        <v/>
      </c>
      <c r="EF40" s="98">
        <f t="shared" si="388"/>
        <v>0</v>
      </c>
      <c r="EG40" s="93" t="str">
        <f t="shared" si="389"/>
        <v/>
      </c>
      <c r="EH40" s="94" t="str">
        <f t="shared" si="390"/>
        <v/>
      </c>
      <c r="EI40" s="95">
        <f t="shared" si="391"/>
        <v>0</v>
      </c>
      <c r="EJ40" s="96" t="str">
        <f t="shared" si="392"/>
        <v/>
      </c>
      <c r="EK40" s="97" t="str">
        <f t="shared" si="393"/>
        <v/>
      </c>
      <c r="EL40" s="98">
        <f t="shared" si="394"/>
        <v>0</v>
      </c>
      <c r="EM40" s="93" t="str">
        <f t="shared" si="395"/>
        <v/>
      </c>
      <c r="EN40" s="94" t="str">
        <f t="shared" si="396"/>
        <v/>
      </c>
      <c r="EO40" s="95">
        <f t="shared" si="397"/>
        <v>0</v>
      </c>
      <c r="EP40" s="96" t="str">
        <f t="shared" si="398"/>
        <v/>
      </c>
      <c r="EQ40" s="97" t="str">
        <f t="shared" si="399"/>
        <v/>
      </c>
      <c r="ER40" s="98">
        <f t="shared" si="400"/>
        <v>0</v>
      </c>
      <c r="ES40" s="93" t="str">
        <f t="shared" si="401"/>
        <v/>
      </c>
      <c r="ET40" s="94" t="str">
        <f t="shared" si="402"/>
        <v/>
      </c>
      <c r="EU40" s="95">
        <f t="shared" si="403"/>
        <v>0</v>
      </c>
      <c r="EV40" s="96" t="str">
        <f t="shared" si="404"/>
        <v/>
      </c>
      <c r="EW40" s="97" t="str">
        <f t="shared" si="405"/>
        <v/>
      </c>
      <c r="EX40" s="98">
        <f t="shared" si="406"/>
        <v>0</v>
      </c>
      <c r="EY40" s="93" t="str">
        <f t="shared" si="407"/>
        <v/>
      </c>
      <c r="EZ40" s="94" t="str">
        <f t="shared" si="408"/>
        <v/>
      </c>
      <c r="FA40" s="95">
        <f t="shared" si="409"/>
        <v>0</v>
      </c>
      <c r="FB40" s="96" t="str">
        <f t="shared" si="410"/>
        <v/>
      </c>
      <c r="FC40" s="97" t="str">
        <f t="shared" si="411"/>
        <v/>
      </c>
      <c r="FD40" s="98">
        <f t="shared" si="412"/>
        <v>0</v>
      </c>
      <c r="FE40" s="93" t="str">
        <f t="shared" si="413"/>
        <v/>
      </c>
      <c r="FF40" s="94" t="str">
        <f t="shared" si="414"/>
        <v/>
      </c>
      <c r="FG40" s="95">
        <f t="shared" si="415"/>
        <v>0</v>
      </c>
      <c r="FH40" s="96" t="str">
        <f t="shared" si="416"/>
        <v/>
      </c>
      <c r="FI40" s="97" t="str">
        <f t="shared" si="417"/>
        <v/>
      </c>
      <c r="FJ40" s="98">
        <f t="shared" si="418"/>
        <v>0</v>
      </c>
    </row>
    <row r="41" ht="15.75" customHeight="1">
      <c r="A41" s="6" t="str">
        <f>Menus!B33</f>
        <v/>
      </c>
      <c r="B41" s="16">
        <f t="shared" si="256"/>
        <v>0</v>
      </c>
      <c r="C41" s="16">
        <f t="shared" si="257"/>
        <v>0</v>
      </c>
      <c r="D41" s="16">
        <f t="shared" si="254"/>
        <v>0</v>
      </c>
      <c r="E41" s="87" t="str">
        <f t="shared" si="258"/>
        <v/>
      </c>
      <c r="F41" s="88" t="str">
        <f t="shared" si="259"/>
        <v/>
      </c>
      <c r="G41" s="89">
        <f t="shared" si="255"/>
        <v>0</v>
      </c>
      <c r="H41" s="90" t="str">
        <f t="shared" si="260"/>
        <v/>
      </c>
      <c r="I41" s="91" t="str">
        <f t="shared" si="261"/>
        <v/>
      </c>
      <c r="J41" s="92">
        <f t="shared" si="262"/>
        <v>0</v>
      </c>
      <c r="K41" s="93" t="str">
        <f t="shared" si="263"/>
        <v/>
      </c>
      <c r="L41" s="94" t="str">
        <f t="shared" si="264"/>
        <v/>
      </c>
      <c r="M41" s="95">
        <f t="shared" si="265"/>
        <v>0</v>
      </c>
      <c r="N41" s="96" t="str">
        <f t="shared" si="266"/>
        <v/>
      </c>
      <c r="O41" s="97" t="str">
        <f t="shared" si="267"/>
        <v/>
      </c>
      <c r="P41" s="98">
        <f t="shared" si="268"/>
        <v>0</v>
      </c>
      <c r="Q41" s="93" t="str">
        <f t="shared" si="269"/>
        <v/>
      </c>
      <c r="R41" s="94" t="str">
        <f t="shared" si="270"/>
        <v/>
      </c>
      <c r="S41" s="95">
        <f t="shared" si="271"/>
        <v>0</v>
      </c>
      <c r="T41" s="96" t="str">
        <f t="shared" si="272"/>
        <v/>
      </c>
      <c r="U41" s="97" t="str">
        <f t="shared" si="273"/>
        <v/>
      </c>
      <c r="V41" s="98">
        <f t="shared" si="274"/>
        <v>0</v>
      </c>
      <c r="W41" s="93" t="str">
        <f t="shared" si="275"/>
        <v/>
      </c>
      <c r="X41" s="94" t="str">
        <f t="shared" si="276"/>
        <v/>
      </c>
      <c r="Y41" s="95">
        <f t="shared" si="277"/>
        <v>0</v>
      </c>
      <c r="Z41" s="96" t="str">
        <f t="shared" si="278"/>
        <v/>
      </c>
      <c r="AA41" s="97" t="str">
        <f t="shared" si="279"/>
        <v/>
      </c>
      <c r="AB41" s="98">
        <f t="shared" si="280"/>
        <v>0</v>
      </c>
      <c r="AC41" s="93" t="str">
        <f t="shared" si="281"/>
        <v/>
      </c>
      <c r="AD41" s="94" t="str">
        <f t="shared" si="282"/>
        <v/>
      </c>
      <c r="AE41" s="95">
        <f t="shared" si="283"/>
        <v>0</v>
      </c>
      <c r="AF41" s="96" t="str">
        <f t="shared" si="284"/>
        <v/>
      </c>
      <c r="AG41" s="97" t="str">
        <f t="shared" si="285"/>
        <v/>
      </c>
      <c r="AH41" s="98">
        <f t="shared" si="286"/>
        <v>0</v>
      </c>
      <c r="AI41" s="93" t="str">
        <f t="shared" si="287"/>
        <v/>
      </c>
      <c r="AJ41" s="94" t="str">
        <f t="shared" si="288"/>
        <v/>
      </c>
      <c r="AK41" s="95">
        <f t="shared" si="289"/>
        <v>0</v>
      </c>
      <c r="AL41" s="96" t="str">
        <f t="shared" si="290"/>
        <v/>
      </c>
      <c r="AM41" s="97" t="str">
        <f t="shared" si="291"/>
        <v/>
      </c>
      <c r="AN41" s="98">
        <f t="shared" si="292"/>
        <v>0</v>
      </c>
      <c r="AO41" s="93" t="str">
        <f t="shared" si="293"/>
        <v/>
      </c>
      <c r="AP41" s="94" t="str">
        <f t="shared" si="294"/>
        <v/>
      </c>
      <c r="AQ41" s="95">
        <f t="shared" si="295"/>
        <v>0</v>
      </c>
      <c r="AR41" s="96" t="str">
        <f t="shared" si="296"/>
        <v/>
      </c>
      <c r="AS41" s="97" t="str">
        <f t="shared" si="297"/>
        <v/>
      </c>
      <c r="AT41" s="98">
        <f t="shared" si="298"/>
        <v>0</v>
      </c>
      <c r="AU41" s="93" t="str">
        <f t="shared" si="299"/>
        <v/>
      </c>
      <c r="AV41" s="94" t="str">
        <f t="shared" si="300"/>
        <v/>
      </c>
      <c r="AW41" s="95">
        <f t="shared" si="301"/>
        <v>0</v>
      </c>
      <c r="AX41" s="96" t="str">
        <f t="shared" si="302"/>
        <v/>
      </c>
      <c r="AY41" s="97" t="str">
        <f t="shared" si="303"/>
        <v/>
      </c>
      <c r="AZ41" s="98">
        <f t="shared" si="304"/>
        <v>0</v>
      </c>
      <c r="BA41" s="93" t="str">
        <f t="shared" si="305"/>
        <v/>
      </c>
      <c r="BB41" s="94" t="str">
        <f t="shared" si="306"/>
        <v/>
      </c>
      <c r="BC41" s="95">
        <f t="shared" si="307"/>
        <v>0</v>
      </c>
      <c r="BD41" s="96" t="str">
        <f t="shared" si="308"/>
        <v/>
      </c>
      <c r="BE41" s="97" t="str">
        <f t="shared" si="309"/>
        <v/>
      </c>
      <c r="BF41" s="98">
        <f t="shared" si="310"/>
        <v>0</v>
      </c>
      <c r="BG41" s="93" t="str">
        <f t="shared" si="311"/>
        <v/>
      </c>
      <c r="BH41" s="94" t="str">
        <f t="shared" si="312"/>
        <v/>
      </c>
      <c r="BI41" s="95">
        <f t="shared" si="313"/>
        <v>0</v>
      </c>
      <c r="BJ41" s="96" t="str">
        <f t="shared" si="314"/>
        <v/>
      </c>
      <c r="BK41" s="97" t="str">
        <f t="shared" si="315"/>
        <v/>
      </c>
      <c r="BL41" s="98">
        <f t="shared" si="316"/>
        <v>0</v>
      </c>
      <c r="BM41" s="93" t="str">
        <f t="shared" si="317"/>
        <v/>
      </c>
      <c r="BN41" s="94" t="str">
        <f t="shared" si="318"/>
        <v/>
      </c>
      <c r="BO41" s="95">
        <f t="shared" si="319"/>
        <v>0</v>
      </c>
      <c r="BP41" s="96" t="str">
        <f t="shared" si="320"/>
        <v/>
      </c>
      <c r="BQ41" s="97" t="str">
        <f t="shared" si="321"/>
        <v/>
      </c>
      <c r="BR41" s="98">
        <f t="shared" si="322"/>
        <v>0</v>
      </c>
      <c r="BS41" s="93" t="str">
        <f t="shared" si="323"/>
        <v/>
      </c>
      <c r="BT41" s="94" t="str">
        <f t="shared" si="324"/>
        <v/>
      </c>
      <c r="BU41" s="95">
        <f t="shared" si="325"/>
        <v>0</v>
      </c>
      <c r="BV41" s="96" t="str">
        <f t="shared" si="326"/>
        <v/>
      </c>
      <c r="BW41" s="97" t="str">
        <f t="shared" si="327"/>
        <v/>
      </c>
      <c r="BX41" s="98">
        <f t="shared" si="328"/>
        <v>0</v>
      </c>
      <c r="BY41" s="93" t="str">
        <f t="shared" si="329"/>
        <v/>
      </c>
      <c r="BZ41" s="94" t="str">
        <f t="shared" si="330"/>
        <v/>
      </c>
      <c r="CA41" s="95">
        <f t="shared" si="331"/>
        <v>0</v>
      </c>
      <c r="CB41" s="96" t="str">
        <f t="shared" si="332"/>
        <v/>
      </c>
      <c r="CC41" s="97" t="str">
        <f t="shared" si="333"/>
        <v/>
      </c>
      <c r="CD41" s="98">
        <f t="shared" si="334"/>
        <v>0</v>
      </c>
      <c r="CE41" s="93" t="str">
        <f t="shared" si="335"/>
        <v/>
      </c>
      <c r="CF41" s="94" t="str">
        <f t="shared" si="336"/>
        <v/>
      </c>
      <c r="CG41" s="95">
        <f t="shared" si="337"/>
        <v>0</v>
      </c>
      <c r="CH41" s="96" t="str">
        <f t="shared" si="338"/>
        <v/>
      </c>
      <c r="CI41" s="97" t="str">
        <f t="shared" si="339"/>
        <v/>
      </c>
      <c r="CJ41" s="98">
        <f t="shared" si="340"/>
        <v>0</v>
      </c>
      <c r="CK41" s="93" t="str">
        <f t="shared" si="341"/>
        <v/>
      </c>
      <c r="CL41" s="94" t="str">
        <f t="shared" si="342"/>
        <v/>
      </c>
      <c r="CM41" s="95">
        <f t="shared" si="343"/>
        <v>0</v>
      </c>
      <c r="CN41" s="96" t="str">
        <f t="shared" si="344"/>
        <v/>
      </c>
      <c r="CO41" s="97" t="str">
        <f t="shared" si="345"/>
        <v/>
      </c>
      <c r="CP41" s="98">
        <f t="shared" si="346"/>
        <v>0</v>
      </c>
      <c r="CQ41" s="93" t="str">
        <f t="shared" si="347"/>
        <v/>
      </c>
      <c r="CR41" s="94" t="str">
        <f t="shared" si="348"/>
        <v/>
      </c>
      <c r="CS41" s="95">
        <f t="shared" si="349"/>
        <v>0</v>
      </c>
      <c r="CT41" s="96" t="str">
        <f t="shared" si="350"/>
        <v/>
      </c>
      <c r="CU41" s="97" t="str">
        <f t="shared" si="351"/>
        <v/>
      </c>
      <c r="CV41" s="98">
        <f t="shared" si="352"/>
        <v>0</v>
      </c>
      <c r="CW41" s="93" t="str">
        <f t="shared" si="353"/>
        <v/>
      </c>
      <c r="CX41" s="94" t="str">
        <f t="shared" si="354"/>
        <v/>
      </c>
      <c r="CY41" s="95">
        <f t="shared" si="355"/>
        <v>0</v>
      </c>
      <c r="CZ41" s="96" t="str">
        <f t="shared" si="356"/>
        <v/>
      </c>
      <c r="DA41" s="97" t="str">
        <f t="shared" si="357"/>
        <v/>
      </c>
      <c r="DB41" s="98">
        <f t="shared" si="358"/>
        <v>0</v>
      </c>
      <c r="DC41" s="93" t="str">
        <f t="shared" si="359"/>
        <v/>
      </c>
      <c r="DD41" s="94" t="str">
        <f t="shared" si="360"/>
        <v/>
      </c>
      <c r="DE41" s="95">
        <f t="shared" si="361"/>
        <v>0</v>
      </c>
      <c r="DF41" s="96" t="str">
        <f t="shared" si="362"/>
        <v/>
      </c>
      <c r="DG41" s="97" t="str">
        <f t="shared" si="363"/>
        <v/>
      </c>
      <c r="DH41" s="98">
        <f t="shared" si="364"/>
        <v>0</v>
      </c>
      <c r="DI41" s="93" t="str">
        <f t="shared" si="365"/>
        <v/>
      </c>
      <c r="DJ41" s="94" t="str">
        <f t="shared" si="366"/>
        <v/>
      </c>
      <c r="DK41" s="95">
        <f t="shared" si="367"/>
        <v>0</v>
      </c>
      <c r="DL41" s="96" t="str">
        <f t="shared" si="368"/>
        <v/>
      </c>
      <c r="DM41" s="97" t="str">
        <f t="shared" si="369"/>
        <v/>
      </c>
      <c r="DN41" s="98">
        <f t="shared" si="370"/>
        <v>0</v>
      </c>
      <c r="DO41" s="93" t="str">
        <f t="shared" si="371"/>
        <v/>
      </c>
      <c r="DP41" s="94" t="str">
        <f t="shared" si="372"/>
        <v/>
      </c>
      <c r="DQ41" s="95">
        <f t="shared" si="373"/>
        <v>0</v>
      </c>
      <c r="DR41" s="96" t="str">
        <f t="shared" si="374"/>
        <v/>
      </c>
      <c r="DS41" s="97" t="str">
        <f t="shared" si="375"/>
        <v/>
      </c>
      <c r="DT41" s="98">
        <f t="shared" si="376"/>
        <v>0</v>
      </c>
      <c r="DU41" s="93" t="str">
        <f t="shared" si="377"/>
        <v/>
      </c>
      <c r="DV41" s="94" t="str">
        <f t="shared" si="378"/>
        <v/>
      </c>
      <c r="DW41" s="95">
        <f t="shared" si="379"/>
        <v>0</v>
      </c>
      <c r="DX41" s="96" t="str">
        <f t="shared" si="380"/>
        <v/>
      </c>
      <c r="DY41" s="97" t="str">
        <f t="shared" si="381"/>
        <v/>
      </c>
      <c r="DZ41" s="98">
        <f t="shared" si="382"/>
        <v>0</v>
      </c>
      <c r="EA41" s="93" t="str">
        <f t="shared" si="383"/>
        <v/>
      </c>
      <c r="EB41" s="94" t="str">
        <f t="shared" si="384"/>
        <v/>
      </c>
      <c r="EC41" s="95">
        <f t="shared" si="385"/>
        <v>0</v>
      </c>
      <c r="ED41" s="96" t="str">
        <f t="shared" si="386"/>
        <v/>
      </c>
      <c r="EE41" s="97" t="str">
        <f t="shared" si="387"/>
        <v/>
      </c>
      <c r="EF41" s="98">
        <f t="shared" si="388"/>
        <v>0</v>
      </c>
      <c r="EG41" s="93" t="str">
        <f t="shared" si="389"/>
        <v/>
      </c>
      <c r="EH41" s="94" t="str">
        <f t="shared" si="390"/>
        <v/>
      </c>
      <c r="EI41" s="95">
        <f t="shared" si="391"/>
        <v>0</v>
      </c>
      <c r="EJ41" s="96" t="str">
        <f t="shared" si="392"/>
        <v/>
      </c>
      <c r="EK41" s="97" t="str">
        <f t="shared" si="393"/>
        <v/>
      </c>
      <c r="EL41" s="98">
        <f t="shared" si="394"/>
        <v>0</v>
      </c>
      <c r="EM41" s="93" t="str">
        <f t="shared" si="395"/>
        <v/>
      </c>
      <c r="EN41" s="94" t="str">
        <f t="shared" si="396"/>
        <v/>
      </c>
      <c r="EO41" s="95">
        <f t="shared" si="397"/>
        <v>0</v>
      </c>
      <c r="EP41" s="96" t="str">
        <f t="shared" si="398"/>
        <v/>
      </c>
      <c r="EQ41" s="97" t="str">
        <f t="shared" si="399"/>
        <v/>
      </c>
      <c r="ER41" s="98">
        <f t="shared" si="400"/>
        <v>0</v>
      </c>
      <c r="ES41" s="93" t="str">
        <f t="shared" si="401"/>
        <v/>
      </c>
      <c r="ET41" s="94" t="str">
        <f t="shared" si="402"/>
        <v/>
      </c>
      <c r="EU41" s="95">
        <f t="shared" si="403"/>
        <v>0</v>
      </c>
      <c r="EV41" s="96" t="str">
        <f t="shared" si="404"/>
        <v/>
      </c>
      <c r="EW41" s="97" t="str">
        <f t="shared" si="405"/>
        <v/>
      </c>
      <c r="EX41" s="98">
        <f t="shared" si="406"/>
        <v>0</v>
      </c>
      <c r="EY41" s="93" t="str">
        <f t="shared" si="407"/>
        <v/>
      </c>
      <c r="EZ41" s="94" t="str">
        <f t="shared" si="408"/>
        <v/>
      </c>
      <c r="FA41" s="95">
        <f t="shared" si="409"/>
        <v>0</v>
      </c>
      <c r="FB41" s="96" t="str">
        <f t="shared" si="410"/>
        <v/>
      </c>
      <c r="FC41" s="97" t="str">
        <f t="shared" si="411"/>
        <v/>
      </c>
      <c r="FD41" s="98">
        <f t="shared" si="412"/>
        <v>0</v>
      </c>
      <c r="FE41" s="93" t="str">
        <f t="shared" si="413"/>
        <v/>
      </c>
      <c r="FF41" s="94" t="str">
        <f t="shared" si="414"/>
        <v/>
      </c>
      <c r="FG41" s="95">
        <f t="shared" si="415"/>
        <v>0</v>
      </c>
      <c r="FH41" s="96" t="str">
        <f t="shared" si="416"/>
        <v/>
      </c>
      <c r="FI41" s="97" t="str">
        <f t="shared" si="417"/>
        <v/>
      </c>
      <c r="FJ41" s="98">
        <f t="shared" si="418"/>
        <v>0</v>
      </c>
    </row>
    <row r="42" ht="15.75" customHeight="1">
      <c r="A42" s="6" t="str">
        <f>Menus!B34</f>
        <v/>
      </c>
      <c r="B42" s="16">
        <f t="shared" si="256"/>
        <v>0</v>
      </c>
      <c r="C42" s="16">
        <f t="shared" si="257"/>
        <v>0</v>
      </c>
      <c r="D42" s="16">
        <f t="shared" si="254"/>
        <v>0</v>
      </c>
      <c r="E42" s="87" t="str">
        <f t="shared" si="258"/>
        <v/>
      </c>
      <c r="F42" s="88" t="str">
        <f t="shared" si="259"/>
        <v/>
      </c>
      <c r="G42" s="89">
        <f t="shared" si="255"/>
        <v>0</v>
      </c>
      <c r="H42" s="90" t="str">
        <f t="shared" si="260"/>
        <v/>
      </c>
      <c r="I42" s="91" t="str">
        <f t="shared" si="261"/>
        <v/>
      </c>
      <c r="J42" s="92">
        <f t="shared" si="262"/>
        <v>0</v>
      </c>
      <c r="K42" s="93" t="str">
        <f t="shared" si="263"/>
        <v/>
      </c>
      <c r="L42" s="94" t="str">
        <f t="shared" si="264"/>
        <v/>
      </c>
      <c r="M42" s="95">
        <f t="shared" si="265"/>
        <v>0</v>
      </c>
      <c r="N42" s="96" t="str">
        <f t="shared" si="266"/>
        <v/>
      </c>
      <c r="O42" s="97" t="str">
        <f t="shared" si="267"/>
        <v/>
      </c>
      <c r="P42" s="98">
        <f t="shared" si="268"/>
        <v>0</v>
      </c>
      <c r="Q42" s="93" t="str">
        <f t="shared" si="269"/>
        <v/>
      </c>
      <c r="R42" s="94" t="str">
        <f t="shared" si="270"/>
        <v/>
      </c>
      <c r="S42" s="95">
        <f t="shared" si="271"/>
        <v>0</v>
      </c>
      <c r="T42" s="96" t="str">
        <f t="shared" si="272"/>
        <v/>
      </c>
      <c r="U42" s="97" t="str">
        <f t="shared" si="273"/>
        <v/>
      </c>
      <c r="V42" s="98">
        <f t="shared" si="274"/>
        <v>0</v>
      </c>
      <c r="W42" s="93" t="str">
        <f t="shared" si="275"/>
        <v/>
      </c>
      <c r="X42" s="94" t="str">
        <f t="shared" si="276"/>
        <v/>
      </c>
      <c r="Y42" s="95">
        <f t="shared" si="277"/>
        <v>0</v>
      </c>
      <c r="Z42" s="96" t="str">
        <f t="shared" si="278"/>
        <v/>
      </c>
      <c r="AA42" s="97" t="str">
        <f t="shared" si="279"/>
        <v/>
      </c>
      <c r="AB42" s="98">
        <f t="shared" si="280"/>
        <v>0</v>
      </c>
      <c r="AC42" s="93" t="str">
        <f t="shared" si="281"/>
        <v/>
      </c>
      <c r="AD42" s="94" t="str">
        <f t="shared" si="282"/>
        <v/>
      </c>
      <c r="AE42" s="95">
        <f t="shared" si="283"/>
        <v>0</v>
      </c>
      <c r="AF42" s="96" t="str">
        <f t="shared" si="284"/>
        <v/>
      </c>
      <c r="AG42" s="97" t="str">
        <f t="shared" si="285"/>
        <v/>
      </c>
      <c r="AH42" s="98">
        <f t="shared" si="286"/>
        <v>0</v>
      </c>
      <c r="AI42" s="93" t="str">
        <f t="shared" si="287"/>
        <v/>
      </c>
      <c r="AJ42" s="94" t="str">
        <f t="shared" si="288"/>
        <v/>
      </c>
      <c r="AK42" s="95">
        <f t="shared" si="289"/>
        <v>0</v>
      </c>
      <c r="AL42" s="96" t="str">
        <f t="shared" si="290"/>
        <v/>
      </c>
      <c r="AM42" s="97" t="str">
        <f t="shared" si="291"/>
        <v/>
      </c>
      <c r="AN42" s="98">
        <f t="shared" si="292"/>
        <v>0</v>
      </c>
      <c r="AO42" s="93" t="str">
        <f t="shared" si="293"/>
        <v/>
      </c>
      <c r="AP42" s="94" t="str">
        <f t="shared" si="294"/>
        <v/>
      </c>
      <c r="AQ42" s="95">
        <f t="shared" si="295"/>
        <v>0</v>
      </c>
      <c r="AR42" s="96" t="str">
        <f t="shared" si="296"/>
        <v/>
      </c>
      <c r="AS42" s="97" t="str">
        <f t="shared" si="297"/>
        <v/>
      </c>
      <c r="AT42" s="98">
        <f t="shared" si="298"/>
        <v>0</v>
      </c>
      <c r="AU42" s="93" t="str">
        <f t="shared" si="299"/>
        <v/>
      </c>
      <c r="AV42" s="94" t="str">
        <f t="shared" si="300"/>
        <v/>
      </c>
      <c r="AW42" s="95">
        <f t="shared" si="301"/>
        <v>0</v>
      </c>
      <c r="AX42" s="96" t="str">
        <f t="shared" si="302"/>
        <v/>
      </c>
      <c r="AY42" s="97" t="str">
        <f t="shared" si="303"/>
        <v/>
      </c>
      <c r="AZ42" s="98">
        <f t="shared" si="304"/>
        <v>0</v>
      </c>
      <c r="BA42" s="93" t="str">
        <f t="shared" si="305"/>
        <v/>
      </c>
      <c r="BB42" s="94" t="str">
        <f t="shared" si="306"/>
        <v/>
      </c>
      <c r="BC42" s="95">
        <f t="shared" si="307"/>
        <v>0</v>
      </c>
      <c r="BD42" s="96" t="str">
        <f t="shared" si="308"/>
        <v/>
      </c>
      <c r="BE42" s="97" t="str">
        <f t="shared" si="309"/>
        <v/>
      </c>
      <c r="BF42" s="98">
        <f t="shared" si="310"/>
        <v>0</v>
      </c>
      <c r="BG42" s="93" t="str">
        <f t="shared" si="311"/>
        <v/>
      </c>
      <c r="BH42" s="94" t="str">
        <f t="shared" si="312"/>
        <v/>
      </c>
      <c r="BI42" s="95">
        <f t="shared" si="313"/>
        <v>0</v>
      </c>
      <c r="BJ42" s="96" t="str">
        <f t="shared" si="314"/>
        <v/>
      </c>
      <c r="BK42" s="97" t="str">
        <f t="shared" si="315"/>
        <v/>
      </c>
      <c r="BL42" s="98">
        <f t="shared" si="316"/>
        <v>0</v>
      </c>
      <c r="BM42" s="93" t="str">
        <f t="shared" si="317"/>
        <v/>
      </c>
      <c r="BN42" s="94" t="str">
        <f t="shared" si="318"/>
        <v/>
      </c>
      <c r="BO42" s="95">
        <f t="shared" si="319"/>
        <v>0</v>
      </c>
      <c r="BP42" s="96" t="str">
        <f t="shared" si="320"/>
        <v/>
      </c>
      <c r="BQ42" s="97" t="str">
        <f t="shared" si="321"/>
        <v/>
      </c>
      <c r="BR42" s="98">
        <f t="shared" si="322"/>
        <v>0</v>
      </c>
      <c r="BS42" s="93" t="str">
        <f t="shared" si="323"/>
        <v/>
      </c>
      <c r="BT42" s="94" t="str">
        <f t="shared" si="324"/>
        <v/>
      </c>
      <c r="BU42" s="95">
        <f t="shared" si="325"/>
        <v>0</v>
      </c>
      <c r="BV42" s="96" t="str">
        <f t="shared" si="326"/>
        <v/>
      </c>
      <c r="BW42" s="97" t="str">
        <f t="shared" si="327"/>
        <v/>
      </c>
      <c r="BX42" s="98">
        <f t="shared" si="328"/>
        <v>0</v>
      </c>
      <c r="BY42" s="93" t="str">
        <f t="shared" si="329"/>
        <v/>
      </c>
      <c r="BZ42" s="94" t="str">
        <f t="shared" si="330"/>
        <v/>
      </c>
      <c r="CA42" s="95">
        <f t="shared" si="331"/>
        <v>0</v>
      </c>
      <c r="CB42" s="96" t="str">
        <f t="shared" si="332"/>
        <v/>
      </c>
      <c r="CC42" s="97" t="str">
        <f t="shared" si="333"/>
        <v/>
      </c>
      <c r="CD42" s="98">
        <f t="shared" si="334"/>
        <v>0</v>
      </c>
      <c r="CE42" s="93" t="str">
        <f t="shared" si="335"/>
        <v/>
      </c>
      <c r="CF42" s="94" t="str">
        <f t="shared" si="336"/>
        <v/>
      </c>
      <c r="CG42" s="95">
        <f t="shared" si="337"/>
        <v>0</v>
      </c>
      <c r="CH42" s="96" t="str">
        <f t="shared" si="338"/>
        <v/>
      </c>
      <c r="CI42" s="97" t="str">
        <f t="shared" si="339"/>
        <v/>
      </c>
      <c r="CJ42" s="98">
        <f t="shared" si="340"/>
        <v>0</v>
      </c>
      <c r="CK42" s="93" t="str">
        <f t="shared" si="341"/>
        <v/>
      </c>
      <c r="CL42" s="94" t="str">
        <f t="shared" si="342"/>
        <v/>
      </c>
      <c r="CM42" s="95">
        <f t="shared" si="343"/>
        <v>0</v>
      </c>
      <c r="CN42" s="96" t="str">
        <f t="shared" si="344"/>
        <v/>
      </c>
      <c r="CO42" s="97" t="str">
        <f t="shared" si="345"/>
        <v/>
      </c>
      <c r="CP42" s="98">
        <f t="shared" si="346"/>
        <v>0</v>
      </c>
      <c r="CQ42" s="93" t="str">
        <f t="shared" si="347"/>
        <v/>
      </c>
      <c r="CR42" s="94" t="str">
        <f t="shared" si="348"/>
        <v/>
      </c>
      <c r="CS42" s="95">
        <f t="shared" si="349"/>
        <v>0</v>
      </c>
      <c r="CT42" s="96" t="str">
        <f t="shared" si="350"/>
        <v/>
      </c>
      <c r="CU42" s="97" t="str">
        <f t="shared" si="351"/>
        <v/>
      </c>
      <c r="CV42" s="98">
        <f t="shared" si="352"/>
        <v>0</v>
      </c>
      <c r="CW42" s="93" t="str">
        <f t="shared" si="353"/>
        <v/>
      </c>
      <c r="CX42" s="94" t="str">
        <f t="shared" si="354"/>
        <v/>
      </c>
      <c r="CY42" s="95">
        <f t="shared" si="355"/>
        <v>0</v>
      </c>
      <c r="CZ42" s="96" t="str">
        <f t="shared" si="356"/>
        <v/>
      </c>
      <c r="DA42" s="97" t="str">
        <f t="shared" si="357"/>
        <v/>
      </c>
      <c r="DB42" s="98">
        <f t="shared" si="358"/>
        <v>0</v>
      </c>
      <c r="DC42" s="93" t="str">
        <f t="shared" si="359"/>
        <v/>
      </c>
      <c r="DD42" s="94" t="str">
        <f t="shared" si="360"/>
        <v/>
      </c>
      <c r="DE42" s="95">
        <f t="shared" si="361"/>
        <v>0</v>
      </c>
      <c r="DF42" s="96" t="str">
        <f t="shared" si="362"/>
        <v/>
      </c>
      <c r="DG42" s="97" t="str">
        <f t="shared" si="363"/>
        <v/>
      </c>
      <c r="DH42" s="98">
        <f t="shared" si="364"/>
        <v>0</v>
      </c>
      <c r="DI42" s="93" t="str">
        <f t="shared" si="365"/>
        <v/>
      </c>
      <c r="DJ42" s="94" t="str">
        <f t="shared" si="366"/>
        <v/>
      </c>
      <c r="DK42" s="95">
        <f t="shared" si="367"/>
        <v>0</v>
      </c>
      <c r="DL42" s="96" t="str">
        <f t="shared" si="368"/>
        <v/>
      </c>
      <c r="DM42" s="97" t="str">
        <f t="shared" si="369"/>
        <v/>
      </c>
      <c r="DN42" s="98">
        <f t="shared" si="370"/>
        <v>0</v>
      </c>
      <c r="DO42" s="93" t="str">
        <f t="shared" si="371"/>
        <v/>
      </c>
      <c r="DP42" s="94" t="str">
        <f t="shared" si="372"/>
        <v/>
      </c>
      <c r="DQ42" s="95">
        <f t="shared" si="373"/>
        <v>0</v>
      </c>
      <c r="DR42" s="96" t="str">
        <f t="shared" si="374"/>
        <v/>
      </c>
      <c r="DS42" s="97" t="str">
        <f t="shared" si="375"/>
        <v/>
      </c>
      <c r="DT42" s="98">
        <f t="shared" si="376"/>
        <v>0</v>
      </c>
      <c r="DU42" s="93" t="str">
        <f t="shared" si="377"/>
        <v/>
      </c>
      <c r="DV42" s="94" t="str">
        <f t="shared" si="378"/>
        <v/>
      </c>
      <c r="DW42" s="95">
        <f t="shared" si="379"/>
        <v>0</v>
      </c>
      <c r="DX42" s="96" t="str">
        <f t="shared" si="380"/>
        <v/>
      </c>
      <c r="DY42" s="97" t="str">
        <f t="shared" si="381"/>
        <v/>
      </c>
      <c r="DZ42" s="98">
        <f t="shared" si="382"/>
        <v>0</v>
      </c>
      <c r="EA42" s="93" t="str">
        <f t="shared" si="383"/>
        <v/>
      </c>
      <c r="EB42" s="94" t="str">
        <f t="shared" si="384"/>
        <v/>
      </c>
      <c r="EC42" s="95">
        <f t="shared" si="385"/>
        <v>0</v>
      </c>
      <c r="ED42" s="96" t="str">
        <f t="shared" si="386"/>
        <v/>
      </c>
      <c r="EE42" s="97" t="str">
        <f t="shared" si="387"/>
        <v/>
      </c>
      <c r="EF42" s="98">
        <f t="shared" si="388"/>
        <v>0</v>
      </c>
      <c r="EG42" s="93" t="str">
        <f t="shared" si="389"/>
        <v/>
      </c>
      <c r="EH42" s="94" t="str">
        <f t="shared" si="390"/>
        <v/>
      </c>
      <c r="EI42" s="95">
        <f t="shared" si="391"/>
        <v>0</v>
      </c>
      <c r="EJ42" s="96" t="str">
        <f t="shared" si="392"/>
        <v/>
      </c>
      <c r="EK42" s="97" t="str">
        <f t="shared" si="393"/>
        <v/>
      </c>
      <c r="EL42" s="98">
        <f t="shared" si="394"/>
        <v>0</v>
      </c>
      <c r="EM42" s="93" t="str">
        <f t="shared" si="395"/>
        <v/>
      </c>
      <c r="EN42" s="94" t="str">
        <f t="shared" si="396"/>
        <v/>
      </c>
      <c r="EO42" s="95">
        <f t="shared" si="397"/>
        <v>0</v>
      </c>
      <c r="EP42" s="96" t="str">
        <f t="shared" si="398"/>
        <v/>
      </c>
      <c r="EQ42" s="97" t="str">
        <f t="shared" si="399"/>
        <v/>
      </c>
      <c r="ER42" s="98">
        <f t="shared" si="400"/>
        <v>0</v>
      </c>
      <c r="ES42" s="93" t="str">
        <f t="shared" si="401"/>
        <v/>
      </c>
      <c r="ET42" s="94" t="str">
        <f t="shared" si="402"/>
        <v/>
      </c>
      <c r="EU42" s="95">
        <f t="shared" si="403"/>
        <v>0</v>
      </c>
      <c r="EV42" s="96" t="str">
        <f t="shared" si="404"/>
        <v/>
      </c>
      <c r="EW42" s="97" t="str">
        <f t="shared" si="405"/>
        <v/>
      </c>
      <c r="EX42" s="98">
        <f t="shared" si="406"/>
        <v>0</v>
      </c>
      <c r="EY42" s="93" t="str">
        <f t="shared" si="407"/>
        <v/>
      </c>
      <c r="EZ42" s="94" t="str">
        <f t="shared" si="408"/>
        <v/>
      </c>
      <c r="FA42" s="95">
        <f t="shared" si="409"/>
        <v>0</v>
      </c>
      <c r="FB42" s="96" t="str">
        <f t="shared" si="410"/>
        <v/>
      </c>
      <c r="FC42" s="97" t="str">
        <f t="shared" si="411"/>
        <v/>
      </c>
      <c r="FD42" s="98">
        <f t="shared" si="412"/>
        <v>0</v>
      </c>
      <c r="FE42" s="93" t="str">
        <f t="shared" si="413"/>
        <v/>
      </c>
      <c r="FF42" s="94" t="str">
        <f t="shared" si="414"/>
        <v/>
      </c>
      <c r="FG42" s="95">
        <f t="shared" si="415"/>
        <v>0</v>
      </c>
      <c r="FH42" s="96" t="str">
        <f t="shared" si="416"/>
        <v/>
      </c>
      <c r="FI42" s="97" t="str">
        <f t="shared" si="417"/>
        <v/>
      </c>
      <c r="FJ42" s="98">
        <f t="shared" si="418"/>
        <v>0</v>
      </c>
    </row>
    <row r="43" ht="15.75" hidden="1" customHeight="1">
      <c r="A43" s="6" t="str">
        <f>Menus!B35</f>
        <v/>
      </c>
      <c r="B43" s="16">
        <f t="shared" si="256"/>
        <v>0</v>
      </c>
      <c r="C43" s="16">
        <f t="shared" si="257"/>
        <v>0</v>
      </c>
      <c r="D43" s="16">
        <f t="shared" ref="D43:D50" si="419">B43-C43</f>
        <v>0</v>
      </c>
      <c r="E43" s="87" t="str">
        <f t="shared" si="258"/>
        <v/>
      </c>
      <c r="F43" s="88" t="str">
        <f t="shared" si="259"/>
        <v/>
      </c>
      <c r="G43" s="89">
        <f t="shared" ref="G43:G50" si="420">E43-F43</f>
        <v>0</v>
      </c>
      <c r="H43" s="90" t="str">
        <f t="shared" si="260"/>
        <v/>
      </c>
      <c r="I43" s="91" t="str">
        <f t="shared" si="261"/>
        <v/>
      </c>
      <c r="J43" s="92">
        <f t="shared" si="262"/>
        <v>0</v>
      </c>
      <c r="K43" s="93" t="str">
        <f t="shared" si="263"/>
        <v/>
      </c>
      <c r="L43" s="94" t="str">
        <f t="shared" si="264"/>
        <v/>
      </c>
      <c r="M43" s="95">
        <f t="shared" si="265"/>
        <v>0</v>
      </c>
      <c r="N43" s="96" t="str">
        <f t="shared" si="266"/>
        <v/>
      </c>
      <c r="O43" s="97" t="str">
        <f t="shared" si="267"/>
        <v/>
      </c>
      <c r="P43" s="98">
        <f t="shared" si="268"/>
        <v>0</v>
      </c>
      <c r="Q43" s="93" t="str">
        <f t="shared" si="269"/>
        <v/>
      </c>
      <c r="R43" s="94" t="str">
        <f t="shared" si="270"/>
        <v/>
      </c>
      <c r="S43" s="95">
        <f t="shared" si="271"/>
        <v>0</v>
      </c>
      <c r="T43" s="96" t="str">
        <f t="shared" si="272"/>
        <v/>
      </c>
      <c r="U43" s="97" t="str">
        <f t="shared" si="273"/>
        <v/>
      </c>
      <c r="V43" s="98">
        <f t="shared" si="274"/>
        <v>0</v>
      </c>
      <c r="W43" s="93" t="str">
        <f t="shared" si="275"/>
        <v/>
      </c>
      <c r="X43" s="94" t="str">
        <f t="shared" si="276"/>
        <v/>
      </c>
      <c r="Y43" s="95">
        <f t="shared" si="277"/>
        <v>0</v>
      </c>
      <c r="Z43" s="96" t="str">
        <f t="shared" si="278"/>
        <v/>
      </c>
      <c r="AA43" s="97" t="str">
        <f t="shared" si="279"/>
        <v/>
      </c>
      <c r="AB43" s="98">
        <f t="shared" si="280"/>
        <v>0</v>
      </c>
      <c r="AC43" s="93" t="str">
        <f t="shared" si="281"/>
        <v/>
      </c>
      <c r="AD43" s="94" t="str">
        <f t="shared" si="282"/>
        <v/>
      </c>
      <c r="AE43" s="95">
        <f t="shared" si="283"/>
        <v>0</v>
      </c>
      <c r="AF43" s="96" t="str">
        <f t="shared" si="284"/>
        <v/>
      </c>
      <c r="AG43" s="97" t="str">
        <f t="shared" si="285"/>
        <v/>
      </c>
      <c r="AH43" s="98">
        <f t="shared" si="286"/>
        <v>0</v>
      </c>
      <c r="AI43" s="93" t="str">
        <f t="shared" si="287"/>
        <v/>
      </c>
      <c r="AJ43" s="94" t="str">
        <f t="shared" si="288"/>
        <v/>
      </c>
      <c r="AK43" s="95">
        <f t="shared" si="289"/>
        <v>0</v>
      </c>
      <c r="AL43" s="96" t="str">
        <f t="shared" si="290"/>
        <v/>
      </c>
      <c r="AM43" s="97" t="str">
        <f t="shared" si="291"/>
        <v/>
      </c>
      <c r="AN43" s="98">
        <f t="shared" si="292"/>
        <v>0</v>
      </c>
      <c r="AO43" s="93" t="str">
        <f t="shared" si="293"/>
        <v/>
      </c>
      <c r="AP43" s="94" t="str">
        <f t="shared" si="294"/>
        <v/>
      </c>
      <c r="AQ43" s="95">
        <f t="shared" si="295"/>
        <v>0</v>
      </c>
      <c r="AR43" s="96" t="str">
        <f t="shared" si="296"/>
        <v/>
      </c>
      <c r="AS43" s="97" t="str">
        <f t="shared" si="297"/>
        <v/>
      </c>
      <c r="AT43" s="98">
        <f t="shared" si="298"/>
        <v>0</v>
      </c>
      <c r="AU43" s="93" t="str">
        <f t="shared" si="299"/>
        <v/>
      </c>
      <c r="AV43" s="94" t="str">
        <f t="shared" si="300"/>
        <v/>
      </c>
      <c r="AW43" s="95">
        <f t="shared" si="301"/>
        <v>0</v>
      </c>
      <c r="AX43" s="96" t="str">
        <f t="shared" si="302"/>
        <v/>
      </c>
      <c r="AY43" s="97" t="str">
        <f t="shared" si="303"/>
        <v/>
      </c>
      <c r="AZ43" s="98">
        <f t="shared" si="304"/>
        <v>0</v>
      </c>
      <c r="BA43" s="93" t="str">
        <f t="shared" si="305"/>
        <v/>
      </c>
      <c r="BB43" s="94" t="str">
        <f t="shared" si="306"/>
        <v/>
      </c>
      <c r="BC43" s="95">
        <f t="shared" si="307"/>
        <v>0</v>
      </c>
      <c r="BD43" s="96" t="str">
        <f t="shared" si="308"/>
        <v/>
      </c>
      <c r="BE43" s="97" t="str">
        <f t="shared" si="309"/>
        <v/>
      </c>
      <c r="BF43" s="98">
        <f t="shared" si="310"/>
        <v>0</v>
      </c>
      <c r="BG43" s="93" t="str">
        <f t="shared" si="311"/>
        <v/>
      </c>
      <c r="BH43" s="94" t="str">
        <f t="shared" si="312"/>
        <v/>
      </c>
      <c r="BI43" s="95">
        <f t="shared" si="313"/>
        <v>0</v>
      </c>
      <c r="BJ43" s="96" t="str">
        <f t="shared" si="314"/>
        <v/>
      </c>
      <c r="BK43" s="97" t="str">
        <f t="shared" si="315"/>
        <v/>
      </c>
      <c r="BL43" s="98">
        <f t="shared" si="316"/>
        <v>0</v>
      </c>
      <c r="BM43" s="93" t="str">
        <f t="shared" si="317"/>
        <v/>
      </c>
      <c r="BN43" s="94" t="str">
        <f t="shared" si="318"/>
        <v/>
      </c>
      <c r="BO43" s="95">
        <f t="shared" si="319"/>
        <v>0</v>
      </c>
      <c r="BP43" s="96" t="str">
        <f t="shared" si="320"/>
        <v/>
      </c>
      <c r="BQ43" s="97" t="str">
        <f t="shared" si="321"/>
        <v/>
      </c>
      <c r="BR43" s="98">
        <f t="shared" si="322"/>
        <v>0</v>
      </c>
      <c r="BS43" s="93" t="str">
        <f t="shared" si="323"/>
        <v/>
      </c>
      <c r="BT43" s="94" t="str">
        <f t="shared" si="324"/>
        <v/>
      </c>
      <c r="BU43" s="95">
        <f t="shared" si="325"/>
        <v>0</v>
      </c>
      <c r="BV43" s="96" t="str">
        <f t="shared" si="326"/>
        <v/>
      </c>
      <c r="BW43" s="97" t="str">
        <f t="shared" si="327"/>
        <v/>
      </c>
      <c r="BX43" s="98">
        <f t="shared" si="328"/>
        <v>0</v>
      </c>
      <c r="BY43" s="93" t="str">
        <f t="shared" si="329"/>
        <v/>
      </c>
      <c r="BZ43" s="94" t="str">
        <f t="shared" si="330"/>
        <v/>
      </c>
      <c r="CA43" s="95">
        <f t="shared" si="331"/>
        <v>0</v>
      </c>
      <c r="CB43" s="96" t="str">
        <f t="shared" si="332"/>
        <v/>
      </c>
      <c r="CC43" s="97" t="str">
        <f t="shared" si="333"/>
        <v/>
      </c>
      <c r="CD43" s="98">
        <f t="shared" si="334"/>
        <v>0</v>
      </c>
      <c r="CE43" s="93" t="str">
        <f t="shared" si="335"/>
        <v/>
      </c>
      <c r="CF43" s="94" t="str">
        <f t="shared" si="336"/>
        <v/>
      </c>
      <c r="CG43" s="95">
        <f t="shared" si="337"/>
        <v>0</v>
      </c>
      <c r="CH43" s="96" t="str">
        <f t="shared" si="338"/>
        <v/>
      </c>
      <c r="CI43" s="97" t="str">
        <f t="shared" si="339"/>
        <v/>
      </c>
      <c r="CJ43" s="98">
        <f t="shared" si="340"/>
        <v>0</v>
      </c>
      <c r="CK43" s="93" t="str">
        <f t="shared" si="341"/>
        <v/>
      </c>
      <c r="CL43" s="94" t="str">
        <f t="shared" si="342"/>
        <v/>
      </c>
      <c r="CM43" s="95">
        <f t="shared" si="343"/>
        <v>0</v>
      </c>
      <c r="CN43" s="96" t="str">
        <f t="shared" si="344"/>
        <v/>
      </c>
      <c r="CO43" s="97" t="str">
        <f t="shared" si="345"/>
        <v/>
      </c>
      <c r="CP43" s="98">
        <f t="shared" si="346"/>
        <v>0</v>
      </c>
      <c r="CQ43" s="93" t="str">
        <f t="shared" si="347"/>
        <v/>
      </c>
      <c r="CR43" s="94" t="str">
        <f t="shared" si="348"/>
        <v/>
      </c>
      <c r="CS43" s="95">
        <f t="shared" si="349"/>
        <v>0</v>
      </c>
      <c r="CT43" s="96" t="str">
        <f t="shared" si="350"/>
        <v/>
      </c>
      <c r="CU43" s="97" t="str">
        <f t="shared" si="351"/>
        <v/>
      </c>
      <c r="CV43" s="98">
        <f t="shared" si="352"/>
        <v>0</v>
      </c>
      <c r="CW43" s="93" t="str">
        <f t="shared" si="353"/>
        <v/>
      </c>
      <c r="CX43" s="94" t="str">
        <f t="shared" si="354"/>
        <v/>
      </c>
      <c r="CY43" s="95">
        <f t="shared" si="355"/>
        <v>0</v>
      </c>
      <c r="CZ43" s="96" t="str">
        <f t="shared" si="356"/>
        <v/>
      </c>
      <c r="DA43" s="97" t="str">
        <f t="shared" si="357"/>
        <v/>
      </c>
      <c r="DB43" s="98">
        <f t="shared" si="358"/>
        <v>0</v>
      </c>
      <c r="DC43" s="93" t="str">
        <f t="shared" si="359"/>
        <v/>
      </c>
      <c r="DD43" s="94" t="str">
        <f t="shared" si="360"/>
        <v/>
      </c>
      <c r="DE43" s="95">
        <f t="shared" si="361"/>
        <v>0</v>
      </c>
      <c r="DF43" s="96" t="str">
        <f t="shared" si="362"/>
        <v/>
      </c>
      <c r="DG43" s="97" t="str">
        <f t="shared" si="363"/>
        <v/>
      </c>
      <c r="DH43" s="98">
        <f t="shared" si="364"/>
        <v>0</v>
      </c>
      <c r="DI43" s="93" t="str">
        <f t="shared" si="365"/>
        <v/>
      </c>
      <c r="DJ43" s="94" t="str">
        <f t="shared" si="366"/>
        <v/>
      </c>
      <c r="DK43" s="95">
        <f t="shared" si="367"/>
        <v>0</v>
      </c>
      <c r="DL43" s="96" t="str">
        <f t="shared" si="368"/>
        <v/>
      </c>
      <c r="DM43" s="97" t="str">
        <f t="shared" si="369"/>
        <v/>
      </c>
      <c r="DN43" s="98">
        <f t="shared" si="370"/>
        <v>0</v>
      </c>
      <c r="DO43" s="93" t="str">
        <f t="shared" si="371"/>
        <v/>
      </c>
      <c r="DP43" s="94" t="str">
        <f t="shared" si="372"/>
        <v/>
      </c>
      <c r="DQ43" s="95">
        <f t="shared" si="373"/>
        <v>0</v>
      </c>
      <c r="DR43" s="96" t="str">
        <f t="shared" si="374"/>
        <v/>
      </c>
      <c r="DS43" s="97" t="str">
        <f t="shared" si="375"/>
        <v/>
      </c>
      <c r="DT43" s="98">
        <f t="shared" si="376"/>
        <v>0</v>
      </c>
      <c r="DU43" s="93" t="str">
        <f t="shared" si="377"/>
        <v/>
      </c>
      <c r="DV43" s="94" t="str">
        <f t="shared" si="378"/>
        <v/>
      </c>
      <c r="DW43" s="95">
        <f t="shared" si="379"/>
        <v>0</v>
      </c>
      <c r="DX43" s="96" t="str">
        <f t="shared" si="380"/>
        <v/>
      </c>
      <c r="DY43" s="97" t="str">
        <f t="shared" si="381"/>
        <v/>
      </c>
      <c r="DZ43" s="98">
        <f t="shared" si="382"/>
        <v>0</v>
      </c>
      <c r="EA43" s="93" t="str">
        <f t="shared" si="383"/>
        <v/>
      </c>
      <c r="EB43" s="94" t="str">
        <f t="shared" si="384"/>
        <v/>
      </c>
      <c r="EC43" s="95">
        <f t="shared" si="385"/>
        <v>0</v>
      </c>
      <c r="ED43" s="96" t="str">
        <f t="shared" si="386"/>
        <v/>
      </c>
      <c r="EE43" s="97" t="str">
        <f t="shared" si="387"/>
        <v/>
      </c>
      <c r="EF43" s="98">
        <f t="shared" si="388"/>
        <v>0</v>
      </c>
      <c r="EG43" s="93" t="str">
        <f t="shared" si="389"/>
        <v/>
      </c>
      <c r="EH43" s="94" t="str">
        <f t="shared" si="390"/>
        <v/>
      </c>
      <c r="EI43" s="95">
        <f t="shared" si="391"/>
        <v>0</v>
      </c>
      <c r="EJ43" s="96" t="str">
        <f t="shared" si="392"/>
        <v/>
      </c>
      <c r="EK43" s="97" t="str">
        <f t="shared" si="393"/>
        <v/>
      </c>
      <c r="EL43" s="98">
        <f t="shared" si="394"/>
        <v>0</v>
      </c>
      <c r="EM43" s="93" t="str">
        <f t="shared" si="395"/>
        <v/>
      </c>
      <c r="EN43" s="94" t="str">
        <f t="shared" si="396"/>
        <v/>
      </c>
      <c r="EO43" s="95">
        <f t="shared" si="397"/>
        <v>0</v>
      </c>
      <c r="EP43" s="96" t="str">
        <f t="shared" si="398"/>
        <v/>
      </c>
      <c r="EQ43" s="97" t="str">
        <f t="shared" si="399"/>
        <v/>
      </c>
      <c r="ER43" s="98">
        <f t="shared" si="400"/>
        <v>0</v>
      </c>
      <c r="ES43" s="93" t="str">
        <f t="shared" si="401"/>
        <v/>
      </c>
      <c r="ET43" s="94" t="str">
        <f t="shared" si="402"/>
        <v/>
      </c>
      <c r="EU43" s="95">
        <f t="shared" si="403"/>
        <v>0</v>
      </c>
      <c r="EV43" s="96" t="str">
        <f t="shared" si="404"/>
        <v/>
      </c>
      <c r="EW43" s="97" t="str">
        <f t="shared" si="405"/>
        <v/>
      </c>
      <c r="EX43" s="98">
        <f t="shared" si="406"/>
        <v>0</v>
      </c>
      <c r="EY43" s="93" t="str">
        <f t="shared" si="407"/>
        <v/>
      </c>
      <c r="EZ43" s="94" t="str">
        <f t="shared" si="408"/>
        <v/>
      </c>
      <c r="FA43" s="95">
        <f t="shared" si="409"/>
        <v>0</v>
      </c>
      <c r="FB43" s="96" t="str">
        <f t="shared" si="410"/>
        <v/>
      </c>
      <c r="FC43" s="97" t="str">
        <f t="shared" si="411"/>
        <v/>
      </c>
      <c r="FD43" s="98">
        <f t="shared" si="412"/>
        <v>0</v>
      </c>
      <c r="FE43" s="93" t="str">
        <f t="shared" si="413"/>
        <v/>
      </c>
      <c r="FF43" s="94" t="str">
        <f t="shared" si="414"/>
        <v/>
      </c>
      <c r="FG43" s="95">
        <f t="shared" si="415"/>
        <v>0</v>
      </c>
      <c r="FH43" s="96" t="str">
        <f t="shared" si="416"/>
        <v/>
      </c>
      <c r="FI43" s="97" t="str">
        <f t="shared" si="417"/>
        <v/>
      </c>
      <c r="FJ43" s="98">
        <f t="shared" si="418"/>
        <v>0</v>
      </c>
    </row>
    <row r="44" ht="15.75" hidden="1" customHeight="1">
      <c r="A44" s="6" t="str">
        <f>Menus!B36</f>
        <v/>
      </c>
      <c r="B44" s="16">
        <f t="shared" si="256"/>
        <v>0</v>
      </c>
      <c r="C44" s="16">
        <f t="shared" si="257"/>
        <v>0</v>
      </c>
      <c r="D44" s="16">
        <f t="shared" si="419"/>
        <v>0</v>
      </c>
      <c r="E44" s="87" t="str">
        <f t="shared" si="258"/>
        <v/>
      </c>
      <c r="F44" s="88" t="str">
        <f t="shared" si="259"/>
        <v/>
      </c>
      <c r="G44" s="89">
        <f t="shared" si="420"/>
        <v>0</v>
      </c>
      <c r="H44" s="90" t="str">
        <f t="shared" si="260"/>
        <v/>
      </c>
      <c r="I44" s="91" t="str">
        <f t="shared" si="261"/>
        <v/>
      </c>
      <c r="J44" s="92">
        <f t="shared" si="262"/>
        <v>0</v>
      </c>
      <c r="K44" s="93" t="str">
        <f t="shared" si="263"/>
        <v/>
      </c>
      <c r="L44" s="94" t="str">
        <f t="shared" si="264"/>
        <v/>
      </c>
      <c r="M44" s="95">
        <f t="shared" si="265"/>
        <v>0</v>
      </c>
      <c r="N44" s="96" t="str">
        <f t="shared" si="266"/>
        <v/>
      </c>
      <c r="O44" s="97" t="str">
        <f t="shared" si="267"/>
        <v/>
      </c>
      <c r="P44" s="98">
        <f t="shared" si="268"/>
        <v>0</v>
      </c>
      <c r="Q44" s="93" t="str">
        <f t="shared" si="269"/>
        <v/>
      </c>
      <c r="R44" s="94" t="str">
        <f t="shared" si="270"/>
        <v/>
      </c>
      <c r="S44" s="95">
        <f t="shared" si="271"/>
        <v>0</v>
      </c>
      <c r="T44" s="96" t="str">
        <f t="shared" si="272"/>
        <v/>
      </c>
      <c r="U44" s="97" t="str">
        <f t="shared" si="273"/>
        <v/>
      </c>
      <c r="V44" s="98">
        <f t="shared" si="274"/>
        <v>0</v>
      </c>
      <c r="W44" s="93" t="str">
        <f t="shared" si="275"/>
        <v/>
      </c>
      <c r="X44" s="94" t="str">
        <f t="shared" si="276"/>
        <v/>
      </c>
      <c r="Y44" s="95">
        <f t="shared" si="277"/>
        <v>0</v>
      </c>
      <c r="Z44" s="96" t="str">
        <f t="shared" si="278"/>
        <v/>
      </c>
      <c r="AA44" s="97" t="str">
        <f t="shared" si="279"/>
        <v/>
      </c>
      <c r="AB44" s="98">
        <f t="shared" si="280"/>
        <v>0</v>
      </c>
      <c r="AC44" s="93" t="str">
        <f t="shared" si="281"/>
        <v/>
      </c>
      <c r="AD44" s="94" t="str">
        <f t="shared" si="282"/>
        <v/>
      </c>
      <c r="AE44" s="95">
        <f t="shared" si="283"/>
        <v>0</v>
      </c>
      <c r="AF44" s="96" t="str">
        <f t="shared" si="284"/>
        <v/>
      </c>
      <c r="AG44" s="97" t="str">
        <f t="shared" si="285"/>
        <v/>
      </c>
      <c r="AH44" s="98">
        <f t="shared" si="286"/>
        <v>0</v>
      </c>
      <c r="AI44" s="93" t="str">
        <f t="shared" si="287"/>
        <v/>
      </c>
      <c r="AJ44" s="94" t="str">
        <f t="shared" si="288"/>
        <v/>
      </c>
      <c r="AK44" s="95">
        <f t="shared" si="289"/>
        <v>0</v>
      </c>
      <c r="AL44" s="96" t="str">
        <f t="shared" si="290"/>
        <v/>
      </c>
      <c r="AM44" s="97" t="str">
        <f t="shared" si="291"/>
        <v/>
      </c>
      <c r="AN44" s="98">
        <f t="shared" si="292"/>
        <v>0</v>
      </c>
      <c r="AO44" s="93" t="str">
        <f t="shared" si="293"/>
        <v/>
      </c>
      <c r="AP44" s="94" t="str">
        <f t="shared" si="294"/>
        <v/>
      </c>
      <c r="AQ44" s="95">
        <f t="shared" si="295"/>
        <v>0</v>
      </c>
      <c r="AR44" s="96" t="str">
        <f t="shared" si="296"/>
        <v/>
      </c>
      <c r="AS44" s="97" t="str">
        <f t="shared" si="297"/>
        <v/>
      </c>
      <c r="AT44" s="98">
        <f t="shared" si="298"/>
        <v>0</v>
      </c>
      <c r="AU44" s="93" t="str">
        <f t="shared" si="299"/>
        <v/>
      </c>
      <c r="AV44" s="94" t="str">
        <f t="shared" si="300"/>
        <v/>
      </c>
      <c r="AW44" s="95">
        <f t="shared" si="301"/>
        <v>0</v>
      </c>
      <c r="AX44" s="96" t="str">
        <f t="shared" si="302"/>
        <v/>
      </c>
      <c r="AY44" s="97" t="str">
        <f t="shared" si="303"/>
        <v/>
      </c>
      <c r="AZ44" s="98">
        <f t="shared" si="304"/>
        <v>0</v>
      </c>
      <c r="BA44" s="93" t="str">
        <f t="shared" si="305"/>
        <v/>
      </c>
      <c r="BB44" s="94" t="str">
        <f t="shared" si="306"/>
        <v/>
      </c>
      <c r="BC44" s="95">
        <f t="shared" si="307"/>
        <v>0</v>
      </c>
      <c r="BD44" s="96" t="str">
        <f t="shared" si="308"/>
        <v/>
      </c>
      <c r="BE44" s="97" t="str">
        <f t="shared" si="309"/>
        <v/>
      </c>
      <c r="BF44" s="98">
        <f t="shared" si="310"/>
        <v>0</v>
      </c>
      <c r="BG44" s="93" t="str">
        <f t="shared" si="311"/>
        <v/>
      </c>
      <c r="BH44" s="94" t="str">
        <f t="shared" si="312"/>
        <v/>
      </c>
      <c r="BI44" s="95">
        <f t="shared" si="313"/>
        <v>0</v>
      </c>
      <c r="BJ44" s="96" t="str">
        <f t="shared" si="314"/>
        <v/>
      </c>
      <c r="BK44" s="97" t="str">
        <f t="shared" si="315"/>
        <v/>
      </c>
      <c r="BL44" s="98">
        <f t="shared" si="316"/>
        <v>0</v>
      </c>
      <c r="BM44" s="93" t="str">
        <f t="shared" si="317"/>
        <v/>
      </c>
      <c r="BN44" s="94" t="str">
        <f t="shared" si="318"/>
        <v/>
      </c>
      <c r="BO44" s="95">
        <f t="shared" si="319"/>
        <v>0</v>
      </c>
      <c r="BP44" s="96" t="str">
        <f t="shared" si="320"/>
        <v/>
      </c>
      <c r="BQ44" s="97" t="str">
        <f t="shared" si="321"/>
        <v/>
      </c>
      <c r="BR44" s="98">
        <f t="shared" si="322"/>
        <v>0</v>
      </c>
      <c r="BS44" s="93" t="str">
        <f t="shared" si="323"/>
        <v/>
      </c>
      <c r="BT44" s="94" t="str">
        <f t="shared" si="324"/>
        <v/>
      </c>
      <c r="BU44" s="95">
        <f t="shared" si="325"/>
        <v>0</v>
      </c>
      <c r="BV44" s="96" t="str">
        <f t="shared" si="326"/>
        <v/>
      </c>
      <c r="BW44" s="97" t="str">
        <f t="shared" si="327"/>
        <v/>
      </c>
      <c r="BX44" s="98">
        <f t="shared" si="328"/>
        <v>0</v>
      </c>
      <c r="BY44" s="93" t="str">
        <f t="shared" si="329"/>
        <v/>
      </c>
      <c r="BZ44" s="94" t="str">
        <f t="shared" si="330"/>
        <v/>
      </c>
      <c r="CA44" s="95">
        <f t="shared" si="331"/>
        <v>0</v>
      </c>
      <c r="CB44" s="96" t="str">
        <f t="shared" si="332"/>
        <v/>
      </c>
      <c r="CC44" s="97" t="str">
        <f t="shared" si="333"/>
        <v/>
      </c>
      <c r="CD44" s="98">
        <f t="shared" si="334"/>
        <v>0</v>
      </c>
      <c r="CE44" s="93" t="str">
        <f t="shared" si="335"/>
        <v/>
      </c>
      <c r="CF44" s="94" t="str">
        <f t="shared" si="336"/>
        <v/>
      </c>
      <c r="CG44" s="95">
        <f t="shared" si="337"/>
        <v>0</v>
      </c>
      <c r="CH44" s="96" t="str">
        <f t="shared" si="338"/>
        <v/>
      </c>
      <c r="CI44" s="97" t="str">
        <f t="shared" si="339"/>
        <v/>
      </c>
      <c r="CJ44" s="98">
        <f t="shared" si="340"/>
        <v>0</v>
      </c>
      <c r="CK44" s="93" t="str">
        <f t="shared" si="341"/>
        <v/>
      </c>
      <c r="CL44" s="94" t="str">
        <f t="shared" si="342"/>
        <v/>
      </c>
      <c r="CM44" s="95">
        <f t="shared" si="343"/>
        <v>0</v>
      </c>
      <c r="CN44" s="96" t="str">
        <f t="shared" si="344"/>
        <v/>
      </c>
      <c r="CO44" s="97" t="str">
        <f t="shared" si="345"/>
        <v/>
      </c>
      <c r="CP44" s="98">
        <f t="shared" si="346"/>
        <v>0</v>
      </c>
      <c r="CQ44" s="93" t="str">
        <f t="shared" si="347"/>
        <v/>
      </c>
      <c r="CR44" s="94" t="str">
        <f t="shared" si="348"/>
        <v/>
      </c>
      <c r="CS44" s="95">
        <f t="shared" si="349"/>
        <v>0</v>
      </c>
      <c r="CT44" s="96" t="str">
        <f t="shared" si="350"/>
        <v/>
      </c>
      <c r="CU44" s="97" t="str">
        <f t="shared" si="351"/>
        <v/>
      </c>
      <c r="CV44" s="98">
        <f t="shared" si="352"/>
        <v>0</v>
      </c>
      <c r="CW44" s="93" t="str">
        <f t="shared" si="353"/>
        <v/>
      </c>
      <c r="CX44" s="94" t="str">
        <f t="shared" si="354"/>
        <v/>
      </c>
      <c r="CY44" s="95">
        <f t="shared" si="355"/>
        <v>0</v>
      </c>
      <c r="CZ44" s="96" t="str">
        <f t="shared" si="356"/>
        <v/>
      </c>
      <c r="DA44" s="97" t="str">
        <f t="shared" si="357"/>
        <v/>
      </c>
      <c r="DB44" s="98">
        <f t="shared" si="358"/>
        <v>0</v>
      </c>
      <c r="DC44" s="93" t="str">
        <f t="shared" si="359"/>
        <v/>
      </c>
      <c r="DD44" s="94" t="str">
        <f t="shared" si="360"/>
        <v/>
      </c>
      <c r="DE44" s="95">
        <f t="shared" si="361"/>
        <v>0</v>
      </c>
      <c r="DF44" s="96" t="str">
        <f t="shared" si="362"/>
        <v/>
      </c>
      <c r="DG44" s="97" t="str">
        <f t="shared" si="363"/>
        <v/>
      </c>
      <c r="DH44" s="98">
        <f t="shared" si="364"/>
        <v>0</v>
      </c>
      <c r="DI44" s="93" t="str">
        <f t="shared" si="365"/>
        <v/>
      </c>
      <c r="DJ44" s="94" t="str">
        <f t="shared" si="366"/>
        <v/>
      </c>
      <c r="DK44" s="95">
        <f t="shared" si="367"/>
        <v>0</v>
      </c>
      <c r="DL44" s="96" t="str">
        <f t="shared" si="368"/>
        <v/>
      </c>
      <c r="DM44" s="97" t="str">
        <f t="shared" si="369"/>
        <v/>
      </c>
      <c r="DN44" s="98">
        <f t="shared" si="370"/>
        <v>0</v>
      </c>
      <c r="DO44" s="93" t="str">
        <f t="shared" si="371"/>
        <v/>
      </c>
      <c r="DP44" s="94" t="str">
        <f t="shared" si="372"/>
        <v/>
      </c>
      <c r="DQ44" s="95">
        <f t="shared" si="373"/>
        <v>0</v>
      </c>
      <c r="DR44" s="96" t="str">
        <f t="shared" si="374"/>
        <v/>
      </c>
      <c r="DS44" s="97" t="str">
        <f t="shared" si="375"/>
        <v/>
      </c>
      <c r="DT44" s="98">
        <f t="shared" si="376"/>
        <v>0</v>
      </c>
      <c r="DU44" s="93" t="str">
        <f t="shared" si="377"/>
        <v/>
      </c>
      <c r="DV44" s="94" t="str">
        <f t="shared" si="378"/>
        <v/>
      </c>
      <c r="DW44" s="95">
        <f t="shared" si="379"/>
        <v>0</v>
      </c>
      <c r="DX44" s="96" t="str">
        <f t="shared" si="380"/>
        <v/>
      </c>
      <c r="DY44" s="97" t="str">
        <f t="shared" si="381"/>
        <v/>
      </c>
      <c r="DZ44" s="98">
        <f t="shared" si="382"/>
        <v>0</v>
      </c>
      <c r="EA44" s="93" t="str">
        <f t="shared" si="383"/>
        <v/>
      </c>
      <c r="EB44" s="94" t="str">
        <f t="shared" si="384"/>
        <v/>
      </c>
      <c r="EC44" s="95">
        <f t="shared" si="385"/>
        <v>0</v>
      </c>
      <c r="ED44" s="96" t="str">
        <f t="shared" si="386"/>
        <v/>
      </c>
      <c r="EE44" s="97" t="str">
        <f t="shared" si="387"/>
        <v/>
      </c>
      <c r="EF44" s="98">
        <f t="shared" si="388"/>
        <v>0</v>
      </c>
      <c r="EG44" s="93" t="str">
        <f t="shared" si="389"/>
        <v/>
      </c>
      <c r="EH44" s="94" t="str">
        <f t="shared" si="390"/>
        <v/>
      </c>
      <c r="EI44" s="95">
        <f t="shared" si="391"/>
        <v>0</v>
      </c>
      <c r="EJ44" s="96" t="str">
        <f t="shared" si="392"/>
        <v/>
      </c>
      <c r="EK44" s="97" t="str">
        <f t="shared" si="393"/>
        <v/>
      </c>
      <c r="EL44" s="98">
        <f t="shared" si="394"/>
        <v>0</v>
      </c>
      <c r="EM44" s="93" t="str">
        <f t="shared" si="395"/>
        <v/>
      </c>
      <c r="EN44" s="94" t="str">
        <f t="shared" si="396"/>
        <v/>
      </c>
      <c r="EO44" s="95">
        <f t="shared" si="397"/>
        <v>0</v>
      </c>
      <c r="EP44" s="96" t="str">
        <f t="shared" si="398"/>
        <v/>
      </c>
      <c r="EQ44" s="97" t="str">
        <f t="shared" si="399"/>
        <v/>
      </c>
      <c r="ER44" s="98">
        <f t="shared" si="400"/>
        <v>0</v>
      </c>
      <c r="ES44" s="93" t="str">
        <f t="shared" si="401"/>
        <v/>
      </c>
      <c r="ET44" s="94" t="str">
        <f t="shared" si="402"/>
        <v/>
      </c>
      <c r="EU44" s="95">
        <f t="shared" si="403"/>
        <v>0</v>
      </c>
      <c r="EV44" s="96" t="str">
        <f t="shared" si="404"/>
        <v/>
      </c>
      <c r="EW44" s="97" t="str">
        <f t="shared" si="405"/>
        <v/>
      </c>
      <c r="EX44" s="98">
        <f t="shared" si="406"/>
        <v>0</v>
      </c>
      <c r="EY44" s="93" t="str">
        <f t="shared" si="407"/>
        <v/>
      </c>
      <c r="EZ44" s="94" t="str">
        <f t="shared" si="408"/>
        <v/>
      </c>
      <c r="FA44" s="95">
        <f t="shared" si="409"/>
        <v>0</v>
      </c>
      <c r="FB44" s="96" t="str">
        <f t="shared" si="410"/>
        <v/>
      </c>
      <c r="FC44" s="97" t="str">
        <f t="shared" si="411"/>
        <v/>
      </c>
      <c r="FD44" s="98">
        <f t="shared" si="412"/>
        <v>0</v>
      </c>
      <c r="FE44" s="93" t="str">
        <f t="shared" si="413"/>
        <v/>
      </c>
      <c r="FF44" s="94" t="str">
        <f t="shared" si="414"/>
        <v/>
      </c>
      <c r="FG44" s="95">
        <f t="shared" si="415"/>
        <v>0</v>
      </c>
      <c r="FH44" s="96" t="str">
        <f t="shared" si="416"/>
        <v/>
      </c>
      <c r="FI44" s="97" t="str">
        <f t="shared" si="417"/>
        <v/>
      </c>
      <c r="FJ44" s="98">
        <f t="shared" si="418"/>
        <v>0</v>
      </c>
    </row>
    <row r="45" ht="15.75" hidden="1" customHeight="1">
      <c r="A45" s="6" t="str">
        <f>Menus!B37</f>
        <v/>
      </c>
      <c r="B45" s="16">
        <f t="shared" si="256"/>
        <v>0</v>
      </c>
      <c r="C45" s="16">
        <f t="shared" si="257"/>
        <v>0</v>
      </c>
      <c r="D45" s="16">
        <f t="shared" si="419"/>
        <v>0</v>
      </c>
      <c r="E45" s="87" t="str">
        <f t="shared" si="258"/>
        <v/>
      </c>
      <c r="F45" s="88" t="str">
        <f t="shared" si="259"/>
        <v/>
      </c>
      <c r="G45" s="89">
        <f t="shared" si="420"/>
        <v>0</v>
      </c>
      <c r="H45" s="90" t="str">
        <f t="shared" si="260"/>
        <v/>
      </c>
      <c r="I45" s="91" t="str">
        <f t="shared" si="261"/>
        <v/>
      </c>
      <c r="J45" s="92">
        <f t="shared" si="262"/>
        <v>0</v>
      </c>
      <c r="K45" s="93" t="str">
        <f t="shared" si="263"/>
        <v/>
      </c>
      <c r="L45" s="94" t="str">
        <f t="shared" si="264"/>
        <v/>
      </c>
      <c r="M45" s="95">
        <f t="shared" si="265"/>
        <v>0</v>
      </c>
      <c r="N45" s="96" t="str">
        <f t="shared" si="266"/>
        <v/>
      </c>
      <c r="O45" s="97" t="str">
        <f t="shared" si="267"/>
        <v/>
      </c>
      <c r="P45" s="98">
        <f t="shared" si="268"/>
        <v>0</v>
      </c>
      <c r="Q45" s="93" t="str">
        <f t="shared" si="269"/>
        <v/>
      </c>
      <c r="R45" s="94" t="str">
        <f t="shared" si="270"/>
        <v/>
      </c>
      <c r="S45" s="95">
        <f t="shared" si="271"/>
        <v>0</v>
      </c>
      <c r="T45" s="96" t="str">
        <f t="shared" si="272"/>
        <v/>
      </c>
      <c r="U45" s="97" t="str">
        <f t="shared" si="273"/>
        <v/>
      </c>
      <c r="V45" s="98">
        <f t="shared" si="274"/>
        <v>0</v>
      </c>
      <c r="W45" s="93" t="str">
        <f t="shared" si="275"/>
        <v/>
      </c>
      <c r="X45" s="94" t="str">
        <f t="shared" si="276"/>
        <v/>
      </c>
      <c r="Y45" s="95">
        <f t="shared" si="277"/>
        <v>0</v>
      </c>
      <c r="Z45" s="96" t="str">
        <f t="shared" si="278"/>
        <v/>
      </c>
      <c r="AA45" s="97" t="str">
        <f t="shared" si="279"/>
        <v/>
      </c>
      <c r="AB45" s="98">
        <f t="shared" si="280"/>
        <v>0</v>
      </c>
      <c r="AC45" s="93" t="str">
        <f t="shared" si="281"/>
        <v/>
      </c>
      <c r="AD45" s="94" t="str">
        <f t="shared" si="282"/>
        <v/>
      </c>
      <c r="AE45" s="95">
        <f t="shared" si="283"/>
        <v>0</v>
      </c>
      <c r="AF45" s="96" t="str">
        <f t="shared" si="284"/>
        <v/>
      </c>
      <c r="AG45" s="97" t="str">
        <f t="shared" si="285"/>
        <v/>
      </c>
      <c r="AH45" s="98">
        <f t="shared" si="286"/>
        <v>0</v>
      </c>
      <c r="AI45" s="93" t="str">
        <f t="shared" si="287"/>
        <v/>
      </c>
      <c r="AJ45" s="94" t="str">
        <f t="shared" si="288"/>
        <v/>
      </c>
      <c r="AK45" s="95">
        <f t="shared" si="289"/>
        <v>0</v>
      </c>
      <c r="AL45" s="96" t="str">
        <f t="shared" si="290"/>
        <v/>
      </c>
      <c r="AM45" s="97" t="str">
        <f t="shared" si="291"/>
        <v/>
      </c>
      <c r="AN45" s="98">
        <f t="shared" si="292"/>
        <v>0</v>
      </c>
      <c r="AO45" s="93" t="str">
        <f t="shared" si="293"/>
        <v/>
      </c>
      <c r="AP45" s="94" t="str">
        <f t="shared" si="294"/>
        <v/>
      </c>
      <c r="AQ45" s="95">
        <f t="shared" si="295"/>
        <v>0</v>
      </c>
      <c r="AR45" s="96" t="str">
        <f t="shared" si="296"/>
        <v/>
      </c>
      <c r="AS45" s="97" t="str">
        <f t="shared" si="297"/>
        <v/>
      </c>
      <c r="AT45" s="98">
        <f t="shared" si="298"/>
        <v>0</v>
      </c>
      <c r="AU45" s="93" t="str">
        <f t="shared" si="299"/>
        <v/>
      </c>
      <c r="AV45" s="94" t="str">
        <f t="shared" si="300"/>
        <v/>
      </c>
      <c r="AW45" s="95">
        <f t="shared" si="301"/>
        <v>0</v>
      </c>
      <c r="AX45" s="96" t="str">
        <f t="shared" si="302"/>
        <v/>
      </c>
      <c r="AY45" s="97" t="str">
        <f t="shared" si="303"/>
        <v/>
      </c>
      <c r="AZ45" s="98">
        <f t="shared" si="304"/>
        <v>0</v>
      </c>
      <c r="BA45" s="93" t="str">
        <f t="shared" si="305"/>
        <v/>
      </c>
      <c r="BB45" s="94" t="str">
        <f t="shared" si="306"/>
        <v/>
      </c>
      <c r="BC45" s="95">
        <f t="shared" si="307"/>
        <v>0</v>
      </c>
      <c r="BD45" s="96" t="str">
        <f t="shared" si="308"/>
        <v/>
      </c>
      <c r="BE45" s="97" t="str">
        <f t="shared" si="309"/>
        <v/>
      </c>
      <c r="BF45" s="98">
        <f t="shared" si="310"/>
        <v>0</v>
      </c>
      <c r="BG45" s="93" t="str">
        <f t="shared" si="311"/>
        <v/>
      </c>
      <c r="BH45" s="94" t="str">
        <f t="shared" si="312"/>
        <v/>
      </c>
      <c r="BI45" s="95">
        <f t="shared" si="313"/>
        <v>0</v>
      </c>
      <c r="BJ45" s="96" t="str">
        <f t="shared" si="314"/>
        <v/>
      </c>
      <c r="BK45" s="97" t="str">
        <f t="shared" si="315"/>
        <v/>
      </c>
      <c r="BL45" s="98">
        <f t="shared" si="316"/>
        <v>0</v>
      </c>
      <c r="BM45" s="93" t="str">
        <f t="shared" si="317"/>
        <v/>
      </c>
      <c r="BN45" s="94" t="str">
        <f t="shared" si="318"/>
        <v/>
      </c>
      <c r="BO45" s="95">
        <f t="shared" si="319"/>
        <v>0</v>
      </c>
      <c r="BP45" s="96" t="str">
        <f t="shared" si="320"/>
        <v/>
      </c>
      <c r="BQ45" s="97" t="str">
        <f t="shared" si="321"/>
        <v/>
      </c>
      <c r="BR45" s="98">
        <f t="shared" si="322"/>
        <v>0</v>
      </c>
      <c r="BS45" s="93" t="str">
        <f t="shared" si="323"/>
        <v/>
      </c>
      <c r="BT45" s="94" t="str">
        <f t="shared" si="324"/>
        <v/>
      </c>
      <c r="BU45" s="95">
        <f t="shared" si="325"/>
        <v>0</v>
      </c>
      <c r="BV45" s="96" t="str">
        <f t="shared" si="326"/>
        <v/>
      </c>
      <c r="BW45" s="97" t="str">
        <f t="shared" si="327"/>
        <v/>
      </c>
      <c r="BX45" s="98">
        <f t="shared" si="328"/>
        <v>0</v>
      </c>
      <c r="BY45" s="93" t="str">
        <f t="shared" si="329"/>
        <v/>
      </c>
      <c r="BZ45" s="94" t="str">
        <f t="shared" si="330"/>
        <v/>
      </c>
      <c r="CA45" s="95">
        <f t="shared" si="331"/>
        <v>0</v>
      </c>
      <c r="CB45" s="96" t="str">
        <f t="shared" si="332"/>
        <v/>
      </c>
      <c r="CC45" s="97" t="str">
        <f t="shared" si="333"/>
        <v/>
      </c>
      <c r="CD45" s="98">
        <f t="shared" si="334"/>
        <v>0</v>
      </c>
      <c r="CE45" s="93" t="str">
        <f t="shared" si="335"/>
        <v/>
      </c>
      <c r="CF45" s="94" t="str">
        <f t="shared" si="336"/>
        <v/>
      </c>
      <c r="CG45" s="95">
        <f t="shared" si="337"/>
        <v>0</v>
      </c>
      <c r="CH45" s="96" t="str">
        <f t="shared" si="338"/>
        <v/>
      </c>
      <c r="CI45" s="97" t="str">
        <f t="shared" si="339"/>
        <v/>
      </c>
      <c r="CJ45" s="98">
        <f t="shared" si="340"/>
        <v>0</v>
      </c>
      <c r="CK45" s="93" t="str">
        <f t="shared" si="341"/>
        <v/>
      </c>
      <c r="CL45" s="94" t="str">
        <f t="shared" si="342"/>
        <v/>
      </c>
      <c r="CM45" s="95">
        <f t="shared" si="343"/>
        <v>0</v>
      </c>
      <c r="CN45" s="96" t="str">
        <f t="shared" si="344"/>
        <v/>
      </c>
      <c r="CO45" s="97" t="str">
        <f t="shared" si="345"/>
        <v/>
      </c>
      <c r="CP45" s="98">
        <f t="shared" si="346"/>
        <v>0</v>
      </c>
      <c r="CQ45" s="93" t="str">
        <f t="shared" si="347"/>
        <v/>
      </c>
      <c r="CR45" s="94" t="str">
        <f t="shared" si="348"/>
        <v/>
      </c>
      <c r="CS45" s="95">
        <f t="shared" si="349"/>
        <v>0</v>
      </c>
      <c r="CT45" s="96" t="str">
        <f t="shared" si="350"/>
        <v/>
      </c>
      <c r="CU45" s="97" t="str">
        <f t="shared" si="351"/>
        <v/>
      </c>
      <c r="CV45" s="98">
        <f t="shared" si="352"/>
        <v>0</v>
      </c>
      <c r="CW45" s="93" t="str">
        <f t="shared" si="353"/>
        <v/>
      </c>
      <c r="CX45" s="94" t="str">
        <f t="shared" si="354"/>
        <v/>
      </c>
      <c r="CY45" s="95">
        <f t="shared" si="355"/>
        <v>0</v>
      </c>
      <c r="CZ45" s="96" t="str">
        <f t="shared" si="356"/>
        <v/>
      </c>
      <c r="DA45" s="97" t="str">
        <f t="shared" si="357"/>
        <v/>
      </c>
      <c r="DB45" s="98">
        <f t="shared" si="358"/>
        <v>0</v>
      </c>
      <c r="DC45" s="93" t="str">
        <f t="shared" si="359"/>
        <v/>
      </c>
      <c r="DD45" s="94" t="str">
        <f t="shared" si="360"/>
        <v/>
      </c>
      <c r="DE45" s="95">
        <f t="shared" si="361"/>
        <v>0</v>
      </c>
      <c r="DF45" s="96" t="str">
        <f t="shared" si="362"/>
        <v/>
      </c>
      <c r="DG45" s="97" t="str">
        <f t="shared" si="363"/>
        <v/>
      </c>
      <c r="DH45" s="98">
        <f t="shared" si="364"/>
        <v>0</v>
      </c>
      <c r="DI45" s="93" t="str">
        <f t="shared" si="365"/>
        <v/>
      </c>
      <c r="DJ45" s="94" t="str">
        <f t="shared" si="366"/>
        <v/>
      </c>
      <c r="DK45" s="95">
        <f t="shared" si="367"/>
        <v>0</v>
      </c>
      <c r="DL45" s="96" t="str">
        <f t="shared" si="368"/>
        <v/>
      </c>
      <c r="DM45" s="97" t="str">
        <f t="shared" si="369"/>
        <v/>
      </c>
      <c r="DN45" s="98">
        <f t="shared" si="370"/>
        <v>0</v>
      </c>
      <c r="DO45" s="93" t="str">
        <f t="shared" si="371"/>
        <v/>
      </c>
      <c r="DP45" s="94" t="str">
        <f t="shared" si="372"/>
        <v/>
      </c>
      <c r="DQ45" s="95">
        <f t="shared" si="373"/>
        <v>0</v>
      </c>
      <c r="DR45" s="96" t="str">
        <f t="shared" si="374"/>
        <v/>
      </c>
      <c r="DS45" s="97" t="str">
        <f t="shared" si="375"/>
        <v/>
      </c>
      <c r="DT45" s="98">
        <f t="shared" si="376"/>
        <v>0</v>
      </c>
      <c r="DU45" s="93" t="str">
        <f t="shared" si="377"/>
        <v/>
      </c>
      <c r="DV45" s="94" t="str">
        <f t="shared" si="378"/>
        <v/>
      </c>
      <c r="DW45" s="95">
        <f t="shared" si="379"/>
        <v>0</v>
      </c>
      <c r="DX45" s="96" t="str">
        <f t="shared" si="380"/>
        <v/>
      </c>
      <c r="DY45" s="97" t="str">
        <f t="shared" si="381"/>
        <v/>
      </c>
      <c r="DZ45" s="98">
        <f t="shared" si="382"/>
        <v>0</v>
      </c>
      <c r="EA45" s="93" t="str">
        <f t="shared" si="383"/>
        <v/>
      </c>
      <c r="EB45" s="94" t="str">
        <f t="shared" si="384"/>
        <v/>
      </c>
      <c r="EC45" s="95">
        <f t="shared" si="385"/>
        <v>0</v>
      </c>
      <c r="ED45" s="96" t="str">
        <f t="shared" si="386"/>
        <v/>
      </c>
      <c r="EE45" s="97" t="str">
        <f t="shared" si="387"/>
        <v/>
      </c>
      <c r="EF45" s="98">
        <f t="shared" si="388"/>
        <v>0</v>
      </c>
      <c r="EG45" s="93" t="str">
        <f t="shared" si="389"/>
        <v/>
      </c>
      <c r="EH45" s="94" t="str">
        <f t="shared" si="390"/>
        <v/>
      </c>
      <c r="EI45" s="95">
        <f t="shared" si="391"/>
        <v>0</v>
      </c>
      <c r="EJ45" s="96" t="str">
        <f t="shared" si="392"/>
        <v/>
      </c>
      <c r="EK45" s="97" t="str">
        <f t="shared" si="393"/>
        <v/>
      </c>
      <c r="EL45" s="98">
        <f t="shared" si="394"/>
        <v>0</v>
      </c>
      <c r="EM45" s="93" t="str">
        <f t="shared" si="395"/>
        <v/>
      </c>
      <c r="EN45" s="94" t="str">
        <f t="shared" si="396"/>
        <v/>
      </c>
      <c r="EO45" s="95">
        <f t="shared" si="397"/>
        <v>0</v>
      </c>
      <c r="EP45" s="96" t="str">
        <f t="shared" si="398"/>
        <v/>
      </c>
      <c r="EQ45" s="97" t="str">
        <f t="shared" si="399"/>
        <v/>
      </c>
      <c r="ER45" s="98">
        <f t="shared" si="400"/>
        <v>0</v>
      </c>
      <c r="ES45" s="93" t="str">
        <f t="shared" si="401"/>
        <v/>
      </c>
      <c r="ET45" s="94" t="str">
        <f t="shared" si="402"/>
        <v/>
      </c>
      <c r="EU45" s="95">
        <f t="shared" si="403"/>
        <v>0</v>
      </c>
      <c r="EV45" s="96" t="str">
        <f t="shared" si="404"/>
        <v/>
      </c>
      <c r="EW45" s="97" t="str">
        <f t="shared" si="405"/>
        <v/>
      </c>
      <c r="EX45" s="98">
        <f t="shared" si="406"/>
        <v>0</v>
      </c>
      <c r="EY45" s="93" t="str">
        <f t="shared" si="407"/>
        <v/>
      </c>
      <c r="EZ45" s="94" t="str">
        <f t="shared" si="408"/>
        <v/>
      </c>
      <c r="FA45" s="95">
        <f t="shared" si="409"/>
        <v>0</v>
      </c>
      <c r="FB45" s="96" t="str">
        <f t="shared" si="410"/>
        <v/>
      </c>
      <c r="FC45" s="97" t="str">
        <f t="shared" si="411"/>
        <v/>
      </c>
      <c r="FD45" s="98">
        <f t="shared" si="412"/>
        <v>0</v>
      </c>
      <c r="FE45" s="93" t="str">
        <f t="shared" si="413"/>
        <v/>
      </c>
      <c r="FF45" s="94" t="str">
        <f t="shared" si="414"/>
        <v/>
      </c>
      <c r="FG45" s="95">
        <f t="shared" si="415"/>
        <v>0</v>
      </c>
      <c r="FH45" s="96" t="str">
        <f t="shared" si="416"/>
        <v/>
      </c>
      <c r="FI45" s="97" t="str">
        <f t="shared" si="417"/>
        <v/>
      </c>
      <c r="FJ45" s="98">
        <f t="shared" si="418"/>
        <v>0</v>
      </c>
    </row>
    <row r="46" ht="15.75" hidden="1" customHeight="1">
      <c r="A46" s="6" t="str">
        <f>Menus!B38</f>
        <v/>
      </c>
      <c r="B46" s="16">
        <f t="shared" si="256"/>
        <v>0</v>
      </c>
      <c r="C46" s="16">
        <f t="shared" si="257"/>
        <v>0</v>
      </c>
      <c r="D46" s="16">
        <f t="shared" si="419"/>
        <v>0</v>
      </c>
      <c r="E46" s="87" t="str">
        <f t="shared" si="258"/>
        <v/>
      </c>
      <c r="F46" s="88" t="str">
        <f t="shared" si="259"/>
        <v/>
      </c>
      <c r="G46" s="89">
        <f t="shared" si="420"/>
        <v>0</v>
      </c>
      <c r="H46" s="90" t="str">
        <f t="shared" si="260"/>
        <v/>
      </c>
      <c r="I46" s="91" t="str">
        <f t="shared" si="261"/>
        <v/>
      </c>
      <c r="J46" s="92">
        <f t="shared" si="262"/>
        <v>0</v>
      </c>
      <c r="K46" s="93" t="str">
        <f t="shared" si="263"/>
        <v/>
      </c>
      <c r="L46" s="94" t="str">
        <f t="shared" si="264"/>
        <v/>
      </c>
      <c r="M46" s="95">
        <f t="shared" si="265"/>
        <v>0</v>
      </c>
      <c r="N46" s="96" t="str">
        <f t="shared" si="266"/>
        <v/>
      </c>
      <c r="O46" s="97" t="str">
        <f t="shared" si="267"/>
        <v/>
      </c>
      <c r="P46" s="98">
        <f t="shared" si="268"/>
        <v>0</v>
      </c>
      <c r="Q46" s="93" t="str">
        <f t="shared" si="269"/>
        <v/>
      </c>
      <c r="R46" s="94" t="str">
        <f t="shared" si="270"/>
        <v/>
      </c>
      <c r="S46" s="95">
        <f t="shared" si="271"/>
        <v>0</v>
      </c>
      <c r="T46" s="96" t="str">
        <f t="shared" si="272"/>
        <v/>
      </c>
      <c r="U46" s="97" t="str">
        <f t="shared" si="273"/>
        <v/>
      </c>
      <c r="V46" s="98">
        <f t="shared" si="274"/>
        <v>0</v>
      </c>
      <c r="W46" s="93" t="str">
        <f t="shared" si="275"/>
        <v/>
      </c>
      <c r="X46" s="94" t="str">
        <f t="shared" si="276"/>
        <v/>
      </c>
      <c r="Y46" s="95">
        <f t="shared" si="277"/>
        <v>0</v>
      </c>
      <c r="Z46" s="96" t="str">
        <f t="shared" si="278"/>
        <v/>
      </c>
      <c r="AA46" s="97" t="str">
        <f t="shared" si="279"/>
        <v/>
      </c>
      <c r="AB46" s="98">
        <f t="shared" si="280"/>
        <v>0</v>
      </c>
      <c r="AC46" s="93" t="str">
        <f t="shared" si="281"/>
        <v/>
      </c>
      <c r="AD46" s="94" t="str">
        <f t="shared" si="282"/>
        <v/>
      </c>
      <c r="AE46" s="95">
        <f t="shared" si="283"/>
        <v>0</v>
      </c>
      <c r="AF46" s="96" t="str">
        <f t="shared" si="284"/>
        <v/>
      </c>
      <c r="AG46" s="97" t="str">
        <f t="shared" si="285"/>
        <v/>
      </c>
      <c r="AH46" s="98">
        <f t="shared" si="286"/>
        <v>0</v>
      </c>
      <c r="AI46" s="93" t="str">
        <f t="shared" si="287"/>
        <v/>
      </c>
      <c r="AJ46" s="94" t="str">
        <f t="shared" si="288"/>
        <v/>
      </c>
      <c r="AK46" s="95">
        <f t="shared" si="289"/>
        <v>0</v>
      </c>
      <c r="AL46" s="96" t="str">
        <f t="shared" si="290"/>
        <v/>
      </c>
      <c r="AM46" s="97" t="str">
        <f t="shared" si="291"/>
        <v/>
      </c>
      <c r="AN46" s="98">
        <f t="shared" si="292"/>
        <v>0</v>
      </c>
      <c r="AO46" s="93" t="str">
        <f t="shared" si="293"/>
        <v/>
      </c>
      <c r="AP46" s="94" t="str">
        <f t="shared" si="294"/>
        <v/>
      </c>
      <c r="AQ46" s="95">
        <f t="shared" si="295"/>
        <v>0</v>
      </c>
      <c r="AR46" s="96" t="str">
        <f t="shared" si="296"/>
        <v/>
      </c>
      <c r="AS46" s="97" t="str">
        <f t="shared" si="297"/>
        <v/>
      </c>
      <c r="AT46" s="98">
        <f t="shared" si="298"/>
        <v>0</v>
      </c>
      <c r="AU46" s="93" t="str">
        <f t="shared" si="299"/>
        <v/>
      </c>
      <c r="AV46" s="94" t="str">
        <f t="shared" si="300"/>
        <v/>
      </c>
      <c r="AW46" s="95">
        <f t="shared" si="301"/>
        <v>0</v>
      </c>
      <c r="AX46" s="96" t="str">
        <f t="shared" si="302"/>
        <v/>
      </c>
      <c r="AY46" s="97" t="str">
        <f t="shared" si="303"/>
        <v/>
      </c>
      <c r="AZ46" s="98">
        <f t="shared" si="304"/>
        <v>0</v>
      </c>
      <c r="BA46" s="93" t="str">
        <f t="shared" si="305"/>
        <v/>
      </c>
      <c r="BB46" s="94" t="str">
        <f t="shared" si="306"/>
        <v/>
      </c>
      <c r="BC46" s="95">
        <f t="shared" si="307"/>
        <v>0</v>
      </c>
      <c r="BD46" s="96" t="str">
        <f t="shared" si="308"/>
        <v/>
      </c>
      <c r="BE46" s="97" t="str">
        <f t="shared" si="309"/>
        <v/>
      </c>
      <c r="BF46" s="98">
        <f t="shared" si="310"/>
        <v>0</v>
      </c>
      <c r="BG46" s="93" t="str">
        <f t="shared" si="311"/>
        <v/>
      </c>
      <c r="BH46" s="94" t="str">
        <f t="shared" si="312"/>
        <v/>
      </c>
      <c r="BI46" s="95">
        <f t="shared" si="313"/>
        <v>0</v>
      </c>
      <c r="BJ46" s="96" t="str">
        <f t="shared" si="314"/>
        <v/>
      </c>
      <c r="BK46" s="97" t="str">
        <f t="shared" si="315"/>
        <v/>
      </c>
      <c r="BL46" s="98">
        <f t="shared" si="316"/>
        <v>0</v>
      </c>
      <c r="BM46" s="93" t="str">
        <f t="shared" si="317"/>
        <v/>
      </c>
      <c r="BN46" s="94" t="str">
        <f t="shared" si="318"/>
        <v/>
      </c>
      <c r="BO46" s="95">
        <f t="shared" si="319"/>
        <v>0</v>
      </c>
      <c r="BP46" s="96" t="str">
        <f t="shared" si="320"/>
        <v/>
      </c>
      <c r="BQ46" s="97" t="str">
        <f t="shared" si="321"/>
        <v/>
      </c>
      <c r="BR46" s="98">
        <f t="shared" si="322"/>
        <v>0</v>
      </c>
      <c r="BS46" s="93" t="str">
        <f t="shared" si="323"/>
        <v/>
      </c>
      <c r="BT46" s="94" t="str">
        <f t="shared" si="324"/>
        <v/>
      </c>
      <c r="BU46" s="95">
        <f t="shared" si="325"/>
        <v>0</v>
      </c>
      <c r="BV46" s="96" t="str">
        <f t="shared" si="326"/>
        <v/>
      </c>
      <c r="BW46" s="97" t="str">
        <f t="shared" si="327"/>
        <v/>
      </c>
      <c r="BX46" s="98">
        <f t="shared" si="328"/>
        <v>0</v>
      </c>
      <c r="BY46" s="93" t="str">
        <f t="shared" si="329"/>
        <v/>
      </c>
      <c r="BZ46" s="94" t="str">
        <f t="shared" si="330"/>
        <v/>
      </c>
      <c r="CA46" s="95">
        <f t="shared" si="331"/>
        <v>0</v>
      </c>
      <c r="CB46" s="96" t="str">
        <f t="shared" si="332"/>
        <v/>
      </c>
      <c r="CC46" s="97" t="str">
        <f t="shared" si="333"/>
        <v/>
      </c>
      <c r="CD46" s="98">
        <f t="shared" si="334"/>
        <v>0</v>
      </c>
      <c r="CE46" s="93" t="str">
        <f t="shared" si="335"/>
        <v/>
      </c>
      <c r="CF46" s="94" t="str">
        <f t="shared" si="336"/>
        <v/>
      </c>
      <c r="CG46" s="95">
        <f t="shared" si="337"/>
        <v>0</v>
      </c>
      <c r="CH46" s="96" t="str">
        <f t="shared" si="338"/>
        <v/>
      </c>
      <c r="CI46" s="97" t="str">
        <f t="shared" si="339"/>
        <v/>
      </c>
      <c r="CJ46" s="98">
        <f t="shared" si="340"/>
        <v>0</v>
      </c>
      <c r="CK46" s="93" t="str">
        <f t="shared" si="341"/>
        <v/>
      </c>
      <c r="CL46" s="94" t="str">
        <f t="shared" si="342"/>
        <v/>
      </c>
      <c r="CM46" s="95">
        <f t="shared" si="343"/>
        <v>0</v>
      </c>
      <c r="CN46" s="96" t="str">
        <f t="shared" si="344"/>
        <v/>
      </c>
      <c r="CO46" s="97" t="str">
        <f t="shared" si="345"/>
        <v/>
      </c>
      <c r="CP46" s="98">
        <f t="shared" si="346"/>
        <v>0</v>
      </c>
      <c r="CQ46" s="93" t="str">
        <f t="shared" si="347"/>
        <v/>
      </c>
      <c r="CR46" s="94" t="str">
        <f t="shared" si="348"/>
        <v/>
      </c>
      <c r="CS46" s="95">
        <f t="shared" si="349"/>
        <v>0</v>
      </c>
      <c r="CT46" s="96" t="str">
        <f t="shared" si="350"/>
        <v/>
      </c>
      <c r="CU46" s="97" t="str">
        <f t="shared" si="351"/>
        <v/>
      </c>
      <c r="CV46" s="98">
        <f t="shared" si="352"/>
        <v>0</v>
      </c>
      <c r="CW46" s="93" t="str">
        <f t="shared" si="353"/>
        <v/>
      </c>
      <c r="CX46" s="94" t="str">
        <f t="shared" si="354"/>
        <v/>
      </c>
      <c r="CY46" s="95">
        <f t="shared" si="355"/>
        <v>0</v>
      </c>
      <c r="CZ46" s="96" t="str">
        <f t="shared" si="356"/>
        <v/>
      </c>
      <c r="DA46" s="97" t="str">
        <f t="shared" si="357"/>
        <v/>
      </c>
      <c r="DB46" s="98">
        <f t="shared" si="358"/>
        <v>0</v>
      </c>
      <c r="DC46" s="93" t="str">
        <f t="shared" si="359"/>
        <v/>
      </c>
      <c r="DD46" s="94" t="str">
        <f t="shared" si="360"/>
        <v/>
      </c>
      <c r="DE46" s="95">
        <f t="shared" si="361"/>
        <v>0</v>
      </c>
      <c r="DF46" s="96" t="str">
        <f t="shared" si="362"/>
        <v/>
      </c>
      <c r="DG46" s="97" t="str">
        <f t="shared" si="363"/>
        <v/>
      </c>
      <c r="DH46" s="98">
        <f t="shared" si="364"/>
        <v>0</v>
      </c>
      <c r="DI46" s="93" t="str">
        <f t="shared" si="365"/>
        <v/>
      </c>
      <c r="DJ46" s="94" t="str">
        <f t="shared" si="366"/>
        <v/>
      </c>
      <c r="DK46" s="95">
        <f t="shared" si="367"/>
        <v>0</v>
      </c>
      <c r="DL46" s="96" t="str">
        <f t="shared" si="368"/>
        <v/>
      </c>
      <c r="DM46" s="97" t="str">
        <f t="shared" si="369"/>
        <v/>
      </c>
      <c r="DN46" s="98">
        <f t="shared" si="370"/>
        <v>0</v>
      </c>
      <c r="DO46" s="93" t="str">
        <f t="shared" si="371"/>
        <v/>
      </c>
      <c r="DP46" s="94" t="str">
        <f t="shared" si="372"/>
        <v/>
      </c>
      <c r="DQ46" s="95">
        <f t="shared" si="373"/>
        <v>0</v>
      </c>
      <c r="DR46" s="96" t="str">
        <f t="shared" si="374"/>
        <v/>
      </c>
      <c r="DS46" s="97" t="str">
        <f t="shared" si="375"/>
        <v/>
      </c>
      <c r="DT46" s="98">
        <f t="shared" si="376"/>
        <v>0</v>
      </c>
      <c r="DU46" s="93" t="str">
        <f t="shared" si="377"/>
        <v/>
      </c>
      <c r="DV46" s="94" t="str">
        <f t="shared" si="378"/>
        <v/>
      </c>
      <c r="DW46" s="95">
        <f t="shared" si="379"/>
        <v>0</v>
      </c>
      <c r="DX46" s="96" t="str">
        <f t="shared" si="380"/>
        <v/>
      </c>
      <c r="DY46" s="97" t="str">
        <f t="shared" si="381"/>
        <v/>
      </c>
      <c r="DZ46" s="98">
        <f t="shared" si="382"/>
        <v>0</v>
      </c>
      <c r="EA46" s="93" t="str">
        <f t="shared" si="383"/>
        <v/>
      </c>
      <c r="EB46" s="94" t="str">
        <f t="shared" si="384"/>
        <v/>
      </c>
      <c r="EC46" s="95">
        <f t="shared" si="385"/>
        <v>0</v>
      </c>
      <c r="ED46" s="96" t="str">
        <f t="shared" si="386"/>
        <v/>
      </c>
      <c r="EE46" s="97" t="str">
        <f t="shared" si="387"/>
        <v/>
      </c>
      <c r="EF46" s="98">
        <f t="shared" si="388"/>
        <v>0</v>
      </c>
      <c r="EG46" s="93" t="str">
        <f t="shared" si="389"/>
        <v/>
      </c>
      <c r="EH46" s="94" t="str">
        <f t="shared" si="390"/>
        <v/>
      </c>
      <c r="EI46" s="95">
        <f t="shared" si="391"/>
        <v>0</v>
      </c>
      <c r="EJ46" s="96" t="str">
        <f t="shared" si="392"/>
        <v/>
      </c>
      <c r="EK46" s="97" t="str">
        <f t="shared" si="393"/>
        <v/>
      </c>
      <c r="EL46" s="98">
        <f t="shared" si="394"/>
        <v>0</v>
      </c>
      <c r="EM46" s="93" t="str">
        <f t="shared" si="395"/>
        <v/>
      </c>
      <c r="EN46" s="94" t="str">
        <f t="shared" si="396"/>
        <v/>
      </c>
      <c r="EO46" s="95">
        <f t="shared" si="397"/>
        <v>0</v>
      </c>
      <c r="EP46" s="96" t="str">
        <f t="shared" si="398"/>
        <v/>
      </c>
      <c r="EQ46" s="97" t="str">
        <f t="shared" si="399"/>
        <v/>
      </c>
      <c r="ER46" s="98">
        <f t="shared" si="400"/>
        <v>0</v>
      </c>
      <c r="ES46" s="93" t="str">
        <f t="shared" si="401"/>
        <v/>
      </c>
      <c r="ET46" s="94" t="str">
        <f t="shared" si="402"/>
        <v/>
      </c>
      <c r="EU46" s="95">
        <f t="shared" si="403"/>
        <v>0</v>
      </c>
      <c r="EV46" s="96" t="str">
        <f t="shared" si="404"/>
        <v/>
      </c>
      <c r="EW46" s="97" t="str">
        <f t="shared" si="405"/>
        <v/>
      </c>
      <c r="EX46" s="98">
        <f t="shared" si="406"/>
        <v>0</v>
      </c>
      <c r="EY46" s="93" t="str">
        <f t="shared" si="407"/>
        <v/>
      </c>
      <c r="EZ46" s="94" t="str">
        <f t="shared" si="408"/>
        <v/>
      </c>
      <c r="FA46" s="95">
        <f t="shared" si="409"/>
        <v>0</v>
      </c>
      <c r="FB46" s="96" t="str">
        <f t="shared" si="410"/>
        <v/>
      </c>
      <c r="FC46" s="97" t="str">
        <f t="shared" si="411"/>
        <v/>
      </c>
      <c r="FD46" s="98">
        <f t="shared" si="412"/>
        <v>0</v>
      </c>
      <c r="FE46" s="93" t="str">
        <f t="shared" si="413"/>
        <v/>
      </c>
      <c r="FF46" s="94" t="str">
        <f t="shared" si="414"/>
        <v/>
      </c>
      <c r="FG46" s="95">
        <f t="shared" si="415"/>
        <v>0</v>
      </c>
      <c r="FH46" s="96" t="str">
        <f t="shared" si="416"/>
        <v/>
      </c>
      <c r="FI46" s="97" t="str">
        <f t="shared" si="417"/>
        <v/>
      </c>
      <c r="FJ46" s="98">
        <f t="shared" si="418"/>
        <v>0</v>
      </c>
    </row>
    <row r="47" ht="15.75" hidden="1" customHeight="1">
      <c r="A47" s="6" t="str">
        <f>Menus!B39</f>
        <v/>
      </c>
      <c r="B47" s="16">
        <f t="shared" si="256"/>
        <v>0</v>
      </c>
      <c r="C47" s="16">
        <f t="shared" si="257"/>
        <v>0</v>
      </c>
      <c r="D47" s="16">
        <f t="shared" si="419"/>
        <v>0</v>
      </c>
      <c r="E47" s="87" t="str">
        <f t="shared" si="258"/>
        <v/>
      </c>
      <c r="F47" s="88" t="str">
        <f t="shared" si="259"/>
        <v/>
      </c>
      <c r="G47" s="89">
        <f t="shared" si="420"/>
        <v>0</v>
      </c>
      <c r="H47" s="90" t="str">
        <f t="shared" si="260"/>
        <v/>
      </c>
      <c r="I47" s="91" t="str">
        <f t="shared" si="261"/>
        <v/>
      </c>
      <c r="J47" s="92">
        <f t="shared" si="262"/>
        <v>0</v>
      </c>
      <c r="K47" s="93" t="str">
        <f t="shared" si="263"/>
        <v/>
      </c>
      <c r="L47" s="94" t="str">
        <f t="shared" si="264"/>
        <v/>
      </c>
      <c r="M47" s="95">
        <f t="shared" si="265"/>
        <v>0</v>
      </c>
      <c r="N47" s="96" t="str">
        <f t="shared" si="266"/>
        <v/>
      </c>
      <c r="O47" s="97" t="str">
        <f t="shared" si="267"/>
        <v/>
      </c>
      <c r="P47" s="98">
        <f t="shared" si="268"/>
        <v>0</v>
      </c>
      <c r="Q47" s="93" t="str">
        <f t="shared" si="269"/>
        <v/>
      </c>
      <c r="R47" s="94" t="str">
        <f t="shared" si="270"/>
        <v/>
      </c>
      <c r="S47" s="95">
        <f t="shared" si="271"/>
        <v>0</v>
      </c>
      <c r="T47" s="96" t="str">
        <f t="shared" si="272"/>
        <v/>
      </c>
      <c r="U47" s="97" t="str">
        <f t="shared" si="273"/>
        <v/>
      </c>
      <c r="V47" s="98">
        <f t="shared" si="274"/>
        <v>0</v>
      </c>
      <c r="W47" s="93" t="str">
        <f t="shared" si="275"/>
        <v/>
      </c>
      <c r="X47" s="94" t="str">
        <f t="shared" si="276"/>
        <v/>
      </c>
      <c r="Y47" s="95">
        <f t="shared" si="277"/>
        <v>0</v>
      </c>
      <c r="Z47" s="96" t="str">
        <f t="shared" si="278"/>
        <v/>
      </c>
      <c r="AA47" s="97" t="str">
        <f t="shared" si="279"/>
        <v/>
      </c>
      <c r="AB47" s="98">
        <f t="shared" si="280"/>
        <v>0</v>
      </c>
      <c r="AC47" s="93" t="str">
        <f t="shared" si="281"/>
        <v/>
      </c>
      <c r="AD47" s="94" t="str">
        <f t="shared" si="282"/>
        <v/>
      </c>
      <c r="AE47" s="95">
        <f t="shared" si="283"/>
        <v>0</v>
      </c>
      <c r="AF47" s="96" t="str">
        <f t="shared" si="284"/>
        <v/>
      </c>
      <c r="AG47" s="97" t="str">
        <f t="shared" si="285"/>
        <v/>
      </c>
      <c r="AH47" s="98">
        <f t="shared" si="286"/>
        <v>0</v>
      </c>
      <c r="AI47" s="93" t="str">
        <f t="shared" si="287"/>
        <v/>
      </c>
      <c r="AJ47" s="94" t="str">
        <f t="shared" si="288"/>
        <v/>
      </c>
      <c r="AK47" s="95">
        <f t="shared" si="289"/>
        <v>0</v>
      </c>
      <c r="AL47" s="96" t="str">
        <f t="shared" si="290"/>
        <v/>
      </c>
      <c r="AM47" s="97" t="str">
        <f t="shared" si="291"/>
        <v/>
      </c>
      <c r="AN47" s="98">
        <f t="shared" si="292"/>
        <v>0</v>
      </c>
      <c r="AO47" s="93" t="str">
        <f t="shared" si="293"/>
        <v/>
      </c>
      <c r="AP47" s="94" t="str">
        <f t="shared" si="294"/>
        <v/>
      </c>
      <c r="AQ47" s="95">
        <f t="shared" si="295"/>
        <v>0</v>
      </c>
      <c r="AR47" s="96" t="str">
        <f t="shared" si="296"/>
        <v/>
      </c>
      <c r="AS47" s="97" t="str">
        <f t="shared" si="297"/>
        <v/>
      </c>
      <c r="AT47" s="98">
        <f t="shared" si="298"/>
        <v>0</v>
      </c>
      <c r="AU47" s="93" t="str">
        <f t="shared" si="299"/>
        <v/>
      </c>
      <c r="AV47" s="94" t="str">
        <f t="shared" si="300"/>
        <v/>
      </c>
      <c r="AW47" s="95">
        <f t="shared" si="301"/>
        <v>0</v>
      </c>
      <c r="AX47" s="96" t="str">
        <f t="shared" si="302"/>
        <v/>
      </c>
      <c r="AY47" s="97" t="str">
        <f t="shared" si="303"/>
        <v/>
      </c>
      <c r="AZ47" s="98">
        <f t="shared" si="304"/>
        <v>0</v>
      </c>
      <c r="BA47" s="93" t="str">
        <f t="shared" si="305"/>
        <v/>
      </c>
      <c r="BB47" s="94" t="str">
        <f t="shared" si="306"/>
        <v/>
      </c>
      <c r="BC47" s="95">
        <f t="shared" si="307"/>
        <v>0</v>
      </c>
      <c r="BD47" s="96" t="str">
        <f t="shared" si="308"/>
        <v/>
      </c>
      <c r="BE47" s="97" t="str">
        <f t="shared" si="309"/>
        <v/>
      </c>
      <c r="BF47" s="98">
        <f t="shared" si="310"/>
        <v>0</v>
      </c>
      <c r="BG47" s="93" t="str">
        <f t="shared" si="311"/>
        <v/>
      </c>
      <c r="BH47" s="94" t="str">
        <f t="shared" si="312"/>
        <v/>
      </c>
      <c r="BI47" s="95">
        <f t="shared" si="313"/>
        <v>0</v>
      </c>
      <c r="BJ47" s="96" t="str">
        <f t="shared" si="314"/>
        <v/>
      </c>
      <c r="BK47" s="97" t="str">
        <f t="shared" si="315"/>
        <v/>
      </c>
      <c r="BL47" s="98">
        <f t="shared" si="316"/>
        <v>0</v>
      </c>
      <c r="BM47" s="93" t="str">
        <f t="shared" si="317"/>
        <v/>
      </c>
      <c r="BN47" s="94" t="str">
        <f t="shared" si="318"/>
        <v/>
      </c>
      <c r="BO47" s="95">
        <f t="shared" si="319"/>
        <v>0</v>
      </c>
      <c r="BP47" s="96" t="str">
        <f t="shared" si="320"/>
        <v/>
      </c>
      <c r="BQ47" s="97" t="str">
        <f t="shared" si="321"/>
        <v/>
      </c>
      <c r="BR47" s="98">
        <f t="shared" si="322"/>
        <v>0</v>
      </c>
      <c r="BS47" s="93" t="str">
        <f t="shared" si="323"/>
        <v/>
      </c>
      <c r="BT47" s="94" t="str">
        <f t="shared" si="324"/>
        <v/>
      </c>
      <c r="BU47" s="95">
        <f t="shared" si="325"/>
        <v>0</v>
      </c>
      <c r="BV47" s="96" t="str">
        <f t="shared" si="326"/>
        <v/>
      </c>
      <c r="BW47" s="97" t="str">
        <f t="shared" si="327"/>
        <v/>
      </c>
      <c r="BX47" s="98">
        <f t="shared" si="328"/>
        <v>0</v>
      </c>
      <c r="BY47" s="93" t="str">
        <f t="shared" si="329"/>
        <v/>
      </c>
      <c r="BZ47" s="94" t="str">
        <f t="shared" si="330"/>
        <v/>
      </c>
      <c r="CA47" s="95">
        <f t="shared" si="331"/>
        <v>0</v>
      </c>
      <c r="CB47" s="96" t="str">
        <f t="shared" si="332"/>
        <v/>
      </c>
      <c r="CC47" s="97" t="str">
        <f t="shared" si="333"/>
        <v/>
      </c>
      <c r="CD47" s="98">
        <f t="shared" si="334"/>
        <v>0</v>
      </c>
      <c r="CE47" s="93" t="str">
        <f t="shared" si="335"/>
        <v/>
      </c>
      <c r="CF47" s="94" t="str">
        <f t="shared" si="336"/>
        <v/>
      </c>
      <c r="CG47" s="95">
        <f t="shared" si="337"/>
        <v>0</v>
      </c>
      <c r="CH47" s="96" t="str">
        <f t="shared" si="338"/>
        <v/>
      </c>
      <c r="CI47" s="97" t="str">
        <f t="shared" si="339"/>
        <v/>
      </c>
      <c r="CJ47" s="98">
        <f t="shared" si="340"/>
        <v>0</v>
      </c>
      <c r="CK47" s="93" t="str">
        <f t="shared" si="341"/>
        <v/>
      </c>
      <c r="CL47" s="94" t="str">
        <f t="shared" si="342"/>
        <v/>
      </c>
      <c r="CM47" s="95">
        <f t="shared" si="343"/>
        <v>0</v>
      </c>
      <c r="CN47" s="96" t="str">
        <f t="shared" si="344"/>
        <v/>
      </c>
      <c r="CO47" s="97" t="str">
        <f t="shared" si="345"/>
        <v/>
      </c>
      <c r="CP47" s="98">
        <f t="shared" si="346"/>
        <v>0</v>
      </c>
      <c r="CQ47" s="93" t="str">
        <f t="shared" si="347"/>
        <v/>
      </c>
      <c r="CR47" s="94" t="str">
        <f t="shared" si="348"/>
        <v/>
      </c>
      <c r="CS47" s="95">
        <f t="shared" si="349"/>
        <v>0</v>
      </c>
      <c r="CT47" s="96" t="str">
        <f t="shared" si="350"/>
        <v/>
      </c>
      <c r="CU47" s="97" t="str">
        <f t="shared" si="351"/>
        <v/>
      </c>
      <c r="CV47" s="98">
        <f t="shared" si="352"/>
        <v>0</v>
      </c>
      <c r="CW47" s="93" t="str">
        <f t="shared" si="353"/>
        <v/>
      </c>
      <c r="CX47" s="94" t="str">
        <f t="shared" si="354"/>
        <v/>
      </c>
      <c r="CY47" s="95">
        <f t="shared" si="355"/>
        <v>0</v>
      </c>
      <c r="CZ47" s="96" t="str">
        <f t="shared" si="356"/>
        <v/>
      </c>
      <c r="DA47" s="97" t="str">
        <f t="shared" si="357"/>
        <v/>
      </c>
      <c r="DB47" s="98">
        <f t="shared" si="358"/>
        <v>0</v>
      </c>
      <c r="DC47" s="93" t="str">
        <f t="shared" si="359"/>
        <v/>
      </c>
      <c r="DD47" s="94" t="str">
        <f t="shared" si="360"/>
        <v/>
      </c>
      <c r="DE47" s="95">
        <f t="shared" si="361"/>
        <v>0</v>
      </c>
      <c r="DF47" s="96" t="str">
        <f t="shared" si="362"/>
        <v/>
      </c>
      <c r="DG47" s="97" t="str">
        <f t="shared" si="363"/>
        <v/>
      </c>
      <c r="DH47" s="98">
        <f t="shared" si="364"/>
        <v>0</v>
      </c>
      <c r="DI47" s="93" t="str">
        <f t="shared" si="365"/>
        <v/>
      </c>
      <c r="DJ47" s="94" t="str">
        <f t="shared" si="366"/>
        <v/>
      </c>
      <c r="DK47" s="95">
        <f t="shared" si="367"/>
        <v>0</v>
      </c>
      <c r="DL47" s="96" t="str">
        <f t="shared" si="368"/>
        <v/>
      </c>
      <c r="DM47" s="97" t="str">
        <f t="shared" si="369"/>
        <v/>
      </c>
      <c r="DN47" s="98">
        <f t="shared" si="370"/>
        <v>0</v>
      </c>
      <c r="DO47" s="93" t="str">
        <f t="shared" si="371"/>
        <v/>
      </c>
      <c r="DP47" s="94" t="str">
        <f t="shared" si="372"/>
        <v/>
      </c>
      <c r="DQ47" s="95">
        <f t="shared" si="373"/>
        <v>0</v>
      </c>
      <c r="DR47" s="96" t="str">
        <f t="shared" si="374"/>
        <v/>
      </c>
      <c r="DS47" s="97" t="str">
        <f t="shared" si="375"/>
        <v/>
      </c>
      <c r="DT47" s="98">
        <f t="shared" si="376"/>
        <v>0</v>
      </c>
      <c r="DU47" s="93" t="str">
        <f t="shared" si="377"/>
        <v/>
      </c>
      <c r="DV47" s="94" t="str">
        <f t="shared" si="378"/>
        <v/>
      </c>
      <c r="DW47" s="95">
        <f t="shared" si="379"/>
        <v>0</v>
      </c>
      <c r="DX47" s="96" t="str">
        <f t="shared" si="380"/>
        <v/>
      </c>
      <c r="DY47" s="97" t="str">
        <f t="shared" si="381"/>
        <v/>
      </c>
      <c r="DZ47" s="98">
        <f t="shared" si="382"/>
        <v>0</v>
      </c>
      <c r="EA47" s="93" t="str">
        <f t="shared" si="383"/>
        <v/>
      </c>
      <c r="EB47" s="94" t="str">
        <f t="shared" si="384"/>
        <v/>
      </c>
      <c r="EC47" s="95">
        <f t="shared" si="385"/>
        <v>0</v>
      </c>
      <c r="ED47" s="96" t="str">
        <f t="shared" si="386"/>
        <v/>
      </c>
      <c r="EE47" s="97" t="str">
        <f t="shared" si="387"/>
        <v/>
      </c>
      <c r="EF47" s="98">
        <f t="shared" si="388"/>
        <v>0</v>
      </c>
      <c r="EG47" s="93" t="str">
        <f t="shared" si="389"/>
        <v/>
      </c>
      <c r="EH47" s="94" t="str">
        <f t="shared" si="390"/>
        <v/>
      </c>
      <c r="EI47" s="95">
        <f t="shared" si="391"/>
        <v>0</v>
      </c>
      <c r="EJ47" s="96" t="str">
        <f t="shared" si="392"/>
        <v/>
      </c>
      <c r="EK47" s="97" t="str">
        <f t="shared" si="393"/>
        <v/>
      </c>
      <c r="EL47" s="98">
        <f t="shared" si="394"/>
        <v>0</v>
      </c>
      <c r="EM47" s="93" t="str">
        <f t="shared" si="395"/>
        <v/>
      </c>
      <c r="EN47" s="94" t="str">
        <f t="shared" si="396"/>
        <v/>
      </c>
      <c r="EO47" s="95">
        <f t="shared" si="397"/>
        <v>0</v>
      </c>
      <c r="EP47" s="96" t="str">
        <f t="shared" si="398"/>
        <v/>
      </c>
      <c r="EQ47" s="97" t="str">
        <f t="shared" si="399"/>
        <v/>
      </c>
      <c r="ER47" s="98">
        <f t="shared" si="400"/>
        <v>0</v>
      </c>
      <c r="ES47" s="93" t="str">
        <f t="shared" si="401"/>
        <v/>
      </c>
      <c r="ET47" s="94" t="str">
        <f t="shared" si="402"/>
        <v/>
      </c>
      <c r="EU47" s="95">
        <f t="shared" si="403"/>
        <v>0</v>
      </c>
      <c r="EV47" s="96" t="str">
        <f t="shared" si="404"/>
        <v/>
      </c>
      <c r="EW47" s="97" t="str">
        <f t="shared" si="405"/>
        <v/>
      </c>
      <c r="EX47" s="98">
        <f t="shared" si="406"/>
        <v>0</v>
      </c>
      <c r="EY47" s="93" t="str">
        <f t="shared" si="407"/>
        <v/>
      </c>
      <c r="EZ47" s="94" t="str">
        <f t="shared" si="408"/>
        <v/>
      </c>
      <c r="FA47" s="95">
        <f t="shared" si="409"/>
        <v>0</v>
      </c>
      <c r="FB47" s="96" t="str">
        <f t="shared" si="410"/>
        <v/>
      </c>
      <c r="FC47" s="97" t="str">
        <f t="shared" si="411"/>
        <v/>
      </c>
      <c r="FD47" s="98">
        <f t="shared" si="412"/>
        <v>0</v>
      </c>
      <c r="FE47" s="93" t="str">
        <f t="shared" si="413"/>
        <v/>
      </c>
      <c r="FF47" s="94" t="str">
        <f t="shared" si="414"/>
        <v/>
      </c>
      <c r="FG47" s="95">
        <f t="shared" si="415"/>
        <v>0</v>
      </c>
      <c r="FH47" s="96" t="str">
        <f t="shared" si="416"/>
        <v/>
      </c>
      <c r="FI47" s="97" t="str">
        <f t="shared" si="417"/>
        <v/>
      </c>
      <c r="FJ47" s="98">
        <f t="shared" si="418"/>
        <v>0</v>
      </c>
    </row>
    <row r="48" ht="15.75" hidden="1" customHeight="1">
      <c r="A48" s="6" t="str">
        <f>Menus!B40</f>
        <v/>
      </c>
      <c r="B48" s="16">
        <f t="shared" si="256"/>
        <v>0</v>
      </c>
      <c r="C48" s="16">
        <f t="shared" si="257"/>
        <v>0</v>
      </c>
      <c r="D48" s="16">
        <f t="shared" si="419"/>
        <v>0</v>
      </c>
      <c r="E48" s="87" t="str">
        <f t="shared" si="258"/>
        <v/>
      </c>
      <c r="F48" s="88" t="str">
        <f t="shared" si="259"/>
        <v/>
      </c>
      <c r="G48" s="89">
        <f t="shared" si="420"/>
        <v>0</v>
      </c>
      <c r="H48" s="90" t="str">
        <f t="shared" si="260"/>
        <v/>
      </c>
      <c r="I48" s="91" t="str">
        <f t="shared" si="261"/>
        <v/>
      </c>
      <c r="J48" s="92">
        <f t="shared" si="262"/>
        <v>0</v>
      </c>
      <c r="K48" s="93" t="str">
        <f t="shared" si="263"/>
        <v/>
      </c>
      <c r="L48" s="94" t="str">
        <f t="shared" si="264"/>
        <v/>
      </c>
      <c r="M48" s="95">
        <f t="shared" si="265"/>
        <v>0</v>
      </c>
      <c r="N48" s="96" t="str">
        <f t="shared" si="266"/>
        <v/>
      </c>
      <c r="O48" s="97" t="str">
        <f t="shared" si="267"/>
        <v/>
      </c>
      <c r="P48" s="98">
        <f t="shared" si="268"/>
        <v>0</v>
      </c>
      <c r="Q48" s="93" t="str">
        <f t="shared" si="269"/>
        <v/>
      </c>
      <c r="R48" s="94" t="str">
        <f t="shared" si="270"/>
        <v/>
      </c>
      <c r="S48" s="95">
        <f t="shared" si="271"/>
        <v>0</v>
      </c>
      <c r="T48" s="96" t="str">
        <f t="shared" si="272"/>
        <v/>
      </c>
      <c r="U48" s="97" t="str">
        <f t="shared" si="273"/>
        <v/>
      </c>
      <c r="V48" s="98">
        <f t="shared" si="274"/>
        <v>0</v>
      </c>
      <c r="W48" s="93" t="str">
        <f t="shared" si="275"/>
        <v/>
      </c>
      <c r="X48" s="94" t="str">
        <f t="shared" si="276"/>
        <v/>
      </c>
      <c r="Y48" s="95">
        <f t="shared" si="277"/>
        <v>0</v>
      </c>
      <c r="Z48" s="96" t="str">
        <f t="shared" si="278"/>
        <v/>
      </c>
      <c r="AA48" s="97" t="str">
        <f t="shared" si="279"/>
        <v/>
      </c>
      <c r="AB48" s="98">
        <f t="shared" si="280"/>
        <v>0</v>
      </c>
      <c r="AC48" s="93" t="str">
        <f t="shared" si="281"/>
        <v/>
      </c>
      <c r="AD48" s="94" t="str">
        <f t="shared" si="282"/>
        <v/>
      </c>
      <c r="AE48" s="95">
        <f t="shared" si="283"/>
        <v>0</v>
      </c>
      <c r="AF48" s="96" t="str">
        <f t="shared" si="284"/>
        <v/>
      </c>
      <c r="AG48" s="97" t="str">
        <f t="shared" si="285"/>
        <v/>
      </c>
      <c r="AH48" s="98">
        <f t="shared" si="286"/>
        <v>0</v>
      </c>
      <c r="AI48" s="93" t="str">
        <f t="shared" si="287"/>
        <v/>
      </c>
      <c r="AJ48" s="94" t="str">
        <f t="shared" si="288"/>
        <v/>
      </c>
      <c r="AK48" s="95">
        <f t="shared" si="289"/>
        <v>0</v>
      </c>
      <c r="AL48" s="96" t="str">
        <f t="shared" si="290"/>
        <v/>
      </c>
      <c r="AM48" s="97" t="str">
        <f t="shared" si="291"/>
        <v/>
      </c>
      <c r="AN48" s="98">
        <f t="shared" si="292"/>
        <v>0</v>
      </c>
      <c r="AO48" s="93" t="str">
        <f t="shared" si="293"/>
        <v/>
      </c>
      <c r="AP48" s="94" t="str">
        <f t="shared" si="294"/>
        <v/>
      </c>
      <c r="AQ48" s="95">
        <f t="shared" si="295"/>
        <v>0</v>
      </c>
      <c r="AR48" s="96" t="str">
        <f t="shared" si="296"/>
        <v/>
      </c>
      <c r="AS48" s="97" t="str">
        <f t="shared" si="297"/>
        <v/>
      </c>
      <c r="AT48" s="98">
        <f t="shared" si="298"/>
        <v>0</v>
      </c>
      <c r="AU48" s="93" t="str">
        <f t="shared" si="299"/>
        <v/>
      </c>
      <c r="AV48" s="94" t="str">
        <f t="shared" si="300"/>
        <v/>
      </c>
      <c r="AW48" s="95">
        <f t="shared" si="301"/>
        <v>0</v>
      </c>
      <c r="AX48" s="96" t="str">
        <f t="shared" si="302"/>
        <v/>
      </c>
      <c r="AY48" s="97" t="str">
        <f t="shared" si="303"/>
        <v/>
      </c>
      <c r="AZ48" s="98">
        <f t="shared" si="304"/>
        <v>0</v>
      </c>
      <c r="BA48" s="93" t="str">
        <f t="shared" si="305"/>
        <v/>
      </c>
      <c r="BB48" s="94" t="str">
        <f t="shared" si="306"/>
        <v/>
      </c>
      <c r="BC48" s="95">
        <f t="shared" si="307"/>
        <v>0</v>
      </c>
      <c r="BD48" s="96" t="str">
        <f t="shared" si="308"/>
        <v/>
      </c>
      <c r="BE48" s="97" t="str">
        <f t="shared" si="309"/>
        <v/>
      </c>
      <c r="BF48" s="98">
        <f t="shared" si="310"/>
        <v>0</v>
      </c>
      <c r="BG48" s="93" t="str">
        <f t="shared" si="311"/>
        <v/>
      </c>
      <c r="BH48" s="94" t="str">
        <f t="shared" si="312"/>
        <v/>
      </c>
      <c r="BI48" s="95">
        <f t="shared" si="313"/>
        <v>0</v>
      </c>
      <c r="BJ48" s="96" t="str">
        <f t="shared" si="314"/>
        <v/>
      </c>
      <c r="BK48" s="97" t="str">
        <f t="shared" si="315"/>
        <v/>
      </c>
      <c r="BL48" s="98">
        <f t="shared" si="316"/>
        <v>0</v>
      </c>
      <c r="BM48" s="93" t="str">
        <f t="shared" si="317"/>
        <v/>
      </c>
      <c r="BN48" s="94" t="str">
        <f t="shared" si="318"/>
        <v/>
      </c>
      <c r="BO48" s="95">
        <f t="shared" si="319"/>
        <v>0</v>
      </c>
      <c r="BP48" s="96" t="str">
        <f t="shared" si="320"/>
        <v/>
      </c>
      <c r="BQ48" s="97" t="str">
        <f t="shared" si="321"/>
        <v/>
      </c>
      <c r="BR48" s="98">
        <f t="shared" si="322"/>
        <v>0</v>
      </c>
      <c r="BS48" s="93" t="str">
        <f t="shared" si="323"/>
        <v/>
      </c>
      <c r="BT48" s="94" t="str">
        <f t="shared" si="324"/>
        <v/>
      </c>
      <c r="BU48" s="95">
        <f t="shared" si="325"/>
        <v>0</v>
      </c>
      <c r="BV48" s="96" t="str">
        <f t="shared" si="326"/>
        <v/>
      </c>
      <c r="BW48" s="97" t="str">
        <f t="shared" si="327"/>
        <v/>
      </c>
      <c r="BX48" s="98">
        <f t="shared" si="328"/>
        <v>0</v>
      </c>
      <c r="BY48" s="93" t="str">
        <f t="shared" si="329"/>
        <v/>
      </c>
      <c r="BZ48" s="94" t="str">
        <f t="shared" si="330"/>
        <v/>
      </c>
      <c r="CA48" s="95">
        <f t="shared" si="331"/>
        <v>0</v>
      </c>
      <c r="CB48" s="96" t="str">
        <f t="shared" si="332"/>
        <v/>
      </c>
      <c r="CC48" s="97" t="str">
        <f t="shared" si="333"/>
        <v/>
      </c>
      <c r="CD48" s="98">
        <f t="shared" si="334"/>
        <v>0</v>
      </c>
      <c r="CE48" s="93" t="str">
        <f t="shared" si="335"/>
        <v/>
      </c>
      <c r="CF48" s="94" t="str">
        <f t="shared" si="336"/>
        <v/>
      </c>
      <c r="CG48" s="95">
        <f t="shared" si="337"/>
        <v>0</v>
      </c>
      <c r="CH48" s="96" t="str">
        <f t="shared" si="338"/>
        <v/>
      </c>
      <c r="CI48" s="97" t="str">
        <f t="shared" si="339"/>
        <v/>
      </c>
      <c r="CJ48" s="98">
        <f t="shared" si="340"/>
        <v>0</v>
      </c>
      <c r="CK48" s="93" t="str">
        <f t="shared" si="341"/>
        <v/>
      </c>
      <c r="CL48" s="94" t="str">
        <f t="shared" si="342"/>
        <v/>
      </c>
      <c r="CM48" s="95">
        <f t="shared" si="343"/>
        <v>0</v>
      </c>
      <c r="CN48" s="96" t="str">
        <f t="shared" si="344"/>
        <v/>
      </c>
      <c r="CO48" s="97" t="str">
        <f t="shared" si="345"/>
        <v/>
      </c>
      <c r="CP48" s="98">
        <f t="shared" si="346"/>
        <v>0</v>
      </c>
      <c r="CQ48" s="93" t="str">
        <f t="shared" si="347"/>
        <v/>
      </c>
      <c r="CR48" s="94" t="str">
        <f t="shared" si="348"/>
        <v/>
      </c>
      <c r="CS48" s="95">
        <f t="shared" si="349"/>
        <v>0</v>
      </c>
      <c r="CT48" s="96" t="str">
        <f t="shared" si="350"/>
        <v/>
      </c>
      <c r="CU48" s="97" t="str">
        <f t="shared" si="351"/>
        <v/>
      </c>
      <c r="CV48" s="98">
        <f t="shared" si="352"/>
        <v>0</v>
      </c>
      <c r="CW48" s="93" t="str">
        <f t="shared" si="353"/>
        <v/>
      </c>
      <c r="CX48" s="94" t="str">
        <f t="shared" si="354"/>
        <v/>
      </c>
      <c r="CY48" s="95">
        <f t="shared" si="355"/>
        <v>0</v>
      </c>
      <c r="CZ48" s="96" t="str">
        <f t="shared" si="356"/>
        <v/>
      </c>
      <c r="DA48" s="97" t="str">
        <f t="shared" si="357"/>
        <v/>
      </c>
      <c r="DB48" s="98">
        <f t="shared" si="358"/>
        <v>0</v>
      </c>
      <c r="DC48" s="93" t="str">
        <f t="shared" si="359"/>
        <v/>
      </c>
      <c r="DD48" s="94" t="str">
        <f t="shared" si="360"/>
        <v/>
      </c>
      <c r="DE48" s="95">
        <f t="shared" si="361"/>
        <v>0</v>
      </c>
      <c r="DF48" s="96" t="str">
        <f t="shared" si="362"/>
        <v/>
      </c>
      <c r="DG48" s="97" t="str">
        <f t="shared" si="363"/>
        <v/>
      </c>
      <c r="DH48" s="98">
        <f t="shared" si="364"/>
        <v>0</v>
      </c>
      <c r="DI48" s="93" t="str">
        <f t="shared" si="365"/>
        <v/>
      </c>
      <c r="DJ48" s="94" t="str">
        <f t="shared" si="366"/>
        <v/>
      </c>
      <c r="DK48" s="95">
        <f t="shared" si="367"/>
        <v>0</v>
      </c>
      <c r="DL48" s="96" t="str">
        <f t="shared" si="368"/>
        <v/>
      </c>
      <c r="DM48" s="97" t="str">
        <f t="shared" si="369"/>
        <v/>
      </c>
      <c r="DN48" s="98">
        <f t="shared" si="370"/>
        <v>0</v>
      </c>
      <c r="DO48" s="93" t="str">
        <f t="shared" si="371"/>
        <v/>
      </c>
      <c r="DP48" s="94" t="str">
        <f t="shared" si="372"/>
        <v/>
      </c>
      <c r="DQ48" s="95">
        <f t="shared" si="373"/>
        <v>0</v>
      </c>
      <c r="DR48" s="96" t="str">
        <f t="shared" si="374"/>
        <v/>
      </c>
      <c r="DS48" s="97" t="str">
        <f t="shared" si="375"/>
        <v/>
      </c>
      <c r="DT48" s="98">
        <f t="shared" si="376"/>
        <v>0</v>
      </c>
      <c r="DU48" s="93" t="str">
        <f t="shared" si="377"/>
        <v/>
      </c>
      <c r="DV48" s="94" t="str">
        <f t="shared" si="378"/>
        <v/>
      </c>
      <c r="DW48" s="95">
        <f t="shared" si="379"/>
        <v>0</v>
      </c>
      <c r="DX48" s="96" t="str">
        <f t="shared" si="380"/>
        <v/>
      </c>
      <c r="DY48" s="97" t="str">
        <f t="shared" si="381"/>
        <v/>
      </c>
      <c r="DZ48" s="98">
        <f t="shared" si="382"/>
        <v>0</v>
      </c>
      <c r="EA48" s="93" t="str">
        <f t="shared" si="383"/>
        <v/>
      </c>
      <c r="EB48" s="94" t="str">
        <f t="shared" si="384"/>
        <v/>
      </c>
      <c r="EC48" s="95">
        <f t="shared" si="385"/>
        <v>0</v>
      </c>
      <c r="ED48" s="96" t="str">
        <f t="shared" si="386"/>
        <v/>
      </c>
      <c r="EE48" s="97" t="str">
        <f t="shared" si="387"/>
        <v/>
      </c>
      <c r="EF48" s="98">
        <f t="shared" si="388"/>
        <v>0</v>
      </c>
      <c r="EG48" s="93" t="str">
        <f t="shared" si="389"/>
        <v/>
      </c>
      <c r="EH48" s="94" t="str">
        <f t="shared" si="390"/>
        <v/>
      </c>
      <c r="EI48" s="95">
        <f t="shared" si="391"/>
        <v>0</v>
      </c>
      <c r="EJ48" s="96" t="str">
        <f t="shared" si="392"/>
        <v/>
      </c>
      <c r="EK48" s="97" t="str">
        <f t="shared" si="393"/>
        <v/>
      </c>
      <c r="EL48" s="98">
        <f t="shared" si="394"/>
        <v>0</v>
      </c>
      <c r="EM48" s="93" t="str">
        <f t="shared" si="395"/>
        <v/>
      </c>
      <c r="EN48" s="94" t="str">
        <f t="shared" si="396"/>
        <v/>
      </c>
      <c r="EO48" s="95">
        <f t="shared" si="397"/>
        <v>0</v>
      </c>
      <c r="EP48" s="96" t="str">
        <f t="shared" si="398"/>
        <v/>
      </c>
      <c r="EQ48" s="97" t="str">
        <f t="shared" si="399"/>
        <v/>
      </c>
      <c r="ER48" s="98">
        <f t="shared" si="400"/>
        <v>0</v>
      </c>
      <c r="ES48" s="93" t="str">
        <f t="shared" si="401"/>
        <v/>
      </c>
      <c r="ET48" s="94" t="str">
        <f t="shared" si="402"/>
        <v/>
      </c>
      <c r="EU48" s="95">
        <f t="shared" si="403"/>
        <v>0</v>
      </c>
      <c r="EV48" s="96" t="str">
        <f t="shared" si="404"/>
        <v/>
      </c>
      <c r="EW48" s="97" t="str">
        <f t="shared" si="405"/>
        <v/>
      </c>
      <c r="EX48" s="98">
        <f t="shared" si="406"/>
        <v>0</v>
      </c>
      <c r="EY48" s="93" t="str">
        <f t="shared" si="407"/>
        <v/>
      </c>
      <c r="EZ48" s="94" t="str">
        <f t="shared" si="408"/>
        <v/>
      </c>
      <c r="FA48" s="95">
        <f t="shared" si="409"/>
        <v>0</v>
      </c>
      <c r="FB48" s="96" t="str">
        <f t="shared" si="410"/>
        <v/>
      </c>
      <c r="FC48" s="97" t="str">
        <f t="shared" si="411"/>
        <v/>
      </c>
      <c r="FD48" s="98">
        <f t="shared" si="412"/>
        <v>0</v>
      </c>
      <c r="FE48" s="93" t="str">
        <f t="shared" si="413"/>
        <v/>
      </c>
      <c r="FF48" s="94" t="str">
        <f t="shared" si="414"/>
        <v/>
      </c>
      <c r="FG48" s="95">
        <f t="shared" si="415"/>
        <v>0</v>
      </c>
      <c r="FH48" s="96" t="str">
        <f t="shared" si="416"/>
        <v/>
      </c>
      <c r="FI48" s="97" t="str">
        <f t="shared" si="417"/>
        <v/>
      </c>
      <c r="FJ48" s="98">
        <f t="shared" si="418"/>
        <v>0</v>
      </c>
    </row>
    <row r="49" ht="15.75" hidden="1" customHeight="1">
      <c r="A49" s="6" t="str">
        <f>Menus!B41</f>
        <v/>
      </c>
      <c r="B49" s="16">
        <f t="shared" si="256"/>
        <v>0</v>
      </c>
      <c r="C49" s="16">
        <f t="shared" si="257"/>
        <v>0</v>
      </c>
      <c r="D49" s="16">
        <f t="shared" si="419"/>
        <v>0</v>
      </c>
      <c r="E49" s="87" t="str">
        <f t="shared" si="258"/>
        <v/>
      </c>
      <c r="F49" s="88" t="str">
        <f t="shared" si="259"/>
        <v/>
      </c>
      <c r="G49" s="89">
        <f t="shared" si="420"/>
        <v>0</v>
      </c>
      <c r="H49" s="90" t="str">
        <f t="shared" si="260"/>
        <v/>
      </c>
      <c r="I49" s="91" t="str">
        <f t="shared" si="261"/>
        <v/>
      </c>
      <c r="J49" s="92">
        <f t="shared" si="262"/>
        <v>0</v>
      </c>
      <c r="K49" s="93" t="str">
        <f t="shared" si="263"/>
        <v/>
      </c>
      <c r="L49" s="94" t="str">
        <f t="shared" si="264"/>
        <v/>
      </c>
      <c r="M49" s="95">
        <f t="shared" si="265"/>
        <v>0</v>
      </c>
      <c r="N49" s="96" t="str">
        <f t="shared" si="266"/>
        <v/>
      </c>
      <c r="O49" s="97" t="str">
        <f t="shared" si="267"/>
        <v/>
      </c>
      <c r="P49" s="98">
        <f t="shared" si="268"/>
        <v>0</v>
      </c>
      <c r="Q49" s="93" t="str">
        <f t="shared" si="269"/>
        <v/>
      </c>
      <c r="R49" s="94" t="str">
        <f t="shared" si="270"/>
        <v/>
      </c>
      <c r="S49" s="95">
        <f t="shared" si="271"/>
        <v>0</v>
      </c>
      <c r="T49" s="96" t="str">
        <f t="shared" si="272"/>
        <v/>
      </c>
      <c r="U49" s="97" t="str">
        <f t="shared" si="273"/>
        <v/>
      </c>
      <c r="V49" s="98">
        <f t="shared" si="274"/>
        <v>0</v>
      </c>
      <c r="W49" s="93" t="str">
        <f t="shared" si="275"/>
        <v/>
      </c>
      <c r="X49" s="94" t="str">
        <f t="shared" si="276"/>
        <v/>
      </c>
      <c r="Y49" s="95">
        <f t="shared" si="277"/>
        <v>0</v>
      </c>
      <c r="Z49" s="96" t="str">
        <f t="shared" si="278"/>
        <v/>
      </c>
      <c r="AA49" s="97" t="str">
        <f t="shared" si="279"/>
        <v/>
      </c>
      <c r="AB49" s="98">
        <f t="shared" si="280"/>
        <v>0</v>
      </c>
      <c r="AC49" s="93" t="str">
        <f t="shared" si="281"/>
        <v/>
      </c>
      <c r="AD49" s="94" t="str">
        <f t="shared" si="282"/>
        <v/>
      </c>
      <c r="AE49" s="95">
        <f t="shared" si="283"/>
        <v>0</v>
      </c>
      <c r="AF49" s="96" t="str">
        <f t="shared" si="284"/>
        <v/>
      </c>
      <c r="AG49" s="97" t="str">
        <f t="shared" si="285"/>
        <v/>
      </c>
      <c r="AH49" s="98">
        <f t="shared" si="286"/>
        <v>0</v>
      </c>
      <c r="AI49" s="93" t="str">
        <f t="shared" si="287"/>
        <v/>
      </c>
      <c r="AJ49" s="94" t="str">
        <f t="shared" si="288"/>
        <v/>
      </c>
      <c r="AK49" s="95">
        <f t="shared" si="289"/>
        <v>0</v>
      </c>
      <c r="AL49" s="96" t="str">
        <f t="shared" si="290"/>
        <v/>
      </c>
      <c r="AM49" s="97" t="str">
        <f t="shared" si="291"/>
        <v/>
      </c>
      <c r="AN49" s="98">
        <f t="shared" si="292"/>
        <v>0</v>
      </c>
      <c r="AO49" s="93" t="str">
        <f t="shared" si="293"/>
        <v/>
      </c>
      <c r="AP49" s="94" t="str">
        <f t="shared" si="294"/>
        <v/>
      </c>
      <c r="AQ49" s="95">
        <f t="shared" si="295"/>
        <v>0</v>
      </c>
      <c r="AR49" s="96" t="str">
        <f t="shared" si="296"/>
        <v/>
      </c>
      <c r="AS49" s="97" t="str">
        <f t="shared" si="297"/>
        <v/>
      </c>
      <c r="AT49" s="98">
        <f t="shared" si="298"/>
        <v>0</v>
      </c>
      <c r="AU49" s="93" t="str">
        <f t="shared" si="299"/>
        <v/>
      </c>
      <c r="AV49" s="94" t="str">
        <f t="shared" si="300"/>
        <v/>
      </c>
      <c r="AW49" s="95">
        <f t="shared" si="301"/>
        <v>0</v>
      </c>
      <c r="AX49" s="96" t="str">
        <f t="shared" si="302"/>
        <v/>
      </c>
      <c r="AY49" s="97" t="str">
        <f t="shared" si="303"/>
        <v/>
      </c>
      <c r="AZ49" s="98">
        <f t="shared" si="304"/>
        <v>0</v>
      </c>
      <c r="BA49" s="93" t="str">
        <f t="shared" si="305"/>
        <v/>
      </c>
      <c r="BB49" s="94" t="str">
        <f t="shared" si="306"/>
        <v/>
      </c>
      <c r="BC49" s="95">
        <f t="shared" si="307"/>
        <v>0</v>
      </c>
      <c r="BD49" s="96" t="str">
        <f t="shared" si="308"/>
        <v/>
      </c>
      <c r="BE49" s="97" t="str">
        <f t="shared" si="309"/>
        <v/>
      </c>
      <c r="BF49" s="98">
        <f t="shared" si="310"/>
        <v>0</v>
      </c>
      <c r="BG49" s="93" t="str">
        <f t="shared" si="311"/>
        <v/>
      </c>
      <c r="BH49" s="94" t="str">
        <f t="shared" si="312"/>
        <v/>
      </c>
      <c r="BI49" s="95">
        <f t="shared" si="313"/>
        <v>0</v>
      </c>
      <c r="BJ49" s="96" t="str">
        <f t="shared" si="314"/>
        <v/>
      </c>
      <c r="BK49" s="97" t="str">
        <f t="shared" si="315"/>
        <v/>
      </c>
      <c r="BL49" s="98">
        <f t="shared" si="316"/>
        <v>0</v>
      </c>
      <c r="BM49" s="93" t="str">
        <f t="shared" si="317"/>
        <v/>
      </c>
      <c r="BN49" s="94" t="str">
        <f t="shared" si="318"/>
        <v/>
      </c>
      <c r="BO49" s="95">
        <f t="shared" si="319"/>
        <v>0</v>
      </c>
      <c r="BP49" s="96" t="str">
        <f t="shared" si="320"/>
        <v/>
      </c>
      <c r="BQ49" s="97" t="str">
        <f t="shared" si="321"/>
        <v/>
      </c>
      <c r="BR49" s="98">
        <f t="shared" si="322"/>
        <v>0</v>
      </c>
      <c r="BS49" s="93" t="str">
        <f t="shared" si="323"/>
        <v/>
      </c>
      <c r="BT49" s="94" t="str">
        <f t="shared" si="324"/>
        <v/>
      </c>
      <c r="BU49" s="95">
        <f t="shared" si="325"/>
        <v>0</v>
      </c>
      <c r="BV49" s="96" t="str">
        <f t="shared" si="326"/>
        <v/>
      </c>
      <c r="BW49" s="97" t="str">
        <f t="shared" si="327"/>
        <v/>
      </c>
      <c r="BX49" s="98">
        <f t="shared" si="328"/>
        <v>0</v>
      </c>
      <c r="BY49" s="93" t="str">
        <f t="shared" si="329"/>
        <v/>
      </c>
      <c r="BZ49" s="94" t="str">
        <f t="shared" si="330"/>
        <v/>
      </c>
      <c r="CA49" s="95">
        <f t="shared" si="331"/>
        <v>0</v>
      </c>
      <c r="CB49" s="96" t="str">
        <f t="shared" si="332"/>
        <v/>
      </c>
      <c r="CC49" s="97" t="str">
        <f t="shared" si="333"/>
        <v/>
      </c>
      <c r="CD49" s="98">
        <f t="shared" si="334"/>
        <v>0</v>
      </c>
      <c r="CE49" s="93" t="str">
        <f t="shared" si="335"/>
        <v/>
      </c>
      <c r="CF49" s="94" t="str">
        <f t="shared" si="336"/>
        <v/>
      </c>
      <c r="CG49" s="95">
        <f t="shared" si="337"/>
        <v>0</v>
      </c>
      <c r="CH49" s="96" t="str">
        <f t="shared" si="338"/>
        <v/>
      </c>
      <c r="CI49" s="97" t="str">
        <f t="shared" si="339"/>
        <v/>
      </c>
      <c r="CJ49" s="98">
        <f t="shared" si="340"/>
        <v>0</v>
      </c>
      <c r="CK49" s="93" t="str">
        <f t="shared" si="341"/>
        <v/>
      </c>
      <c r="CL49" s="94" t="str">
        <f t="shared" si="342"/>
        <v/>
      </c>
      <c r="CM49" s="95">
        <f t="shared" si="343"/>
        <v>0</v>
      </c>
      <c r="CN49" s="96" t="str">
        <f t="shared" si="344"/>
        <v/>
      </c>
      <c r="CO49" s="97" t="str">
        <f t="shared" si="345"/>
        <v/>
      </c>
      <c r="CP49" s="98">
        <f t="shared" si="346"/>
        <v>0</v>
      </c>
      <c r="CQ49" s="93" t="str">
        <f t="shared" si="347"/>
        <v/>
      </c>
      <c r="CR49" s="94" t="str">
        <f t="shared" si="348"/>
        <v/>
      </c>
      <c r="CS49" s="95">
        <f t="shared" si="349"/>
        <v>0</v>
      </c>
      <c r="CT49" s="96" t="str">
        <f t="shared" si="350"/>
        <v/>
      </c>
      <c r="CU49" s="97" t="str">
        <f t="shared" si="351"/>
        <v/>
      </c>
      <c r="CV49" s="98">
        <f t="shared" si="352"/>
        <v>0</v>
      </c>
      <c r="CW49" s="93" t="str">
        <f t="shared" si="353"/>
        <v/>
      </c>
      <c r="CX49" s="94" t="str">
        <f t="shared" si="354"/>
        <v/>
      </c>
      <c r="CY49" s="95">
        <f t="shared" si="355"/>
        <v>0</v>
      </c>
      <c r="CZ49" s="96" t="str">
        <f t="shared" si="356"/>
        <v/>
      </c>
      <c r="DA49" s="97" t="str">
        <f t="shared" si="357"/>
        <v/>
      </c>
      <c r="DB49" s="98">
        <f t="shared" si="358"/>
        <v>0</v>
      </c>
      <c r="DC49" s="93" t="str">
        <f t="shared" si="359"/>
        <v/>
      </c>
      <c r="DD49" s="94" t="str">
        <f t="shared" si="360"/>
        <v/>
      </c>
      <c r="DE49" s="95">
        <f t="shared" si="361"/>
        <v>0</v>
      </c>
      <c r="DF49" s="96" t="str">
        <f t="shared" si="362"/>
        <v/>
      </c>
      <c r="DG49" s="97" t="str">
        <f t="shared" si="363"/>
        <v/>
      </c>
      <c r="DH49" s="98">
        <f t="shared" si="364"/>
        <v>0</v>
      </c>
      <c r="DI49" s="93" t="str">
        <f t="shared" si="365"/>
        <v/>
      </c>
      <c r="DJ49" s="94" t="str">
        <f t="shared" si="366"/>
        <v/>
      </c>
      <c r="DK49" s="95">
        <f t="shared" si="367"/>
        <v>0</v>
      </c>
      <c r="DL49" s="96" t="str">
        <f t="shared" si="368"/>
        <v/>
      </c>
      <c r="DM49" s="97" t="str">
        <f t="shared" si="369"/>
        <v/>
      </c>
      <c r="DN49" s="98">
        <f t="shared" si="370"/>
        <v>0</v>
      </c>
      <c r="DO49" s="93" t="str">
        <f t="shared" si="371"/>
        <v/>
      </c>
      <c r="DP49" s="94" t="str">
        <f t="shared" si="372"/>
        <v/>
      </c>
      <c r="DQ49" s="95">
        <f t="shared" si="373"/>
        <v>0</v>
      </c>
      <c r="DR49" s="96" t="str">
        <f t="shared" si="374"/>
        <v/>
      </c>
      <c r="DS49" s="97" t="str">
        <f t="shared" si="375"/>
        <v/>
      </c>
      <c r="DT49" s="98">
        <f t="shared" si="376"/>
        <v>0</v>
      </c>
      <c r="DU49" s="93" t="str">
        <f t="shared" si="377"/>
        <v/>
      </c>
      <c r="DV49" s="94" t="str">
        <f t="shared" si="378"/>
        <v/>
      </c>
      <c r="DW49" s="95">
        <f t="shared" si="379"/>
        <v>0</v>
      </c>
      <c r="DX49" s="96" t="str">
        <f t="shared" si="380"/>
        <v/>
      </c>
      <c r="DY49" s="97" t="str">
        <f t="shared" si="381"/>
        <v/>
      </c>
      <c r="DZ49" s="98">
        <f t="shared" si="382"/>
        <v>0</v>
      </c>
      <c r="EA49" s="93" t="str">
        <f t="shared" si="383"/>
        <v/>
      </c>
      <c r="EB49" s="94" t="str">
        <f t="shared" si="384"/>
        <v/>
      </c>
      <c r="EC49" s="95">
        <f t="shared" si="385"/>
        <v>0</v>
      </c>
      <c r="ED49" s="96" t="str">
        <f t="shared" si="386"/>
        <v/>
      </c>
      <c r="EE49" s="97" t="str">
        <f t="shared" si="387"/>
        <v/>
      </c>
      <c r="EF49" s="98">
        <f t="shared" si="388"/>
        <v>0</v>
      </c>
      <c r="EG49" s="93" t="str">
        <f t="shared" si="389"/>
        <v/>
      </c>
      <c r="EH49" s="94" t="str">
        <f t="shared" si="390"/>
        <v/>
      </c>
      <c r="EI49" s="95">
        <f t="shared" si="391"/>
        <v>0</v>
      </c>
      <c r="EJ49" s="96" t="str">
        <f t="shared" si="392"/>
        <v/>
      </c>
      <c r="EK49" s="97" t="str">
        <f t="shared" si="393"/>
        <v/>
      </c>
      <c r="EL49" s="98">
        <f t="shared" si="394"/>
        <v>0</v>
      </c>
      <c r="EM49" s="93" t="str">
        <f t="shared" si="395"/>
        <v/>
      </c>
      <c r="EN49" s="94" t="str">
        <f t="shared" si="396"/>
        <v/>
      </c>
      <c r="EO49" s="95">
        <f t="shared" si="397"/>
        <v>0</v>
      </c>
      <c r="EP49" s="96" t="str">
        <f t="shared" si="398"/>
        <v/>
      </c>
      <c r="EQ49" s="97" t="str">
        <f t="shared" si="399"/>
        <v/>
      </c>
      <c r="ER49" s="98">
        <f t="shared" si="400"/>
        <v>0</v>
      </c>
      <c r="ES49" s="93" t="str">
        <f t="shared" si="401"/>
        <v/>
      </c>
      <c r="ET49" s="94" t="str">
        <f t="shared" si="402"/>
        <v/>
      </c>
      <c r="EU49" s="95">
        <f t="shared" si="403"/>
        <v>0</v>
      </c>
      <c r="EV49" s="96" t="str">
        <f t="shared" si="404"/>
        <v/>
      </c>
      <c r="EW49" s="97" t="str">
        <f t="shared" si="405"/>
        <v/>
      </c>
      <c r="EX49" s="98">
        <f t="shared" si="406"/>
        <v>0</v>
      </c>
      <c r="EY49" s="93" t="str">
        <f t="shared" si="407"/>
        <v/>
      </c>
      <c r="EZ49" s="94" t="str">
        <f t="shared" si="408"/>
        <v/>
      </c>
      <c r="FA49" s="95">
        <f t="shared" si="409"/>
        <v>0</v>
      </c>
      <c r="FB49" s="96" t="str">
        <f t="shared" si="410"/>
        <v/>
      </c>
      <c r="FC49" s="97" t="str">
        <f t="shared" si="411"/>
        <v/>
      </c>
      <c r="FD49" s="98">
        <f t="shared" si="412"/>
        <v>0</v>
      </c>
      <c r="FE49" s="93" t="str">
        <f t="shared" si="413"/>
        <v/>
      </c>
      <c r="FF49" s="94" t="str">
        <f t="shared" si="414"/>
        <v/>
      </c>
      <c r="FG49" s="95">
        <f t="shared" si="415"/>
        <v>0</v>
      </c>
      <c r="FH49" s="96" t="str">
        <f t="shared" si="416"/>
        <v/>
      </c>
      <c r="FI49" s="97" t="str">
        <f t="shared" si="417"/>
        <v/>
      </c>
      <c r="FJ49" s="98">
        <f t="shared" si="418"/>
        <v>0</v>
      </c>
    </row>
    <row r="50" ht="15.75" hidden="1" customHeight="1">
      <c r="A50" s="6" t="str">
        <f>Menus!B42</f>
        <v/>
      </c>
      <c r="B50" s="16">
        <f t="shared" si="256"/>
        <v>0</v>
      </c>
      <c r="C50" s="16">
        <f t="shared" si="257"/>
        <v>0</v>
      </c>
      <c r="D50" s="16">
        <f t="shared" si="419"/>
        <v>0</v>
      </c>
      <c r="E50" s="87" t="str">
        <f t="shared" si="258"/>
        <v/>
      </c>
      <c r="F50" s="88" t="str">
        <f t="shared" si="259"/>
        <v/>
      </c>
      <c r="G50" s="89">
        <f t="shared" si="420"/>
        <v>0</v>
      </c>
      <c r="H50" s="90" t="str">
        <f t="shared" si="260"/>
        <v/>
      </c>
      <c r="I50" s="91" t="str">
        <f t="shared" si="261"/>
        <v/>
      </c>
      <c r="J50" s="92">
        <f t="shared" si="262"/>
        <v>0</v>
      </c>
      <c r="K50" s="93" t="str">
        <f t="shared" si="263"/>
        <v/>
      </c>
      <c r="L50" s="94" t="str">
        <f t="shared" si="264"/>
        <v/>
      </c>
      <c r="M50" s="95">
        <f t="shared" si="265"/>
        <v>0</v>
      </c>
      <c r="N50" s="96" t="str">
        <f t="shared" si="266"/>
        <v/>
      </c>
      <c r="O50" s="97" t="str">
        <f t="shared" si="267"/>
        <v/>
      </c>
      <c r="P50" s="98">
        <f t="shared" si="268"/>
        <v>0</v>
      </c>
      <c r="Q50" s="93" t="str">
        <f t="shared" si="269"/>
        <v/>
      </c>
      <c r="R50" s="94" t="str">
        <f t="shared" si="270"/>
        <v/>
      </c>
      <c r="S50" s="95">
        <f t="shared" si="271"/>
        <v>0</v>
      </c>
      <c r="T50" s="96" t="str">
        <f t="shared" si="272"/>
        <v/>
      </c>
      <c r="U50" s="97" t="str">
        <f t="shared" si="273"/>
        <v/>
      </c>
      <c r="V50" s="98">
        <f t="shared" si="274"/>
        <v>0</v>
      </c>
      <c r="W50" s="93" t="str">
        <f t="shared" si="275"/>
        <v/>
      </c>
      <c r="X50" s="94" t="str">
        <f t="shared" si="276"/>
        <v/>
      </c>
      <c r="Y50" s="95">
        <f t="shared" si="277"/>
        <v>0</v>
      </c>
      <c r="Z50" s="96" t="str">
        <f t="shared" si="278"/>
        <v/>
      </c>
      <c r="AA50" s="97" t="str">
        <f t="shared" si="279"/>
        <v/>
      </c>
      <c r="AB50" s="98">
        <f t="shared" si="280"/>
        <v>0</v>
      </c>
      <c r="AC50" s="93" t="str">
        <f t="shared" si="281"/>
        <v/>
      </c>
      <c r="AD50" s="94" t="str">
        <f t="shared" si="282"/>
        <v/>
      </c>
      <c r="AE50" s="95">
        <f t="shared" si="283"/>
        <v>0</v>
      </c>
      <c r="AF50" s="96" t="str">
        <f t="shared" si="284"/>
        <v/>
      </c>
      <c r="AG50" s="97" t="str">
        <f t="shared" si="285"/>
        <v/>
      </c>
      <c r="AH50" s="98">
        <f t="shared" si="286"/>
        <v>0</v>
      </c>
      <c r="AI50" s="93" t="str">
        <f t="shared" si="287"/>
        <v/>
      </c>
      <c r="AJ50" s="94" t="str">
        <f t="shared" si="288"/>
        <v/>
      </c>
      <c r="AK50" s="95">
        <f t="shared" si="289"/>
        <v>0</v>
      </c>
      <c r="AL50" s="96" t="str">
        <f t="shared" si="290"/>
        <v/>
      </c>
      <c r="AM50" s="97" t="str">
        <f t="shared" si="291"/>
        <v/>
      </c>
      <c r="AN50" s="98">
        <f t="shared" si="292"/>
        <v>0</v>
      </c>
      <c r="AO50" s="93" t="str">
        <f t="shared" si="293"/>
        <v/>
      </c>
      <c r="AP50" s="94" t="str">
        <f t="shared" si="294"/>
        <v/>
      </c>
      <c r="AQ50" s="95">
        <f t="shared" si="295"/>
        <v>0</v>
      </c>
      <c r="AR50" s="96" t="str">
        <f t="shared" si="296"/>
        <v/>
      </c>
      <c r="AS50" s="97" t="str">
        <f t="shared" si="297"/>
        <v/>
      </c>
      <c r="AT50" s="98">
        <f t="shared" si="298"/>
        <v>0</v>
      </c>
      <c r="AU50" s="93" t="str">
        <f t="shared" si="299"/>
        <v/>
      </c>
      <c r="AV50" s="94" t="str">
        <f t="shared" si="300"/>
        <v/>
      </c>
      <c r="AW50" s="95">
        <f t="shared" si="301"/>
        <v>0</v>
      </c>
      <c r="AX50" s="96" t="str">
        <f t="shared" si="302"/>
        <v/>
      </c>
      <c r="AY50" s="97" t="str">
        <f t="shared" si="303"/>
        <v/>
      </c>
      <c r="AZ50" s="98">
        <f t="shared" si="304"/>
        <v>0</v>
      </c>
      <c r="BA50" s="93" t="str">
        <f t="shared" si="305"/>
        <v/>
      </c>
      <c r="BB50" s="94" t="str">
        <f t="shared" si="306"/>
        <v/>
      </c>
      <c r="BC50" s="95">
        <f t="shared" si="307"/>
        <v>0</v>
      </c>
      <c r="BD50" s="96" t="str">
        <f t="shared" si="308"/>
        <v/>
      </c>
      <c r="BE50" s="97" t="str">
        <f t="shared" si="309"/>
        <v/>
      </c>
      <c r="BF50" s="98">
        <f t="shared" si="310"/>
        <v>0</v>
      </c>
      <c r="BG50" s="93" t="str">
        <f t="shared" si="311"/>
        <v/>
      </c>
      <c r="BH50" s="94" t="str">
        <f t="shared" si="312"/>
        <v/>
      </c>
      <c r="BI50" s="95">
        <f t="shared" si="313"/>
        <v>0</v>
      </c>
      <c r="BJ50" s="96" t="str">
        <f t="shared" si="314"/>
        <v/>
      </c>
      <c r="BK50" s="97" t="str">
        <f t="shared" si="315"/>
        <v/>
      </c>
      <c r="BL50" s="98">
        <f t="shared" si="316"/>
        <v>0</v>
      </c>
      <c r="BM50" s="93" t="str">
        <f t="shared" si="317"/>
        <v/>
      </c>
      <c r="BN50" s="94" t="str">
        <f t="shared" si="318"/>
        <v/>
      </c>
      <c r="BO50" s="95">
        <f t="shared" si="319"/>
        <v>0</v>
      </c>
      <c r="BP50" s="96" t="str">
        <f t="shared" si="320"/>
        <v/>
      </c>
      <c r="BQ50" s="97" t="str">
        <f t="shared" si="321"/>
        <v/>
      </c>
      <c r="BR50" s="98">
        <f t="shared" si="322"/>
        <v>0</v>
      </c>
      <c r="BS50" s="93" t="str">
        <f t="shared" si="323"/>
        <v/>
      </c>
      <c r="BT50" s="94" t="str">
        <f t="shared" si="324"/>
        <v/>
      </c>
      <c r="BU50" s="95">
        <f t="shared" si="325"/>
        <v>0</v>
      </c>
      <c r="BV50" s="96" t="str">
        <f t="shared" si="326"/>
        <v/>
      </c>
      <c r="BW50" s="97" t="str">
        <f t="shared" si="327"/>
        <v/>
      </c>
      <c r="BX50" s="98">
        <f t="shared" si="328"/>
        <v>0</v>
      </c>
      <c r="BY50" s="93" t="str">
        <f t="shared" si="329"/>
        <v/>
      </c>
      <c r="BZ50" s="94" t="str">
        <f t="shared" si="330"/>
        <v/>
      </c>
      <c r="CA50" s="95">
        <f t="shared" si="331"/>
        <v>0</v>
      </c>
      <c r="CB50" s="96" t="str">
        <f t="shared" si="332"/>
        <v/>
      </c>
      <c r="CC50" s="97" t="str">
        <f t="shared" si="333"/>
        <v/>
      </c>
      <c r="CD50" s="98">
        <f t="shared" si="334"/>
        <v>0</v>
      </c>
      <c r="CE50" s="93" t="str">
        <f t="shared" si="335"/>
        <v/>
      </c>
      <c r="CF50" s="94" t="str">
        <f t="shared" si="336"/>
        <v/>
      </c>
      <c r="CG50" s="95">
        <f t="shared" si="337"/>
        <v>0</v>
      </c>
      <c r="CH50" s="96" t="str">
        <f t="shared" si="338"/>
        <v/>
      </c>
      <c r="CI50" s="97" t="str">
        <f t="shared" si="339"/>
        <v/>
      </c>
      <c r="CJ50" s="98">
        <f t="shared" si="340"/>
        <v>0</v>
      </c>
      <c r="CK50" s="93" t="str">
        <f t="shared" si="341"/>
        <v/>
      </c>
      <c r="CL50" s="94" t="str">
        <f t="shared" si="342"/>
        <v/>
      </c>
      <c r="CM50" s="95">
        <f t="shared" si="343"/>
        <v>0</v>
      </c>
      <c r="CN50" s="96" t="str">
        <f t="shared" si="344"/>
        <v/>
      </c>
      <c r="CO50" s="97" t="str">
        <f t="shared" si="345"/>
        <v/>
      </c>
      <c r="CP50" s="98">
        <f t="shared" si="346"/>
        <v>0</v>
      </c>
      <c r="CQ50" s="93" t="str">
        <f t="shared" si="347"/>
        <v/>
      </c>
      <c r="CR50" s="94" t="str">
        <f t="shared" si="348"/>
        <v/>
      </c>
      <c r="CS50" s="95">
        <f t="shared" si="349"/>
        <v>0</v>
      </c>
      <c r="CT50" s="96" t="str">
        <f t="shared" si="350"/>
        <v/>
      </c>
      <c r="CU50" s="97" t="str">
        <f t="shared" si="351"/>
        <v/>
      </c>
      <c r="CV50" s="98">
        <f t="shared" si="352"/>
        <v>0</v>
      </c>
      <c r="CW50" s="93" t="str">
        <f t="shared" si="353"/>
        <v/>
      </c>
      <c r="CX50" s="94" t="str">
        <f t="shared" si="354"/>
        <v/>
      </c>
      <c r="CY50" s="95">
        <f t="shared" si="355"/>
        <v>0</v>
      </c>
      <c r="CZ50" s="96" t="str">
        <f t="shared" si="356"/>
        <v/>
      </c>
      <c r="DA50" s="97" t="str">
        <f t="shared" si="357"/>
        <v/>
      </c>
      <c r="DB50" s="98">
        <f t="shared" si="358"/>
        <v>0</v>
      </c>
      <c r="DC50" s="93" t="str">
        <f t="shared" si="359"/>
        <v/>
      </c>
      <c r="DD50" s="94" t="str">
        <f t="shared" si="360"/>
        <v/>
      </c>
      <c r="DE50" s="95">
        <f t="shared" si="361"/>
        <v>0</v>
      </c>
      <c r="DF50" s="96" t="str">
        <f t="shared" si="362"/>
        <v/>
      </c>
      <c r="DG50" s="97" t="str">
        <f t="shared" si="363"/>
        <v/>
      </c>
      <c r="DH50" s="98">
        <f t="shared" si="364"/>
        <v>0</v>
      </c>
      <c r="DI50" s="93" t="str">
        <f t="shared" si="365"/>
        <v/>
      </c>
      <c r="DJ50" s="94" t="str">
        <f t="shared" si="366"/>
        <v/>
      </c>
      <c r="DK50" s="95">
        <f t="shared" si="367"/>
        <v>0</v>
      </c>
      <c r="DL50" s="96" t="str">
        <f t="shared" si="368"/>
        <v/>
      </c>
      <c r="DM50" s="97" t="str">
        <f t="shared" si="369"/>
        <v/>
      </c>
      <c r="DN50" s="98">
        <f t="shared" si="370"/>
        <v>0</v>
      </c>
      <c r="DO50" s="93" t="str">
        <f t="shared" si="371"/>
        <v/>
      </c>
      <c r="DP50" s="94" t="str">
        <f t="shared" si="372"/>
        <v/>
      </c>
      <c r="DQ50" s="95">
        <f t="shared" si="373"/>
        <v>0</v>
      </c>
      <c r="DR50" s="96" t="str">
        <f t="shared" si="374"/>
        <v/>
      </c>
      <c r="DS50" s="97" t="str">
        <f t="shared" si="375"/>
        <v/>
      </c>
      <c r="DT50" s="98">
        <f t="shared" si="376"/>
        <v>0</v>
      </c>
      <c r="DU50" s="93" t="str">
        <f t="shared" si="377"/>
        <v/>
      </c>
      <c r="DV50" s="94" t="str">
        <f t="shared" si="378"/>
        <v/>
      </c>
      <c r="DW50" s="95">
        <f t="shared" si="379"/>
        <v>0</v>
      </c>
      <c r="DX50" s="96" t="str">
        <f t="shared" si="380"/>
        <v/>
      </c>
      <c r="DY50" s="97" t="str">
        <f t="shared" si="381"/>
        <v/>
      </c>
      <c r="DZ50" s="98">
        <f t="shared" si="382"/>
        <v>0</v>
      </c>
      <c r="EA50" s="93" t="str">
        <f t="shared" si="383"/>
        <v/>
      </c>
      <c r="EB50" s="94" t="str">
        <f t="shared" si="384"/>
        <v/>
      </c>
      <c r="EC50" s="95">
        <f t="shared" si="385"/>
        <v>0</v>
      </c>
      <c r="ED50" s="96" t="str">
        <f t="shared" si="386"/>
        <v/>
      </c>
      <c r="EE50" s="97" t="str">
        <f t="shared" si="387"/>
        <v/>
      </c>
      <c r="EF50" s="98">
        <f t="shared" si="388"/>
        <v>0</v>
      </c>
      <c r="EG50" s="93" t="str">
        <f t="shared" si="389"/>
        <v/>
      </c>
      <c r="EH50" s="94" t="str">
        <f t="shared" si="390"/>
        <v/>
      </c>
      <c r="EI50" s="95">
        <f t="shared" si="391"/>
        <v>0</v>
      </c>
      <c r="EJ50" s="96" t="str">
        <f t="shared" si="392"/>
        <v/>
      </c>
      <c r="EK50" s="97" t="str">
        <f t="shared" si="393"/>
        <v/>
      </c>
      <c r="EL50" s="98">
        <f t="shared" si="394"/>
        <v>0</v>
      </c>
      <c r="EM50" s="93" t="str">
        <f t="shared" si="395"/>
        <v/>
      </c>
      <c r="EN50" s="94" t="str">
        <f t="shared" si="396"/>
        <v/>
      </c>
      <c r="EO50" s="95">
        <f t="shared" si="397"/>
        <v>0</v>
      </c>
      <c r="EP50" s="96" t="str">
        <f t="shared" si="398"/>
        <v/>
      </c>
      <c r="EQ50" s="97" t="str">
        <f t="shared" si="399"/>
        <v/>
      </c>
      <c r="ER50" s="98">
        <f t="shared" si="400"/>
        <v>0</v>
      </c>
      <c r="ES50" s="93" t="str">
        <f t="shared" si="401"/>
        <v/>
      </c>
      <c r="ET50" s="94" t="str">
        <f t="shared" si="402"/>
        <v/>
      </c>
      <c r="EU50" s="95">
        <f t="shared" si="403"/>
        <v>0</v>
      </c>
      <c r="EV50" s="96" t="str">
        <f t="shared" si="404"/>
        <v/>
      </c>
      <c r="EW50" s="97" t="str">
        <f t="shared" si="405"/>
        <v/>
      </c>
      <c r="EX50" s="98">
        <f t="shared" si="406"/>
        <v>0</v>
      </c>
      <c r="EY50" s="93" t="str">
        <f t="shared" si="407"/>
        <v/>
      </c>
      <c r="EZ50" s="94" t="str">
        <f t="shared" si="408"/>
        <v/>
      </c>
      <c r="FA50" s="95">
        <f t="shared" si="409"/>
        <v>0</v>
      </c>
      <c r="FB50" s="96" t="str">
        <f t="shared" si="410"/>
        <v/>
      </c>
      <c r="FC50" s="97" t="str">
        <f t="shared" si="411"/>
        <v/>
      </c>
      <c r="FD50" s="98">
        <f t="shared" si="412"/>
        <v>0</v>
      </c>
      <c r="FE50" s="93" t="str">
        <f t="shared" si="413"/>
        <v/>
      </c>
      <c r="FF50" s="94" t="str">
        <f t="shared" si="414"/>
        <v/>
      </c>
      <c r="FG50" s="95">
        <f t="shared" si="415"/>
        <v>0</v>
      </c>
      <c r="FH50" s="96" t="str">
        <f t="shared" si="416"/>
        <v/>
      </c>
      <c r="FI50" s="97" t="str">
        <f t="shared" si="417"/>
        <v/>
      </c>
      <c r="FJ50" s="98">
        <f t="shared" si="418"/>
        <v>0</v>
      </c>
    </row>
    <row r="51" ht="9.0" customHeight="1">
      <c r="A51" s="50"/>
      <c r="B51" s="6"/>
      <c r="D51" s="6"/>
      <c r="E51" s="75"/>
      <c r="F51" s="6"/>
      <c r="G51" s="6"/>
      <c r="H51" s="75"/>
      <c r="I51" s="6"/>
      <c r="J51" s="48"/>
      <c r="K51" s="75"/>
      <c r="L51" s="6"/>
      <c r="M51" s="48"/>
      <c r="N51" s="75"/>
      <c r="O51" s="6"/>
      <c r="P51" s="48"/>
      <c r="Q51" s="75"/>
      <c r="R51" s="6"/>
      <c r="S51" s="48"/>
      <c r="T51" s="75"/>
      <c r="U51" s="6"/>
      <c r="V51" s="48"/>
      <c r="W51" s="75"/>
      <c r="X51" s="6"/>
      <c r="Y51" s="48"/>
      <c r="Z51" s="75"/>
      <c r="AA51" s="6"/>
      <c r="AB51" s="48"/>
      <c r="AC51" s="75"/>
      <c r="AD51" s="6"/>
      <c r="AE51" s="48"/>
      <c r="AF51" s="75"/>
      <c r="AG51" s="6"/>
      <c r="AH51" s="48"/>
      <c r="AI51" s="75"/>
      <c r="AJ51" s="6"/>
      <c r="AK51" s="48"/>
      <c r="AL51" s="75"/>
      <c r="AM51" s="6"/>
      <c r="AN51" s="48"/>
      <c r="AO51" s="75"/>
      <c r="AP51" s="6"/>
      <c r="AQ51" s="48"/>
      <c r="AR51" s="75"/>
      <c r="AS51" s="6"/>
      <c r="AT51" s="48"/>
      <c r="AU51" s="75"/>
      <c r="AV51" s="6"/>
      <c r="AW51" s="48"/>
      <c r="AX51" s="75"/>
      <c r="AY51" s="6"/>
      <c r="AZ51" s="48"/>
      <c r="BA51" s="75"/>
      <c r="BB51" s="6"/>
      <c r="BC51" s="48"/>
      <c r="BD51" s="75"/>
      <c r="BE51" s="6"/>
      <c r="BF51" s="48"/>
      <c r="BG51" s="75"/>
      <c r="BH51" s="6"/>
      <c r="BI51" s="48"/>
      <c r="BJ51" s="75"/>
      <c r="BK51" s="6"/>
      <c r="BL51" s="48"/>
      <c r="BM51" s="75"/>
      <c r="BN51" s="6"/>
      <c r="BO51" s="48"/>
      <c r="BP51" s="75"/>
      <c r="BQ51" s="6"/>
      <c r="BR51" s="48"/>
      <c r="BS51" s="75"/>
      <c r="BT51" s="6"/>
      <c r="BU51" s="48"/>
      <c r="BV51" s="75"/>
      <c r="BW51" s="6"/>
      <c r="BX51" s="48"/>
      <c r="BY51" s="75"/>
      <c r="BZ51" s="6"/>
      <c r="CA51" s="48"/>
      <c r="CB51" s="75"/>
      <c r="CC51" s="6"/>
      <c r="CD51" s="48"/>
      <c r="CE51" s="75"/>
      <c r="CF51" s="6"/>
      <c r="CG51" s="48"/>
      <c r="CH51" s="75"/>
      <c r="CI51" s="6"/>
      <c r="CJ51" s="48"/>
      <c r="CK51" s="75"/>
      <c r="CL51" s="6"/>
      <c r="CM51" s="48"/>
      <c r="CN51" s="75"/>
      <c r="CO51" s="6"/>
      <c r="CP51" s="48"/>
      <c r="CQ51" s="75"/>
      <c r="CR51" s="6"/>
      <c r="CS51" s="48"/>
      <c r="CT51" s="75"/>
      <c r="CU51" s="6"/>
      <c r="CV51" s="48"/>
      <c r="CW51" s="75"/>
      <c r="CX51" s="6"/>
      <c r="CY51" s="48"/>
      <c r="CZ51" s="75"/>
      <c r="DA51" s="6"/>
      <c r="DB51" s="48"/>
      <c r="DC51" s="75"/>
      <c r="DD51" s="6"/>
      <c r="DE51" s="48"/>
      <c r="DF51" s="75"/>
      <c r="DG51" s="6"/>
      <c r="DH51" s="48"/>
      <c r="DI51" s="75"/>
      <c r="DJ51" s="6"/>
      <c r="DK51" s="48"/>
      <c r="DL51" s="75"/>
      <c r="DM51" s="6"/>
      <c r="DN51" s="48"/>
      <c r="DO51" s="75"/>
      <c r="DP51" s="6"/>
      <c r="DQ51" s="48"/>
      <c r="DR51" s="75"/>
      <c r="DS51" s="6"/>
      <c r="DT51" s="48"/>
      <c r="DU51" s="75"/>
      <c r="DV51" s="6"/>
      <c r="DW51" s="48"/>
      <c r="DX51" s="75"/>
      <c r="DY51" s="6"/>
      <c r="DZ51" s="48"/>
      <c r="EA51" s="75"/>
      <c r="EB51" s="6"/>
      <c r="EC51" s="48"/>
      <c r="ED51" s="75"/>
      <c r="EE51" s="6"/>
      <c r="EF51" s="48"/>
      <c r="EG51" s="75"/>
      <c r="EH51" s="6"/>
      <c r="EI51" s="48"/>
      <c r="EJ51" s="75"/>
      <c r="EK51" s="6"/>
      <c r="EL51" s="48"/>
      <c r="EM51" s="75"/>
      <c r="EN51" s="6"/>
      <c r="EO51" s="48"/>
      <c r="EP51" s="75"/>
      <c r="EQ51" s="6"/>
      <c r="ER51" s="48"/>
      <c r="ES51" s="75"/>
      <c r="ET51" s="6"/>
      <c r="EU51" s="48"/>
      <c r="EV51" s="75"/>
      <c r="EW51" s="6"/>
      <c r="EX51" s="48"/>
      <c r="EY51" s="75"/>
      <c r="EZ51" s="6"/>
      <c r="FA51" s="48"/>
      <c r="FB51" s="75"/>
      <c r="FC51" s="6"/>
      <c r="FD51" s="48"/>
      <c r="FE51" s="75"/>
      <c r="FF51" s="6"/>
      <c r="FG51" s="48"/>
      <c r="FH51" s="75"/>
      <c r="FI51" s="6"/>
      <c r="FJ51" s="48"/>
    </row>
    <row r="52" ht="15.75" customHeight="1">
      <c r="A52" s="12" t="s">
        <v>19</v>
      </c>
      <c r="B52" s="13" t="str">
        <f t="shared" ref="B52:C52" si="421">SUM(B53:B55)</f>
        <v>#VALUE!</v>
      </c>
      <c r="C52" s="13" t="str">
        <f t="shared" si="421"/>
        <v>#VALUE!</v>
      </c>
      <c r="D52" s="13" t="str">
        <f t="shared" ref="D52:D55" si="476">C52-B52</f>
        <v>#VALUE!</v>
      </c>
      <c r="E52" s="108" t="str">
        <f t="shared" ref="E52:F52" si="422">SUM(E53:E55)</f>
        <v>#VALUE!</v>
      </c>
      <c r="F52" s="12" t="str">
        <f t="shared" si="422"/>
        <v>#VALUE!</v>
      </c>
      <c r="G52" s="81" t="str">
        <f t="shared" ref="G52:G55" si="477">F52-E52</f>
        <v>#VALUE!</v>
      </c>
      <c r="H52" s="80" t="str">
        <f t="shared" ref="H52:I52" si="423">SUM(H53:H55)</f>
        <v>#VALUE!</v>
      </c>
      <c r="I52" s="53" t="str">
        <f t="shared" si="423"/>
        <v>#VALUE!</v>
      </c>
      <c r="J52" s="81" t="str">
        <f>I52-H52</f>
        <v>#VALUE!</v>
      </c>
      <c r="K52" s="82" t="str">
        <f t="shared" ref="K52:L52" si="424">SUM(K53:K55)</f>
        <v>#VALUE!</v>
      </c>
      <c r="L52" s="14" t="str">
        <f t="shared" si="424"/>
        <v>#VALUE!</v>
      </c>
      <c r="M52" s="83" t="str">
        <f>L52-K52</f>
        <v>#VALUE!</v>
      </c>
      <c r="N52" s="84" t="str">
        <f t="shared" ref="N52:O52" si="425">SUM(N53:N55)</f>
        <v>#VALUE!</v>
      </c>
      <c r="O52" s="13" t="str">
        <f t="shared" si="425"/>
        <v>#VALUE!</v>
      </c>
      <c r="P52" s="85" t="str">
        <f>O52-N52</f>
        <v>#VALUE!</v>
      </c>
      <c r="Q52" s="82" t="str">
        <f t="shared" ref="Q52:R52" si="426">SUM(Q53:Q55)</f>
        <v>#VALUE!</v>
      </c>
      <c r="R52" s="14" t="str">
        <f t="shared" si="426"/>
        <v>#VALUE!</v>
      </c>
      <c r="S52" s="83" t="str">
        <f>R52-Q52</f>
        <v>#VALUE!</v>
      </c>
      <c r="T52" s="84" t="str">
        <f t="shared" ref="T52:U52" si="427">SUM(T53:T55)</f>
        <v>#VALUE!</v>
      </c>
      <c r="U52" s="13" t="str">
        <f t="shared" si="427"/>
        <v>#VALUE!</v>
      </c>
      <c r="V52" s="85" t="str">
        <f>U52-T52</f>
        <v>#VALUE!</v>
      </c>
      <c r="W52" s="82" t="str">
        <f t="shared" ref="W52:X52" si="428">SUM(W53:W55)</f>
        <v>#VALUE!</v>
      </c>
      <c r="X52" s="14" t="str">
        <f t="shared" si="428"/>
        <v>#VALUE!</v>
      </c>
      <c r="Y52" s="83" t="str">
        <f>X52-W52</f>
        <v>#VALUE!</v>
      </c>
      <c r="Z52" s="84" t="str">
        <f t="shared" ref="Z52:AA52" si="429">SUM(Z53:Z55)</f>
        <v>#VALUE!</v>
      </c>
      <c r="AA52" s="13" t="str">
        <f t="shared" si="429"/>
        <v>#VALUE!</v>
      </c>
      <c r="AB52" s="85" t="str">
        <f>AA52-Z52</f>
        <v>#VALUE!</v>
      </c>
      <c r="AC52" s="82" t="str">
        <f t="shared" ref="AC52:AD52" si="430">SUM(AC53:AC55)</f>
        <v>#VALUE!</v>
      </c>
      <c r="AD52" s="14" t="str">
        <f t="shared" si="430"/>
        <v>#VALUE!</v>
      </c>
      <c r="AE52" s="83" t="str">
        <f>AD52-AC52</f>
        <v>#VALUE!</v>
      </c>
      <c r="AF52" s="84" t="str">
        <f t="shared" ref="AF52:AG52" si="431">SUM(AF53:AF55)</f>
        <v>#VALUE!</v>
      </c>
      <c r="AG52" s="13" t="str">
        <f t="shared" si="431"/>
        <v>#VALUE!</v>
      </c>
      <c r="AH52" s="85" t="str">
        <f>AG52-AF52</f>
        <v>#VALUE!</v>
      </c>
      <c r="AI52" s="82" t="str">
        <f t="shared" ref="AI52:AJ52" si="432">SUM(AI53:AI55)</f>
        <v>#VALUE!</v>
      </c>
      <c r="AJ52" s="14" t="str">
        <f t="shared" si="432"/>
        <v>#VALUE!</v>
      </c>
      <c r="AK52" s="83" t="str">
        <f>AJ52-AI52</f>
        <v>#VALUE!</v>
      </c>
      <c r="AL52" s="84" t="str">
        <f t="shared" ref="AL52:AM52" si="433">SUM(AL53:AL55)</f>
        <v>#VALUE!</v>
      </c>
      <c r="AM52" s="13" t="str">
        <f t="shared" si="433"/>
        <v>#VALUE!</v>
      </c>
      <c r="AN52" s="85" t="str">
        <f>AM52-AL52</f>
        <v>#VALUE!</v>
      </c>
      <c r="AO52" s="82" t="str">
        <f t="shared" ref="AO52:AP52" si="434">SUM(AO53:AO55)</f>
        <v>#VALUE!</v>
      </c>
      <c r="AP52" s="14" t="str">
        <f t="shared" si="434"/>
        <v>#VALUE!</v>
      </c>
      <c r="AQ52" s="83" t="str">
        <f>AP52-AO52</f>
        <v>#VALUE!</v>
      </c>
      <c r="AR52" s="84" t="str">
        <f t="shared" ref="AR52:AS52" si="435">SUM(AR53:AR55)</f>
        <v>#VALUE!</v>
      </c>
      <c r="AS52" s="13" t="str">
        <f t="shared" si="435"/>
        <v>#VALUE!</v>
      </c>
      <c r="AT52" s="85" t="str">
        <f>AS52-AR52</f>
        <v>#VALUE!</v>
      </c>
      <c r="AU52" s="82" t="str">
        <f t="shared" ref="AU52:AV52" si="436">SUM(AU53:AU55)</f>
        <v>#VALUE!</v>
      </c>
      <c r="AV52" s="14" t="str">
        <f t="shared" si="436"/>
        <v>#VALUE!</v>
      </c>
      <c r="AW52" s="83" t="str">
        <f>AV52-AU52</f>
        <v>#VALUE!</v>
      </c>
      <c r="AX52" s="84" t="str">
        <f t="shared" ref="AX52:AY52" si="437">SUM(AX53:AX55)</f>
        <v>#VALUE!</v>
      </c>
      <c r="AY52" s="13" t="str">
        <f t="shared" si="437"/>
        <v>#VALUE!</v>
      </c>
      <c r="AZ52" s="85" t="str">
        <f>AY52-AX52</f>
        <v>#VALUE!</v>
      </c>
      <c r="BA52" s="82" t="str">
        <f t="shared" ref="BA52:BB52" si="438">SUM(BA53:BA55)</f>
        <v>#VALUE!</v>
      </c>
      <c r="BB52" s="14" t="str">
        <f t="shared" si="438"/>
        <v>#VALUE!</v>
      </c>
      <c r="BC52" s="83" t="str">
        <f>BB52-BA52</f>
        <v>#VALUE!</v>
      </c>
      <c r="BD52" s="84" t="str">
        <f t="shared" ref="BD52:BE52" si="439">SUM(BD53:BD55)</f>
        <v>#VALUE!</v>
      </c>
      <c r="BE52" s="13" t="str">
        <f t="shared" si="439"/>
        <v>#VALUE!</v>
      </c>
      <c r="BF52" s="85" t="str">
        <f>BE52-BD52</f>
        <v>#VALUE!</v>
      </c>
      <c r="BG52" s="82" t="str">
        <f t="shared" ref="BG52:BH52" si="440">SUM(BG53:BG55)</f>
        <v>#VALUE!</v>
      </c>
      <c r="BH52" s="14" t="str">
        <f t="shared" si="440"/>
        <v>#VALUE!</v>
      </c>
      <c r="BI52" s="83" t="str">
        <f>BH52-BG52</f>
        <v>#VALUE!</v>
      </c>
      <c r="BJ52" s="84" t="str">
        <f t="shared" ref="BJ52:BK52" si="441">SUM(BJ53:BJ55)</f>
        <v>#VALUE!</v>
      </c>
      <c r="BK52" s="13" t="str">
        <f t="shared" si="441"/>
        <v>#VALUE!</v>
      </c>
      <c r="BL52" s="85" t="str">
        <f>BK52-BJ52</f>
        <v>#VALUE!</v>
      </c>
      <c r="BM52" s="82" t="str">
        <f t="shared" ref="BM52:BN52" si="442">SUM(BM53:BM55)</f>
        <v>#VALUE!</v>
      </c>
      <c r="BN52" s="14" t="str">
        <f t="shared" si="442"/>
        <v>#VALUE!</v>
      </c>
      <c r="BO52" s="83" t="str">
        <f>BN52-BM52</f>
        <v>#VALUE!</v>
      </c>
      <c r="BP52" s="84" t="str">
        <f t="shared" ref="BP52:BQ52" si="443">SUM(BP53:BP55)</f>
        <v>#VALUE!</v>
      </c>
      <c r="BQ52" s="13" t="str">
        <f t="shared" si="443"/>
        <v>#VALUE!</v>
      </c>
      <c r="BR52" s="85" t="str">
        <f>BQ52-BP52</f>
        <v>#VALUE!</v>
      </c>
      <c r="BS52" s="82" t="str">
        <f t="shared" ref="BS52:BT52" si="444">SUM(BS53:BS55)</f>
        <v>#VALUE!</v>
      </c>
      <c r="BT52" s="14" t="str">
        <f t="shared" si="444"/>
        <v>#VALUE!</v>
      </c>
      <c r="BU52" s="83" t="str">
        <f>BT52-BS52</f>
        <v>#VALUE!</v>
      </c>
      <c r="BV52" s="84" t="str">
        <f t="shared" ref="BV52:BW52" si="445">SUM(BV53:BV55)</f>
        <v>#VALUE!</v>
      </c>
      <c r="BW52" s="13" t="str">
        <f t="shared" si="445"/>
        <v>#VALUE!</v>
      </c>
      <c r="BX52" s="85" t="str">
        <f>BW52-BV52</f>
        <v>#VALUE!</v>
      </c>
      <c r="BY52" s="82" t="str">
        <f t="shared" ref="BY52:BZ52" si="446">SUM(BY53:BY55)</f>
        <v>#VALUE!</v>
      </c>
      <c r="BZ52" s="14" t="str">
        <f t="shared" si="446"/>
        <v>#VALUE!</v>
      </c>
      <c r="CA52" s="83" t="str">
        <f>BZ52-BY52</f>
        <v>#VALUE!</v>
      </c>
      <c r="CB52" s="84" t="str">
        <f t="shared" ref="CB52:CC52" si="447">SUM(CB53:CB55)</f>
        <v>#VALUE!</v>
      </c>
      <c r="CC52" s="13" t="str">
        <f t="shared" si="447"/>
        <v>#VALUE!</v>
      </c>
      <c r="CD52" s="85" t="str">
        <f>CC52-CB52</f>
        <v>#VALUE!</v>
      </c>
      <c r="CE52" s="82" t="str">
        <f t="shared" ref="CE52:CF52" si="448">SUM(CE53:CE55)</f>
        <v>#VALUE!</v>
      </c>
      <c r="CF52" s="14" t="str">
        <f t="shared" si="448"/>
        <v>#VALUE!</v>
      </c>
      <c r="CG52" s="83" t="str">
        <f>CF52-CE52</f>
        <v>#VALUE!</v>
      </c>
      <c r="CH52" s="84" t="str">
        <f t="shared" ref="CH52:CI52" si="449">SUM(CH53:CH55)</f>
        <v>#VALUE!</v>
      </c>
      <c r="CI52" s="13" t="str">
        <f t="shared" si="449"/>
        <v>#VALUE!</v>
      </c>
      <c r="CJ52" s="85" t="str">
        <f>CI52-CH52</f>
        <v>#VALUE!</v>
      </c>
      <c r="CK52" s="82" t="str">
        <f t="shared" ref="CK52:CL52" si="450">SUM(CK53:CK55)</f>
        <v>#VALUE!</v>
      </c>
      <c r="CL52" s="14" t="str">
        <f t="shared" si="450"/>
        <v>#VALUE!</v>
      </c>
      <c r="CM52" s="83" t="str">
        <f>CL52-CK52</f>
        <v>#VALUE!</v>
      </c>
      <c r="CN52" s="84" t="str">
        <f t="shared" ref="CN52:CO52" si="451">SUM(CN53:CN55)</f>
        <v>#VALUE!</v>
      </c>
      <c r="CO52" s="13" t="str">
        <f t="shared" si="451"/>
        <v>#VALUE!</v>
      </c>
      <c r="CP52" s="85" t="str">
        <f>CO52-CN52</f>
        <v>#VALUE!</v>
      </c>
      <c r="CQ52" s="82" t="str">
        <f t="shared" ref="CQ52:CR52" si="452">SUM(CQ53:CQ55)</f>
        <v>#VALUE!</v>
      </c>
      <c r="CR52" s="14" t="str">
        <f t="shared" si="452"/>
        <v>#VALUE!</v>
      </c>
      <c r="CS52" s="83" t="str">
        <f>CR52-CQ52</f>
        <v>#VALUE!</v>
      </c>
      <c r="CT52" s="84" t="str">
        <f t="shared" ref="CT52:CU52" si="453">SUM(CT53:CT55)</f>
        <v>#VALUE!</v>
      </c>
      <c r="CU52" s="13" t="str">
        <f t="shared" si="453"/>
        <v>#VALUE!</v>
      </c>
      <c r="CV52" s="85" t="str">
        <f>CU52-CT52</f>
        <v>#VALUE!</v>
      </c>
      <c r="CW52" s="82" t="str">
        <f t="shared" ref="CW52:CX52" si="454">SUM(CW53:CW55)</f>
        <v>#VALUE!</v>
      </c>
      <c r="CX52" s="14" t="str">
        <f t="shared" si="454"/>
        <v>#VALUE!</v>
      </c>
      <c r="CY52" s="83" t="str">
        <f>CX52-CW52</f>
        <v>#VALUE!</v>
      </c>
      <c r="CZ52" s="84" t="str">
        <f t="shared" ref="CZ52:DA52" si="455">SUM(CZ53:CZ55)</f>
        <v>#VALUE!</v>
      </c>
      <c r="DA52" s="13" t="str">
        <f t="shared" si="455"/>
        <v>#VALUE!</v>
      </c>
      <c r="DB52" s="85" t="str">
        <f>DA52-CZ52</f>
        <v>#VALUE!</v>
      </c>
      <c r="DC52" s="82" t="str">
        <f t="shared" ref="DC52:DD52" si="456">SUM(DC53:DC55)</f>
        <v>#VALUE!</v>
      </c>
      <c r="DD52" s="14" t="str">
        <f t="shared" si="456"/>
        <v>#VALUE!</v>
      </c>
      <c r="DE52" s="83" t="str">
        <f>DD52-DC52</f>
        <v>#VALUE!</v>
      </c>
      <c r="DF52" s="84" t="str">
        <f t="shared" ref="DF52:DG52" si="457">SUM(DF53:DF55)</f>
        <v>#VALUE!</v>
      </c>
      <c r="DG52" s="13" t="str">
        <f t="shared" si="457"/>
        <v>#VALUE!</v>
      </c>
      <c r="DH52" s="85" t="str">
        <f>DG52-DF52</f>
        <v>#VALUE!</v>
      </c>
      <c r="DI52" s="82" t="str">
        <f t="shared" ref="DI52:DJ52" si="458">SUM(DI53:DI55)</f>
        <v>#VALUE!</v>
      </c>
      <c r="DJ52" s="14" t="str">
        <f t="shared" si="458"/>
        <v>#VALUE!</v>
      </c>
      <c r="DK52" s="83" t="str">
        <f>DJ52-DI52</f>
        <v>#VALUE!</v>
      </c>
      <c r="DL52" s="84" t="str">
        <f t="shared" ref="DL52:DM52" si="459">SUM(DL53:DL55)</f>
        <v>#VALUE!</v>
      </c>
      <c r="DM52" s="13" t="str">
        <f t="shared" si="459"/>
        <v>#VALUE!</v>
      </c>
      <c r="DN52" s="85" t="str">
        <f>DM52-DL52</f>
        <v>#VALUE!</v>
      </c>
      <c r="DO52" s="82" t="str">
        <f t="shared" ref="DO52:DP52" si="460">SUM(DO53:DO55)</f>
        <v>#VALUE!</v>
      </c>
      <c r="DP52" s="14" t="str">
        <f t="shared" si="460"/>
        <v>#VALUE!</v>
      </c>
      <c r="DQ52" s="83" t="str">
        <f>DP52-DO52</f>
        <v>#VALUE!</v>
      </c>
      <c r="DR52" s="84" t="str">
        <f t="shared" ref="DR52:DS52" si="461">SUM(DR53:DR55)</f>
        <v>#VALUE!</v>
      </c>
      <c r="DS52" s="13" t="str">
        <f t="shared" si="461"/>
        <v>#VALUE!</v>
      </c>
      <c r="DT52" s="85" t="str">
        <f>DS52-DR52</f>
        <v>#VALUE!</v>
      </c>
      <c r="DU52" s="82" t="str">
        <f t="shared" ref="DU52:DV52" si="462">SUM(DU53:DU55)</f>
        <v>#VALUE!</v>
      </c>
      <c r="DV52" s="14" t="str">
        <f t="shared" si="462"/>
        <v>#VALUE!</v>
      </c>
      <c r="DW52" s="83" t="str">
        <f>DV52-DU52</f>
        <v>#VALUE!</v>
      </c>
      <c r="DX52" s="84" t="str">
        <f t="shared" ref="DX52:DY52" si="463">SUM(DX53:DX55)</f>
        <v>#VALUE!</v>
      </c>
      <c r="DY52" s="13" t="str">
        <f t="shared" si="463"/>
        <v>#VALUE!</v>
      </c>
      <c r="DZ52" s="85" t="str">
        <f>DY52-DX52</f>
        <v>#VALUE!</v>
      </c>
      <c r="EA52" s="82" t="str">
        <f t="shared" ref="EA52:EB52" si="464">SUM(EA53:EA55)</f>
        <v>#VALUE!</v>
      </c>
      <c r="EB52" s="14" t="str">
        <f t="shared" si="464"/>
        <v>#VALUE!</v>
      </c>
      <c r="EC52" s="83" t="str">
        <f>EB52-EA52</f>
        <v>#VALUE!</v>
      </c>
      <c r="ED52" s="84" t="str">
        <f t="shared" ref="ED52:EE52" si="465">SUM(ED53:ED55)</f>
        <v>#VALUE!</v>
      </c>
      <c r="EE52" s="13" t="str">
        <f t="shared" si="465"/>
        <v>#VALUE!</v>
      </c>
      <c r="EF52" s="85" t="str">
        <f>EE52-ED52</f>
        <v>#VALUE!</v>
      </c>
      <c r="EG52" s="82" t="str">
        <f t="shared" ref="EG52:EH52" si="466">SUM(EG53:EG55)</f>
        <v>#VALUE!</v>
      </c>
      <c r="EH52" s="14" t="str">
        <f t="shared" si="466"/>
        <v>#VALUE!</v>
      </c>
      <c r="EI52" s="83" t="str">
        <f>EH52-EG52</f>
        <v>#VALUE!</v>
      </c>
      <c r="EJ52" s="84" t="str">
        <f t="shared" ref="EJ52:EK52" si="467">SUM(EJ53:EJ55)</f>
        <v>#VALUE!</v>
      </c>
      <c r="EK52" s="13" t="str">
        <f t="shared" si="467"/>
        <v>#VALUE!</v>
      </c>
      <c r="EL52" s="85" t="str">
        <f>EK52-EJ52</f>
        <v>#VALUE!</v>
      </c>
      <c r="EM52" s="82" t="str">
        <f t="shared" ref="EM52:EN52" si="468">SUM(EM53:EM55)</f>
        <v>#VALUE!</v>
      </c>
      <c r="EN52" s="14" t="str">
        <f t="shared" si="468"/>
        <v>#VALUE!</v>
      </c>
      <c r="EO52" s="83" t="str">
        <f>EN52-EM52</f>
        <v>#VALUE!</v>
      </c>
      <c r="EP52" s="84" t="str">
        <f t="shared" ref="EP52:EQ52" si="469">SUM(EP53:EP55)</f>
        <v>#VALUE!</v>
      </c>
      <c r="EQ52" s="13" t="str">
        <f t="shared" si="469"/>
        <v>#VALUE!</v>
      </c>
      <c r="ER52" s="85" t="str">
        <f>EQ52-EP52</f>
        <v>#VALUE!</v>
      </c>
      <c r="ES52" s="82" t="str">
        <f t="shared" ref="ES52:ET52" si="470">SUM(ES53:ES55)</f>
        <v>#VALUE!</v>
      </c>
      <c r="ET52" s="14" t="str">
        <f t="shared" si="470"/>
        <v>#VALUE!</v>
      </c>
      <c r="EU52" s="83" t="str">
        <f>ET52-ES52</f>
        <v>#VALUE!</v>
      </c>
      <c r="EV52" s="84" t="str">
        <f t="shared" ref="EV52:EW52" si="471">SUM(EV53:EV55)</f>
        <v>#VALUE!</v>
      </c>
      <c r="EW52" s="13" t="str">
        <f t="shared" si="471"/>
        <v>#VALUE!</v>
      </c>
      <c r="EX52" s="85" t="str">
        <f>EW52-EV52</f>
        <v>#VALUE!</v>
      </c>
      <c r="EY52" s="82" t="str">
        <f t="shared" ref="EY52:EZ52" si="472">SUM(EY53:EY55)</f>
        <v>#VALUE!</v>
      </c>
      <c r="EZ52" s="14" t="str">
        <f t="shared" si="472"/>
        <v>#VALUE!</v>
      </c>
      <c r="FA52" s="83" t="str">
        <f>EZ52-EY52</f>
        <v>#VALUE!</v>
      </c>
      <c r="FB52" s="84" t="str">
        <f t="shared" ref="FB52:FC52" si="473">SUM(FB53:FB55)</f>
        <v>#VALUE!</v>
      </c>
      <c r="FC52" s="13" t="str">
        <f t="shared" si="473"/>
        <v>#VALUE!</v>
      </c>
      <c r="FD52" s="85" t="str">
        <f>FC52-FB52</f>
        <v>#VALUE!</v>
      </c>
      <c r="FE52" s="82" t="str">
        <f t="shared" ref="FE52:FF52" si="474">SUM(FE53:FE55)</f>
        <v>#VALUE!</v>
      </c>
      <c r="FF52" s="14" t="str">
        <f t="shared" si="474"/>
        <v>#VALUE!</v>
      </c>
      <c r="FG52" s="83" t="str">
        <f>FF52-FE52</f>
        <v>#VALUE!</v>
      </c>
      <c r="FH52" s="84" t="str">
        <f t="shared" ref="FH52:FI52" si="475">SUM(FH53:FH55)</f>
        <v>#VALUE!</v>
      </c>
      <c r="FI52" s="13" t="str">
        <f t="shared" si="475"/>
        <v>#VALUE!</v>
      </c>
      <c r="FJ52" s="85" t="str">
        <f>FI52-FH52</f>
        <v>#VALUE!</v>
      </c>
    </row>
    <row r="53" ht="15.75" customHeight="1">
      <c r="A53" s="5" t="str">
        <f>Menus!Q2</f>
        <v/>
      </c>
      <c r="B53" s="16" t="str">
        <f t="shared" ref="B53:B55" si="478">SUMIF($H$2:FJ$2,$H$2,H53:FJ53)</f>
        <v>#VALUE!</v>
      </c>
      <c r="C53" s="16" t="str">
        <f t="shared" ref="C53:C55" si="479">SUMIF($H$2:FJ$2,$I$2,H53:FJ53)</f>
        <v>#VALUE!</v>
      </c>
      <c r="D53" s="16" t="str">
        <f t="shared" si="476"/>
        <v>#VALUE!</v>
      </c>
      <c r="E53" s="109" t="str">
        <f t="array" ref="E53">SUM(SUMIFS(INDIRECT($A$3) ,OtrosR!$C$3:$C66,$A53,OtrosR!$B$3:$B66,E$1))</f>
        <v>#VALUE!</v>
      </c>
      <c r="F53" s="15" t="str">
        <f t="array" ref="F53">SUM(SUMIFS(INDIRECT($A$5) ,OtrosR!$C$3:$C66,$A53,OtrosR!$B$3:$B66,E$1))</f>
        <v>#VALUE!</v>
      </c>
      <c r="G53" s="89" t="str">
        <f t="shared" si="477"/>
        <v>#VALUE!</v>
      </c>
      <c r="H53" s="90" t="str">
        <f t="array" ref="H53">SUM(SUMIFS(INDIRECT($A$3) ,OtrosR!$C$3:$C66,$A53,OtrosR!$B$3:$B66,H$1))</f>
        <v>#VALUE!</v>
      </c>
      <c r="I53" s="55" t="str">
        <f t="array" ref="I53">SUM(SUMIFS(INDIRECT($A$5) ,OtrosR!$C$3:$C66,$A53,OtrosR!$B$3:$B66,H$1))</f>
        <v>#VALUE!</v>
      </c>
      <c r="J53" s="92" t="str">
        <f t="shared" ref="J53:J55" si="480">IFERROR(H53-I53,"")</f>
        <v/>
      </c>
      <c r="K53" s="93" t="str">
        <f t="array" ref="K53">SUM(SUMIFS(INDIRECT($A$3) ,OtrosR!$C$3:$C66,$A53,OtrosR!$B$3:$B66,K$1))</f>
        <v>#VALUE!</v>
      </c>
      <c r="L53" s="17" t="str">
        <f t="array" ref="L53">SUM(SUMIFS(INDIRECT($A$5) ,OtrosR!$C$3:$C66,$A53,OtrosR!$B$3:$B66,K$1))</f>
        <v>#VALUE!</v>
      </c>
      <c r="M53" s="95" t="str">
        <f t="shared" ref="M53:M55" si="481">IFERROR(K53-L53,"")</f>
        <v/>
      </c>
      <c r="N53" s="96" t="str">
        <f t="array" ref="N53">SUM(SUMIFS(INDIRECT($A$3) ,OtrosR!$C$3:$C66,$A53,OtrosR!$B$3:$B66,N$1))</f>
        <v>#VALUE!</v>
      </c>
      <c r="O53" s="16" t="str">
        <f t="array" ref="O53">SUM(SUMIFS(INDIRECT($A$5) ,OtrosR!$C$3:$C66,$A53,OtrosR!$B$3:$B66,N$1))</f>
        <v>#VALUE!</v>
      </c>
      <c r="P53" s="98" t="str">
        <f t="shared" ref="P53:P55" si="482">IFERROR(N53-O53,"")</f>
        <v/>
      </c>
      <c r="Q53" s="93" t="str">
        <f t="array" ref="Q53">SUM(SUMIFS(INDIRECT($A$3) ,OtrosR!$C$3:$C66,$A53,OtrosR!$B$3:$B66,Q$1))</f>
        <v>#VALUE!</v>
      </c>
      <c r="R53" s="17" t="str">
        <f t="array" ref="R53">SUM(SUMIFS(INDIRECT($A$5) ,OtrosR!$C$3:$C66,$A53,OtrosR!$B$3:$B66,Q$1))</f>
        <v>#VALUE!</v>
      </c>
      <c r="S53" s="95" t="str">
        <f t="shared" ref="S53:S55" si="483">IFERROR(Q53-R53,"")</f>
        <v/>
      </c>
      <c r="T53" s="96" t="str">
        <f t="array" ref="T53">SUM(SUMIFS(INDIRECT($A$3) ,OtrosR!$C$3:$C66,$A53,OtrosR!$B$3:$B66,T$1))</f>
        <v>#VALUE!</v>
      </c>
      <c r="U53" s="16" t="str">
        <f t="array" ref="U53">SUM(SUMIFS(INDIRECT($A$5) ,OtrosR!$C$3:$C66,$A53,OtrosR!$B$3:$B66,T$1))</f>
        <v>#VALUE!</v>
      </c>
      <c r="V53" s="98" t="str">
        <f t="shared" ref="V53:V55" si="484">IFERROR(T53-U53,"")</f>
        <v/>
      </c>
      <c r="W53" s="93" t="str">
        <f t="array" ref="W53">SUM(SUMIFS(INDIRECT($A$3) ,OtrosR!$C$3:$C66,$A53,OtrosR!$B$3:$B66,W$1))</f>
        <v>#VALUE!</v>
      </c>
      <c r="X53" s="17" t="str">
        <f t="array" ref="X53">SUM(SUMIFS(INDIRECT($A$5) ,OtrosR!$C$3:$C66,$A53,OtrosR!$B$3:$B66,W$1))</f>
        <v>#VALUE!</v>
      </c>
      <c r="Y53" s="95" t="str">
        <f t="shared" ref="Y53:Y55" si="485">IFERROR(W53-X53,"")</f>
        <v/>
      </c>
      <c r="Z53" s="96" t="str">
        <f t="array" ref="Z53">SUM(SUMIFS(INDIRECT($A$3) ,OtrosR!$C$3:$C66,$A53,OtrosR!$B$3:$B66,Z$1))</f>
        <v>#VALUE!</v>
      </c>
      <c r="AA53" s="16" t="str">
        <f t="array" ref="AA53">SUM(SUMIFS(INDIRECT($A$5) ,OtrosR!$C$3:$C66,$A53,OtrosR!$B$3:$B66,Z$1))</f>
        <v>#VALUE!</v>
      </c>
      <c r="AB53" s="98" t="str">
        <f t="shared" ref="AB53:AB55" si="486">IFERROR(Z53-AA53,"")</f>
        <v/>
      </c>
      <c r="AC53" s="93" t="str">
        <f t="array" ref="AC53">SUM(SUMIFS(INDIRECT($A$3) ,OtrosR!$C$3:$C66,$A53,OtrosR!$B$3:$B66,AC$1))</f>
        <v>#VALUE!</v>
      </c>
      <c r="AD53" s="17" t="str">
        <f t="array" ref="AD53">SUM(SUMIFS(INDIRECT($A$5) ,OtrosR!$C$3:$C66,$A53,OtrosR!$B$3:$B66,AC$1))</f>
        <v>#VALUE!</v>
      </c>
      <c r="AE53" s="95" t="str">
        <f t="shared" ref="AE53:AE55" si="487">IFERROR(AC53-AD53,"")</f>
        <v/>
      </c>
      <c r="AF53" s="96" t="str">
        <f t="array" ref="AF53">SUM(SUMIFS(INDIRECT($A$3) ,OtrosR!$C$3:$C66,$A53,OtrosR!$B$3:$B66,AF$1))</f>
        <v>#VALUE!</v>
      </c>
      <c r="AG53" s="16" t="str">
        <f t="array" ref="AG53">SUM(SUMIFS(INDIRECT($A$5) ,OtrosR!$C$3:$C66,$A53,OtrosR!$B$3:$B66,AF$1))</f>
        <v>#VALUE!</v>
      </c>
      <c r="AH53" s="98" t="str">
        <f t="shared" ref="AH53:AH55" si="488">IFERROR(AF53-AG53,"")</f>
        <v/>
      </c>
      <c r="AI53" s="93" t="str">
        <f t="array" ref="AI53">SUM(SUMIFS(INDIRECT($A$3) ,OtrosR!$C$3:$C66,$A53,OtrosR!$B$3:$B66,AI$1))</f>
        <v>#VALUE!</v>
      </c>
      <c r="AJ53" s="17" t="str">
        <f t="array" ref="AJ53">SUM(SUMIFS(INDIRECT($A$5) ,OtrosR!$C$3:$C66,$A53,OtrosR!$B$3:$B66,AI$1))</f>
        <v>#VALUE!</v>
      </c>
      <c r="AK53" s="95" t="str">
        <f t="shared" ref="AK53:AK55" si="489">IFERROR(AI53-AJ53,"")</f>
        <v/>
      </c>
      <c r="AL53" s="96" t="str">
        <f t="array" ref="AL53">SUM(SUMIFS(INDIRECT($A$3) ,OtrosR!$C$3:$C66,$A53,OtrosR!$B$3:$B66,AL$1))</f>
        <v>#VALUE!</v>
      </c>
      <c r="AM53" s="16" t="str">
        <f t="array" ref="AM53">SUM(SUMIFS(INDIRECT($A$5) ,OtrosR!$C$3:$C66,$A53,OtrosR!$B$3:$B66,AL$1))</f>
        <v>#VALUE!</v>
      </c>
      <c r="AN53" s="98" t="str">
        <f t="shared" ref="AN53:AN55" si="490">IFERROR(AL53-AM53,"")</f>
        <v/>
      </c>
      <c r="AO53" s="93" t="str">
        <f t="array" ref="AO53">SUM(SUMIFS(INDIRECT($A$3) ,OtrosR!$C$3:$C66,$A53,OtrosR!$B$3:$B66,AO$1))</f>
        <v>#VALUE!</v>
      </c>
      <c r="AP53" s="17" t="str">
        <f t="array" ref="AP53">SUM(SUMIFS(INDIRECT($A$5) ,OtrosR!$C$3:$C66,$A53,OtrosR!$B$3:$B66,AO$1))</f>
        <v>#VALUE!</v>
      </c>
      <c r="AQ53" s="95" t="str">
        <f t="shared" ref="AQ53:AQ55" si="491">IFERROR(AO53-AP53,"")</f>
        <v/>
      </c>
      <c r="AR53" s="96" t="str">
        <f t="array" ref="AR53">SUM(SUMIFS(INDIRECT($A$3) ,OtrosR!$C$3:$C66,$A53,OtrosR!$B$3:$B66,AR$1))</f>
        <v>#VALUE!</v>
      </c>
      <c r="AS53" s="16" t="str">
        <f t="array" ref="AS53">SUM(SUMIFS(INDIRECT($A$5) ,OtrosR!$C$3:$C66,$A53,OtrosR!$B$3:$B66,AR$1))</f>
        <v>#VALUE!</v>
      </c>
      <c r="AT53" s="98" t="str">
        <f t="shared" ref="AT53:AT55" si="492">IFERROR(AR53-AS53,"")</f>
        <v/>
      </c>
      <c r="AU53" s="93" t="str">
        <f t="array" ref="AU53">SUM(SUMIFS(INDIRECT($A$3) ,OtrosR!$C$3:$C66,$A53,OtrosR!$B$3:$B66,AU$1))</f>
        <v>#VALUE!</v>
      </c>
      <c r="AV53" s="17" t="str">
        <f t="array" ref="AV53">SUM(SUMIFS(INDIRECT($A$5) ,OtrosR!$C$3:$C66,$A53,OtrosR!$B$3:$B66,AU$1))</f>
        <v>#VALUE!</v>
      </c>
      <c r="AW53" s="95" t="str">
        <f t="shared" ref="AW53:AW55" si="493">IFERROR(AU53-AV53,"")</f>
        <v/>
      </c>
      <c r="AX53" s="96" t="str">
        <f t="array" ref="AX53">SUM(SUMIFS(INDIRECT($A$3) ,OtrosR!$C$3:$C66,$A53,OtrosR!$B$3:$B66,AX$1))</f>
        <v>#VALUE!</v>
      </c>
      <c r="AY53" s="16" t="str">
        <f t="array" ref="AY53">SUM(SUMIFS(INDIRECT($A$5) ,OtrosR!$C$3:$C66,$A53,OtrosR!$B$3:$B66,AX$1))</f>
        <v>#VALUE!</v>
      </c>
      <c r="AZ53" s="98" t="str">
        <f t="shared" ref="AZ53:AZ55" si="494">IFERROR(AX53-AY53,"")</f>
        <v/>
      </c>
      <c r="BA53" s="93" t="str">
        <f t="array" ref="BA53">SUM(SUMIFS(INDIRECT($A$3) ,OtrosR!$C$3:$C66,$A53,OtrosR!$B$3:$B66,BA$1))</f>
        <v>#VALUE!</v>
      </c>
      <c r="BB53" s="17" t="str">
        <f t="array" ref="BB53">SUM(SUMIFS(INDIRECT($A$5) ,OtrosR!$C$3:$C66,$A53,OtrosR!$B$3:$B66,BA$1))</f>
        <v>#VALUE!</v>
      </c>
      <c r="BC53" s="95" t="str">
        <f t="shared" ref="BC53:BC55" si="495">IFERROR(BA53-BB53,"")</f>
        <v/>
      </c>
      <c r="BD53" s="96" t="str">
        <f t="array" ref="BD53">SUM(SUMIFS(INDIRECT($A$3) ,OtrosR!$C$3:$C66,$A53,OtrosR!$B$3:$B66,BD$1))</f>
        <v>#VALUE!</v>
      </c>
      <c r="BE53" s="16" t="str">
        <f t="array" ref="BE53">SUM(SUMIFS(INDIRECT($A$5) ,OtrosR!$C$3:$C66,$A53,OtrosR!$B$3:$B66,BD$1))</f>
        <v>#VALUE!</v>
      </c>
      <c r="BF53" s="98" t="str">
        <f t="shared" ref="BF53:BF55" si="496">IFERROR(BD53-BE53,"")</f>
        <v/>
      </c>
      <c r="BG53" s="93" t="str">
        <f t="array" ref="BG53">SUM(SUMIFS(INDIRECT($A$3) ,OtrosR!$C$3:$C66,$A53,OtrosR!$B$3:$B66,BG$1))</f>
        <v>#VALUE!</v>
      </c>
      <c r="BH53" s="17" t="str">
        <f t="array" ref="BH53">SUM(SUMIFS(INDIRECT($A$5) ,OtrosR!$C$3:$C66,$A53,OtrosR!$B$3:$B66,BG$1))</f>
        <v>#VALUE!</v>
      </c>
      <c r="BI53" s="95" t="str">
        <f t="shared" ref="BI53:BI55" si="497">IFERROR(BG53-BH53,"")</f>
        <v/>
      </c>
      <c r="BJ53" s="96" t="str">
        <f t="array" ref="BJ53">SUM(SUMIFS(INDIRECT($A$3) ,OtrosR!$C$3:$C66,$A53,OtrosR!$B$3:$B66,BJ$1))</f>
        <v>#VALUE!</v>
      </c>
      <c r="BK53" s="16" t="str">
        <f t="array" ref="BK53">SUM(SUMIFS(INDIRECT($A$5) ,OtrosR!$C$3:$C66,$A53,OtrosR!$B$3:$B66,BJ$1))</f>
        <v>#VALUE!</v>
      </c>
      <c r="BL53" s="98" t="str">
        <f t="shared" ref="BL53:BL55" si="498">IFERROR(BJ53-BK53,"")</f>
        <v/>
      </c>
      <c r="BM53" s="93" t="str">
        <f t="array" ref="BM53">SUM(SUMIFS(INDIRECT($A$3) ,OtrosR!$C$3:$C66,$A53,OtrosR!$B$3:$B66,BM$1))</f>
        <v>#VALUE!</v>
      </c>
      <c r="BN53" s="17" t="str">
        <f t="array" ref="BN53">SUM(SUMIFS(INDIRECT($A$5) ,OtrosR!$C$3:$C66,$A53,OtrosR!$B$3:$B66,BM$1))</f>
        <v>#VALUE!</v>
      </c>
      <c r="BO53" s="95" t="str">
        <f t="shared" ref="BO53:BO55" si="499">IFERROR(BM53-BN53,"")</f>
        <v/>
      </c>
      <c r="BP53" s="96" t="str">
        <f t="array" ref="BP53">SUM(SUMIFS(INDIRECT($A$3) ,OtrosR!$C$3:$C66,$A53,OtrosR!$B$3:$B66,BP$1))</f>
        <v>#VALUE!</v>
      </c>
      <c r="BQ53" s="16" t="str">
        <f t="array" ref="BQ53">SUM(SUMIFS(INDIRECT($A$5) ,OtrosR!$C$3:$C66,$A53,OtrosR!$B$3:$B66,BP$1))</f>
        <v>#VALUE!</v>
      </c>
      <c r="BR53" s="98" t="str">
        <f t="shared" ref="BR53:BR55" si="500">IFERROR(BP53-BQ53,"")</f>
        <v/>
      </c>
      <c r="BS53" s="93" t="str">
        <f t="array" ref="BS53">SUM(SUMIFS(INDIRECT($A$3) ,OtrosR!$C$3:$C66,$A53,OtrosR!$B$3:$B66,BS$1))</f>
        <v>#VALUE!</v>
      </c>
      <c r="BT53" s="17" t="str">
        <f t="array" ref="BT53">SUM(SUMIFS(INDIRECT($A$5) ,OtrosR!$C$3:$C66,$A53,OtrosR!$B$3:$B66,BS$1))</f>
        <v>#VALUE!</v>
      </c>
      <c r="BU53" s="95" t="str">
        <f t="shared" ref="BU53:BU55" si="501">IFERROR(BS53-BT53,"")</f>
        <v/>
      </c>
      <c r="BV53" s="96" t="str">
        <f t="array" ref="BV53">SUM(SUMIFS(INDIRECT($A$3) ,OtrosR!$C$3:$C66,$A53,OtrosR!$B$3:$B66,BV$1))</f>
        <v>#VALUE!</v>
      </c>
      <c r="BW53" s="16" t="str">
        <f t="array" ref="BW53">SUM(SUMIFS(INDIRECT($A$5) ,OtrosR!$C$3:$C66,$A53,OtrosR!$B$3:$B66,BV$1))</f>
        <v>#VALUE!</v>
      </c>
      <c r="BX53" s="98" t="str">
        <f t="shared" ref="BX53:BX55" si="502">IFERROR(BV53-BW53,"")</f>
        <v/>
      </c>
      <c r="BY53" s="93" t="str">
        <f t="array" ref="BY53">SUM(SUMIFS(INDIRECT($A$3) ,OtrosR!$C$3:$C66,$A53,OtrosR!$B$3:$B66,BY$1))</f>
        <v>#VALUE!</v>
      </c>
      <c r="BZ53" s="17" t="str">
        <f t="array" ref="BZ53">SUM(SUMIFS(INDIRECT($A$5) ,OtrosR!$C$3:$C66,$A53,OtrosR!$B$3:$B66,BY$1))</f>
        <v>#VALUE!</v>
      </c>
      <c r="CA53" s="95" t="str">
        <f t="shared" ref="CA53:CA55" si="503">IFERROR(BY53-BZ53,"")</f>
        <v/>
      </c>
      <c r="CB53" s="96" t="str">
        <f t="array" ref="CB53">SUM(SUMIFS(INDIRECT($A$3) ,OtrosR!$C$3:$C66,$A53,OtrosR!$B$3:$B66,CB$1))</f>
        <v>#VALUE!</v>
      </c>
      <c r="CC53" s="16" t="str">
        <f t="array" ref="CC53">SUM(SUMIFS(INDIRECT($A$5) ,OtrosR!$C$3:$C66,$A53,OtrosR!$B$3:$B66,CB$1))</f>
        <v>#VALUE!</v>
      </c>
      <c r="CD53" s="98" t="str">
        <f t="shared" ref="CD53:CD55" si="504">IFERROR(CB53-CC53,"")</f>
        <v/>
      </c>
      <c r="CE53" s="93" t="str">
        <f t="array" ref="CE53">SUM(SUMIFS(INDIRECT($A$3) ,OtrosR!$C$3:$C66,$A53,OtrosR!$B$3:$B66,CE$1))</f>
        <v>#VALUE!</v>
      </c>
      <c r="CF53" s="17" t="str">
        <f t="array" ref="CF53">SUM(SUMIFS(INDIRECT($A$5) ,OtrosR!$C$3:$C66,$A53,OtrosR!$B$3:$B66,CE$1))</f>
        <v>#VALUE!</v>
      </c>
      <c r="CG53" s="95" t="str">
        <f t="shared" ref="CG53:CG55" si="505">IFERROR(CE53-CF53,"")</f>
        <v/>
      </c>
      <c r="CH53" s="96" t="str">
        <f t="array" ref="CH53">SUM(SUMIFS(INDIRECT($A$3) ,OtrosR!$C$3:$C66,$A53,OtrosR!$B$3:$B66,CH$1))</f>
        <v>#VALUE!</v>
      </c>
      <c r="CI53" s="16" t="str">
        <f t="array" ref="CI53">SUM(SUMIFS(INDIRECT($A$5) ,OtrosR!$C$3:$C66,$A53,OtrosR!$B$3:$B66,CH$1))</f>
        <v>#VALUE!</v>
      </c>
      <c r="CJ53" s="98" t="str">
        <f t="shared" ref="CJ53:CJ55" si="506">IFERROR(CH53-CI53,"")</f>
        <v/>
      </c>
      <c r="CK53" s="93" t="str">
        <f t="array" ref="CK53">SUM(SUMIFS(INDIRECT($A$3) ,OtrosR!$C$3:$C66,$A53,OtrosR!$B$3:$B66,CK$1))</f>
        <v>#VALUE!</v>
      </c>
      <c r="CL53" s="17" t="str">
        <f t="array" ref="CL53">SUM(SUMIFS(INDIRECT($A$5) ,OtrosR!$C$3:$C66,$A53,OtrosR!$B$3:$B66,CK$1))</f>
        <v>#VALUE!</v>
      </c>
      <c r="CM53" s="95" t="str">
        <f t="shared" ref="CM53:CM55" si="507">IFERROR(CK53-CL53,"")</f>
        <v/>
      </c>
      <c r="CN53" s="96" t="str">
        <f t="array" ref="CN53">SUM(SUMIFS(INDIRECT($A$3) ,OtrosR!$C$3:$C66,$A53,OtrosR!$B$3:$B66,CN$1))</f>
        <v>#VALUE!</v>
      </c>
      <c r="CO53" s="16" t="str">
        <f t="array" ref="CO53">SUM(SUMIFS(INDIRECT($A$5) ,OtrosR!$C$3:$C66,$A53,OtrosR!$B$3:$B66,CN$1))</f>
        <v>#VALUE!</v>
      </c>
      <c r="CP53" s="98" t="str">
        <f t="shared" ref="CP53:CP55" si="508">IFERROR(CN53-CO53,"")</f>
        <v/>
      </c>
      <c r="CQ53" s="93" t="str">
        <f t="array" ref="CQ53">SUM(SUMIFS(INDIRECT($A$3) ,OtrosR!$C$3:$C66,$A53,OtrosR!$B$3:$B66,CQ$1))</f>
        <v>#VALUE!</v>
      </c>
      <c r="CR53" s="17" t="str">
        <f t="array" ref="CR53">SUM(SUMIFS(INDIRECT($A$5) ,OtrosR!$C$3:$C66,$A53,OtrosR!$B$3:$B66,CQ$1))</f>
        <v>#VALUE!</v>
      </c>
      <c r="CS53" s="95" t="str">
        <f t="shared" ref="CS53:CS55" si="509">IFERROR(CQ53-CR53,"")</f>
        <v/>
      </c>
      <c r="CT53" s="96" t="str">
        <f t="array" ref="CT53">SUM(SUMIFS(INDIRECT($A$3) ,OtrosR!$C$3:$C66,$A53,OtrosR!$B$3:$B66,CT$1))</f>
        <v>#VALUE!</v>
      </c>
      <c r="CU53" s="16" t="str">
        <f t="array" ref="CU53">SUM(SUMIFS(INDIRECT($A$5) ,OtrosR!$C$3:$C66,$A53,OtrosR!$B$3:$B66,CT$1))</f>
        <v>#VALUE!</v>
      </c>
      <c r="CV53" s="98" t="str">
        <f t="shared" ref="CV53:CV55" si="510">IFERROR(CT53-CU53,"")</f>
        <v/>
      </c>
      <c r="CW53" s="93" t="str">
        <f t="array" ref="CW53">SUM(SUMIFS(INDIRECT($A$3) ,OtrosR!$C$3:$C66,$A53,OtrosR!$B$3:$B66,CW$1))</f>
        <v>#VALUE!</v>
      </c>
      <c r="CX53" s="17" t="str">
        <f t="array" ref="CX53">SUM(SUMIFS(INDIRECT($A$5) ,OtrosR!$C$3:$C66,$A53,OtrosR!$B$3:$B66,CW$1))</f>
        <v>#VALUE!</v>
      </c>
      <c r="CY53" s="95" t="str">
        <f t="shared" ref="CY53:CY55" si="511">IFERROR(CW53-CX53,"")</f>
        <v/>
      </c>
      <c r="CZ53" s="96" t="str">
        <f t="array" ref="CZ53">SUM(SUMIFS(INDIRECT($A$3) ,OtrosR!$C$3:$C66,$A53,OtrosR!$B$3:$B66,CZ$1))</f>
        <v>#VALUE!</v>
      </c>
      <c r="DA53" s="16" t="str">
        <f t="array" ref="DA53">SUM(SUMIFS(INDIRECT($A$5) ,OtrosR!$C$3:$C66,$A53,OtrosR!$B$3:$B66,CZ$1))</f>
        <v>#VALUE!</v>
      </c>
      <c r="DB53" s="98" t="str">
        <f t="shared" ref="DB53:DB55" si="512">IFERROR(CZ53-DA53,"")</f>
        <v/>
      </c>
      <c r="DC53" s="93" t="str">
        <f t="array" ref="DC53">SUM(SUMIFS(INDIRECT($A$3) ,OtrosR!$C$3:$C66,$A53,OtrosR!$B$3:$B66,DC$1))</f>
        <v>#VALUE!</v>
      </c>
      <c r="DD53" s="17" t="str">
        <f t="array" ref="DD53">SUM(SUMIFS(INDIRECT($A$5) ,OtrosR!$C$3:$C66,$A53,OtrosR!$B$3:$B66,DC$1))</f>
        <v>#VALUE!</v>
      </c>
      <c r="DE53" s="95" t="str">
        <f t="shared" ref="DE53:DE55" si="513">IFERROR(DC53-DD53,"")</f>
        <v/>
      </c>
      <c r="DF53" s="96" t="str">
        <f t="array" ref="DF53">SUM(SUMIFS(INDIRECT($A$3) ,OtrosR!$C$3:$C66,$A53,OtrosR!$B$3:$B66,DF$1))</f>
        <v>#VALUE!</v>
      </c>
      <c r="DG53" s="16" t="str">
        <f t="array" ref="DG53">SUM(SUMIFS(INDIRECT($A$5) ,OtrosR!$C$3:$C66,$A53,OtrosR!$B$3:$B66,DF$1))</f>
        <v>#VALUE!</v>
      </c>
      <c r="DH53" s="98" t="str">
        <f t="shared" ref="DH53:DH55" si="514">IFERROR(DF53-DG53,"")</f>
        <v/>
      </c>
      <c r="DI53" s="93" t="str">
        <f t="array" ref="DI53">SUM(SUMIFS(INDIRECT($A$3) ,OtrosR!$C$3:$C66,$A53,OtrosR!$B$3:$B66,DI$1))</f>
        <v>#VALUE!</v>
      </c>
      <c r="DJ53" s="17" t="str">
        <f t="array" ref="DJ53">SUM(SUMIFS(INDIRECT($A$5) ,OtrosR!$C$3:$C66,$A53,OtrosR!$B$3:$B66,DI$1))</f>
        <v>#VALUE!</v>
      </c>
      <c r="DK53" s="95" t="str">
        <f t="shared" ref="DK53:DK55" si="515">IFERROR(DI53-DJ53,"")</f>
        <v/>
      </c>
      <c r="DL53" s="96" t="str">
        <f t="array" ref="DL53">SUM(SUMIFS(INDIRECT($A$3) ,OtrosR!$C$3:$C66,$A53,OtrosR!$B$3:$B66,DL$1))</f>
        <v>#VALUE!</v>
      </c>
      <c r="DM53" s="16" t="str">
        <f t="array" ref="DM53">SUM(SUMIFS(INDIRECT($A$5) ,OtrosR!$C$3:$C66,$A53,OtrosR!$B$3:$B66,DL$1))</f>
        <v>#VALUE!</v>
      </c>
      <c r="DN53" s="98" t="str">
        <f t="shared" ref="DN53:DN55" si="516">IFERROR(DL53-DM53,"")</f>
        <v/>
      </c>
      <c r="DO53" s="93" t="str">
        <f t="array" ref="DO53">SUM(SUMIFS(INDIRECT($A$3) ,OtrosR!$C$3:$C66,$A53,OtrosR!$B$3:$B66,DO$1))</f>
        <v>#VALUE!</v>
      </c>
      <c r="DP53" s="17" t="str">
        <f t="array" ref="DP53">SUM(SUMIFS(INDIRECT($A$5) ,OtrosR!$C$3:$C66,$A53,OtrosR!$B$3:$B66,DO$1))</f>
        <v>#VALUE!</v>
      </c>
      <c r="DQ53" s="95" t="str">
        <f t="shared" ref="DQ53:DQ55" si="517">IFERROR(DO53-DP53,"")</f>
        <v/>
      </c>
      <c r="DR53" s="96" t="str">
        <f t="array" ref="DR53">SUM(SUMIFS(INDIRECT($A$3) ,OtrosR!$C$3:$C66,$A53,OtrosR!$B$3:$B66,DR$1))</f>
        <v>#VALUE!</v>
      </c>
      <c r="DS53" s="16" t="str">
        <f t="array" ref="DS53">SUM(SUMIFS(INDIRECT($A$5) ,OtrosR!$C$3:$C66,$A53,OtrosR!$B$3:$B66,DR$1))</f>
        <v>#VALUE!</v>
      </c>
      <c r="DT53" s="98" t="str">
        <f t="shared" ref="DT53:DT55" si="518">IFERROR(DR53-DS53,"")</f>
        <v/>
      </c>
      <c r="DU53" s="93" t="str">
        <f t="array" ref="DU53">SUM(SUMIFS(INDIRECT($A$3) ,OtrosR!$C$3:$C66,$A53,OtrosR!$B$3:$B66,DU$1))</f>
        <v>#VALUE!</v>
      </c>
      <c r="DV53" s="17" t="str">
        <f t="array" ref="DV53">SUM(SUMIFS(INDIRECT($A$5) ,OtrosR!$C$3:$C66,$A53,OtrosR!$B$3:$B66,DU$1))</f>
        <v>#VALUE!</v>
      </c>
      <c r="DW53" s="95" t="str">
        <f t="shared" ref="DW53:DW55" si="519">IFERROR(DU53-DV53,"")</f>
        <v/>
      </c>
      <c r="DX53" s="96" t="str">
        <f t="array" ref="DX53">SUM(SUMIFS(INDIRECT($A$3) ,OtrosR!$C$3:$C66,$A53,OtrosR!$B$3:$B66,DX$1))</f>
        <v>#VALUE!</v>
      </c>
      <c r="DY53" s="16" t="str">
        <f t="array" ref="DY53">SUM(SUMIFS(INDIRECT($A$5) ,OtrosR!$C$3:$C66,$A53,OtrosR!$B$3:$B66,DX$1))</f>
        <v>#VALUE!</v>
      </c>
      <c r="DZ53" s="98" t="str">
        <f t="shared" ref="DZ53:DZ55" si="520">IFERROR(DX53-DY53,"")</f>
        <v/>
      </c>
      <c r="EA53" s="93" t="str">
        <f t="array" ref="EA53">SUM(SUMIFS(INDIRECT($A$3) ,OtrosR!$C$3:$C66,$A53,OtrosR!$B$3:$B66,EA$1))</f>
        <v>#VALUE!</v>
      </c>
      <c r="EB53" s="17" t="str">
        <f t="array" ref="EB53">SUM(SUMIFS(INDIRECT($A$5) ,OtrosR!$C$3:$C66,$A53,OtrosR!$B$3:$B66,EA$1))</f>
        <v>#VALUE!</v>
      </c>
      <c r="EC53" s="95" t="str">
        <f t="shared" ref="EC53:EC55" si="521">IFERROR(EA53-EB53,"")</f>
        <v/>
      </c>
      <c r="ED53" s="96" t="str">
        <f t="array" ref="ED53">SUM(SUMIFS(INDIRECT($A$3) ,OtrosR!$C$3:$C66,$A53,OtrosR!$B$3:$B66,ED$1))</f>
        <v>#VALUE!</v>
      </c>
      <c r="EE53" s="16" t="str">
        <f t="array" ref="EE53">SUM(SUMIFS(INDIRECT($A$5) ,OtrosR!$C$3:$C66,$A53,OtrosR!$B$3:$B66,ED$1))</f>
        <v>#VALUE!</v>
      </c>
      <c r="EF53" s="98" t="str">
        <f t="shared" ref="EF53:EF55" si="522">IFERROR(ED53-EE53,"")</f>
        <v/>
      </c>
      <c r="EG53" s="93" t="str">
        <f t="array" ref="EG53">SUM(SUMIFS(INDIRECT($A$3) ,OtrosR!$C$3:$C66,$A53,OtrosR!$B$3:$B66,EG$1))</f>
        <v>#VALUE!</v>
      </c>
      <c r="EH53" s="17" t="str">
        <f t="array" ref="EH53">SUM(SUMIFS(INDIRECT($A$5) ,OtrosR!$C$3:$C66,$A53,OtrosR!$B$3:$B66,EG$1))</f>
        <v>#VALUE!</v>
      </c>
      <c r="EI53" s="95" t="str">
        <f t="shared" ref="EI53:EI55" si="523">IFERROR(EG53-EH53,"")</f>
        <v/>
      </c>
      <c r="EJ53" s="96" t="str">
        <f t="array" ref="EJ53">SUM(SUMIFS(INDIRECT($A$3) ,OtrosR!$C$3:$C66,$A53,OtrosR!$B$3:$B66,EJ$1))</f>
        <v>#VALUE!</v>
      </c>
      <c r="EK53" s="16" t="str">
        <f t="array" ref="EK53">SUM(SUMIFS(INDIRECT($A$5) ,OtrosR!$C$3:$C66,$A53,OtrosR!$B$3:$B66,EJ$1))</f>
        <v>#VALUE!</v>
      </c>
      <c r="EL53" s="98" t="str">
        <f t="shared" ref="EL53:EL55" si="524">IFERROR(EJ53-EK53,"")</f>
        <v/>
      </c>
      <c r="EM53" s="93" t="str">
        <f t="array" ref="EM53">SUM(SUMIFS(INDIRECT($A$3) ,OtrosR!$C$3:$C66,$A53,OtrosR!$B$3:$B66,EM$1))</f>
        <v>#VALUE!</v>
      </c>
      <c r="EN53" s="17" t="str">
        <f t="array" ref="EN53">SUM(SUMIFS(INDIRECT($A$5) ,OtrosR!$C$3:$C66,$A53,OtrosR!$B$3:$B66,EM$1))</f>
        <v>#VALUE!</v>
      </c>
      <c r="EO53" s="95" t="str">
        <f t="shared" ref="EO53:EO55" si="525">IFERROR(EM53-EN53,"")</f>
        <v/>
      </c>
      <c r="EP53" s="96" t="str">
        <f t="array" ref="EP53">SUM(SUMIFS(INDIRECT($A$3) ,OtrosR!$C$3:$C66,$A53,OtrosR!$B$3:$B66,EP$1))</f>
        <v>#VALUE!</v>
      </c>
      <c r="EQ53" s="16" t="str">
        <f t="array" ref="EQ53">SUM(SUMIFS(INDIRECT($A$5) ,OtrosR!$C$3:$C66,$A53,OtrosR!$B$3:$B66,EP$1))</f>
        <v>#VALUE!</v>
      </c>
      <c r="ER53" s="98" t="str">
        <f t="shared" ref="ER53:ER55" si="526">IFERROR(EP53-EQ53,"")</f>
        <v/>
      </c>
      <c r="ES53" s="93" t="str">
        <f t="array" ref="ES53">SUM(SUMIFS(INDIRECT($A$3) ,OtrosR!$C$3:$C66,$A53,OtrosR!$B$3:$B66,ES$1))</f>
        <v>#VALUE!</v>
      </c>
      <c r="ET53" s="17" t="str">
        <f t="array" ref="ET53">SUM(SUMIFS(INDIRECT($A$5) ,OtrosR!$C$3:$C66,$A53,OtrosR!$B$3:$B66,ES$1))</f>
        <v>#VALUE!</v>
      </c>
      <c r="EU53" s="95" t="str">
        <f t="shared" ref="EU53:EU55" si="527">IFERROR(ES53-ET53,"")</f>
        <v/>
      </c>
      <c r="EV53" s="96" t="str">
        <f t="array" ref="EV53">SUM(SUMIFS(INDIRECT($A$3) ,OtrosR!$C$3:$C66,$A53,OtrosR!$B$3:$B66,EV$1))</f>
        <v>#VALUE!</v>
      </c>
      <c r="EW53" s="16" t="str">
        <f t="array" ref="EW53">SUM(SUMIFS(INDIRECT($A$5) ,OtrosR!$C$3:$C66,$A53,OtrosR!$B$3:$B66,EV$1))</f>
        <v>#VALUE!</v>
      </c>
      <c r="EX53" s="98" t="str">
        <f t="shared" ref="EX53:EX55" si="528">IFERROR(EV53-EW53,"")</f>
        <v/>
      </c>
      <c r="EY53" s="93" t="str">
        <f t="array" ref="EY53">SUM(SUMIFS(INDIRECT($A$3) ,OtrosR!$C$3:$C66,$A53,OtrosR!$B$3:$B66,EY$1))</f>
        <v>#VALUE!</v>
      </c>
      <c r="EZ53" s="17" t="str">
        <f t="array" ref="EZ53">SUM(SUMIFS(INDIRECT($A$5) ,OtrosR!$C$3:$C66,$A53,OtrosR!$B$3:$B66,EY$1))</f>
        <v>#VALUE!</v>
      </c>
      <c r="FA53" s="95" t="str">
        <f t="shared" ref="FA53:FA55" si="529">IFERROR(EY53-EZ53,"")</f>
        <v/>
      </c>
      <c r="FB53" s="96" t="str">
        <f t="array" ref="FB53">SUM(SUMIFS(INDIRECT($A$3) ,OtrosR!$C$3:$C66,$A53,OtrosR!$B$3:$B66,FB$1))</f>
        <v>#VALUE!</v>
      </c>
      <c r="FC53" s="16" t="str">
        <f t="array" ref="FC53">SUM(SUMIFS(INDIRECT($A$5) ,OtrosR!$C$3:$C66,$A53,OtrosR!$B$3:$B66,FB$1))</f>
        <v>#VALUE!</v>
      </c>
      <c r="FD53" s="98" t="str">
        <f t="shared" ref="FD53:FD55" si="530">IFERROR(FB53-FC53,"")</f>
        <v/>
      </c>
      <c r="FE53" s="93" t="str">
        <f t="array" ref="FE53">SUM(SUMIFS(INDIRECT($A$3) ,OtrosR!$C$3:$C66,$A53,OtrosR!$B$3:$B66,FE$1))</f>
        <v>#VALUE!</v>
      </c>
      <c r="FF53" s="17" t="str">
        <f t="array" ref="FF53">SUM(SUMIFS(INDIRECT($A$5) ,OtrosR!$C$3:$C66,$A53,OtrosR!$B$3:$B66,FE$1))</f>
        <v>#VALUE!</v>
      </c>
      <c r="FG53" s="95" t="str">
        <f t="shared" ref="FG53:FG55" si="531">IFERROR(FE53-FF53,"")</f>
        <v/>
      </c>
      <c r="FH53" s="96" t="str">
        <f t="array" ref="FH53">SUM(SUMIFS(INDIRECT($A$3) ,OtrosR!$C$3:$C66,$A53,OtrosR!$B$3:$B66,FH$1))</f>
        <v>#VALUE!</v>
      </c>
      <c r="FI53" s="16" t="str">
        <f t="array" ref="FI53">SUM(SUMIFS(INDIRECT($A$5) ,OtrosR!$C$3:$C66,$A53,OtrosR!$B$3:$B66,FH$1))</f>
        <v>#VALUE!</v>
      </c>
      <c r="FJ53" s="98" t="str">
        <f t="shared" ref="FJ53:FJ55" si="532">IFERROR(FH53-FI53,"")</f>
        <v/>
      </c>
    </row>
    <row r="54" ht="15.75" hidden="1" customHeight="1">
      <c r="A54" s="5"/>
      <c r="B54" s="16" t="str">
        <f t="shared" si="478"/>
        <v>#VALUE!</v>
      </c>
      <c r="C54" s="16" t="str">
        <f t="shared" si="479"/>
        <v>#VALUE!</v>
      </c>
      <c r="D54" s="16" t="str">
        <f t="shared" si="476"/>
        <v>#VALUE!</v>
      </c>
      <c r="E54" s="109" t="str">
        <f t="array" ref="E54">SUM(SUMIFS(INDIRECT($A$3) ,OtrosR!$C$3:$C66,$A54,OtrosR!$B$3:$B66,E$1))</f>
        <v>#VALUE!</v>
      </c>
      <c r="F54" s="15" t="str">
        <f t="array" ref="F54">SUM(SUMIFS(INDIRECT($A$5) ,OtrosR!$C$3:$C66,$A54,OtrosR!$B$3:$B66,E$1))</f>
        <v>#VALUE!</v>
      </c>
      <c r="G54" s="89" t="str">
        <f t="shared" si="477"/>
        <v>#VALUE!</v>
      </c>
      <c r="H54" s="90" t="str">
        <f t="array" ref="H54">SUM(SUMIFS(INDIRECT($A$3) ,OtrosR!$C$3:$C66,$A54,OtrosR!$B$3:$B66,H$1))</f>
        <v>#VALUE!</v>
      </c>
      <c r="I54" s="55" t="str">
        <f t="array" ref="I54">SUM(SUMIFS(INDIRECT($A$5) ,OtrosR!$C$3:$C66,$A54,OtrosR!$B$3:$B66,H$1))</f>
        <v>#VALUE!</v>
      </c>
      <c r="J54" s="92" t="str">
        <f t="shared" si="480"/>
        <v/>
      </c>
      <c r="K54" s="93" t="str">
        <f t="array" ref="K54">SUM(SUMIFS(INDIRECT($A$3) ,OtrosR!$C$3:$C66,$A54,OtrosR!$B$3:$B66,K$1))</f>
        <v>#VALUE!</v>
      </c>
      <c r="L54" s="17" t="str">
        <f t="array" ref="L54">SUM(SUMIFS(INDIRECT($A$5) ,OtrosR!$C$3:$C66,$A54,OtrosR!$B$3:$B66,K$1))</f>
        <v>#VALUE!</v>
      </c>
      <c r="M54" s="95" t="str">
        <f t="shared" si="481"/>
        <v/>
      </c>
      <c r="N54" s="96" t="str">
        <f t="array" ref="N54">SUM(SUMIFS(INDIRECT($A$3) ,OtrosR!$C$3:$C66,$A54,OtrosR!$B$3:$B66,N$1))</f>
        <v>#VALUE!</v>
      </c>
      <c r="O54" s="16" t="str">
        <f t="array" ref="O54">SUM(SUMIFS(INDIRECT($A$5) ,OtrosR!$C$3:$C66,$A54,OtrosR!$B$3:$B66,N$1))</f>
        <v>#VALUE!</v>
      </c>
      <c r="P54" s="98" t="str">
        <f t="shared" si="482"/>
        <v/>
      </c>
      <c r="Q54" s="93" t="str">
        <f t="array" ref="Q54">SUM(SUMIFS(INDIRECT($A$3) ,OtrosR!$C$3:$C66,$A54,OtrosR!$B$3:$B66,Q$1))</f>
        <v>#VALUE!</v>
      </c>
      <c r="R54" s="17" t="str">
        <f t="array" ref="R54">SUM(SUMIFS(INDIRECT($A$5) ,OtrosR!$C$3:$C66,$A54,OtrosR!$B$3:$B66,Q$1))</f>
        <v>#VALUE!</v>
      </c>
      <c r="S54" s="95" t="str">
        <f t="shared" si="483"/>
        <v/>
      </c>
      <c r="T54" s="96" t="str">
        <f t="array" ref="T54">SUM(SUMIFS(INDIRECT($A$3) ,OtrosR!$C$3:$C66,$A54,OtrosR!$B$3:$B66,T$1))</f>
        <v>#VALUE!</v>
      </c>
      <c r="U54" s="16" t="str">
        <f t="array" ref="U54">SUM(SUMIFS(INDIRECT($A$5) ,OtrosR!$C$3:$C66,$A54,OtrosR!$B$3:$B66,T$1))</f>
        <v>#VALUE!</v>
      </c>
      <c r="V54" s="98" t="str">
        <f t="shared" si="484"/>
        <v/>
      </c>
      <c r="W54" s="93" t="str">
        <f t="array" ref="W54">SUM(SUMIFS(INDIRECT($A$3) ,OtrosR!$C$3:$C66,$A54,OtrosR!$B$3:$B66,W$1))</f>
        <v>#VALUE!</v>
      </c>
      <c r="X54" s="17" t="str">
        <f t="array" ref="X54">SUM(SUMIFS(INDIRECT($A$5) ,OtrosR!$C$3:$C66,$A54,OtrosR!$B$3:$B66,W$1))</f>
        <v>#VALUE!</v>
      </c>
      <c r="Y54" s="95" t="str">
        <f t="shared" si="485"/>
        <v/>
      </c>
      <c r="Z54" s="96" t="str">
        <f t="array" ref="Z54">SUM(SUMIFS(INDIRECT($A$3) ,OtrosR!$C$3:$C66,$A54,OtrosR!$B$3:$B66,Z$1))</f>
        <v>#VALUE!</v>
      </c>
      <c r="AA54" s="16" t="str">
        <f t="array" ref="AA54">SUM(SUMIFS(INDIRECT($A$5) ,OtrosR!$C$3:$C66,$A54,OtrosR!$B$3:$B66,Z$1))</f>
        <v>#VALUE!</v>
      </c>
      <c r="AB54" s="98" t="str">
        <f t="shared" si="486"/>
        <v/>
      </c>
      <c r="AC54" s="93" t="str">
        <f t="array" ref="AC54">SUM(SUMIFS(INDIRECT($A$3) ,OtrosR!$C$3:$C66,$A54,OtrosR!$B$3:$B66,AC$1))</f>
        <v>#VALUE!</v>
      </c>
      <c r="AD54" s="17" t="str">
        <f t="array" ref="AD54">SUM(SUMIFS(INDIRECT($A$5) ,OtrosR!$C$3:$C66,$A54,OtrosR!$B$3:$B66,AC$1))</f>
        <v>#VALUE!</v>
      </c>
      <c r="AE54" s="95" t="str">
        <f t="shared" si="487"/>
        <v/>
      </c>
      <c r="AF54" s="96" t="str">
        <f t="array" ref="AF54">SUM(SUMIFS(INDIRECT($A$3) ,OtrosR!$C$3:$C66,$A54,OtrosR!$B$3:$B66,AF$1))</f>
        <v>#VALUE!</v>
      </c>
      <c r="AG54" s="16" t="str">
        <f t="array" ref="AG54">SUM(SUMIFS(INDIRECT($A$5) ,OtrosR!$C$3:$C66,$A54,OtrosR!$B$3:$B66,AF$1))</f>
        <v>#VALUE!</v>
      </c>
      <c r="AH54" s="98" t="str">
        <f t="shared" si="488"/>
        <v/>
      </c>
      <c r="AI54" s="93" t="str">
        <f t="array" ref="AI54">SUM(SUMIFS(INDIRECT($A$3) ,OtrosR!$C$3:$C66,$A54,OtrosR!$B$3:$B66,AI$1))</f>
        <v>#VALUE!</v>
      </c>
      <c r="AJ54" s="17" t="str">
        <f t="array" ref="AJ54">SUM(SUMIFS(INDIRECT($A$5) ,OtrosR!$C$3:$C66,$A54,OtrosR!$B$3:$B66,AI$1))</f>
        <v>#VALUE!</v>
      </c>
      <c r="AK54" s="95" t="str">
        <f t="shared" si="489"/>
        <v/>
      </c>
      <c r="AL54" s="96" t="str">
        <f t="array" ref="AL54">SUM(SUMIFS(INDIRECT($A$3) ,OtrosR!$C$3:$C66,$A54,OtrosR!$B$3:$B66,AL$1))</f>
        <v>#VALUE!</v>
      </c>
      <c r="AM54" s="16" t="str">
        <f t="array" ref="AM54">SUM(SUMIFS(INDIRECT($A$5) ,OtrosR!$C$3:$C66,$A54,OtrosR!$B$3:$B66,AL$1))</f>
        <v>#VALUE!</v>
      </c>
      <c r="AN54" s="98" t="str">
        <f t="shared" si="490"/>
        <v/>
      </c>
      <c r="AO54" s="93" t="str">
        <f t="array" ref="AO54">SUM(SUMIFS(INDIRECT($A$3) ,OtrosR!$C$3:$C66,$A54,OtrosR!$B$3:$B66,AO$1))</f>
        <v>#VALUE!</v>
      </c>
      <c r="AP54" s="17" t="str">
        <f t="array" ref="AP54">SUM(SUMIFS(INDIRECT($A$5) ,OtrosR!$C$3:$C66,$A54,OtrosR!$B$3:$B66,AO$1))</f>
        <v>#VALUE!</v>
      </c>
      <c r="AQ54" s="95" t="str">
        <f t="shared" si="491"/>
        <v/>
      </c>
      <c r="AR54" s="96" t="str">
        <f t="array" ref="AR54">SUM(SUMIFS(INDIRECT($A$3) ,OtrosR!$C$3:$C66,$A54,OtrosR!$B$3:$B66,AR$1))</f>
        <v>#VALUE!</v>
      </c>
      <c r="AS54" s="16" t="str">
        <f t="array" ref="AS54">SUM(SUMIFS(INDIRECT($A$5) ,OtrosR!$C$3:$C66,$A54,OtrosR!$B$3:$B66,AR$1))</f>
        <v>#VALUE!</v>
      </c>
      <c r="AT54" s="98" t="str">
        <f t="shared" si="492"/>
        <v/>
      </c>
      <c r="AU54" s="93" t="str">
        <f t="array" ref="AU54">SUM(SUMIFS(INDIRECT($A$3) ,OtrosR!$C$3:$C66,$A54,OtrosR!$B$3:$B66,AU$1))</f>
        <v>#VALUE!</v>
      </c>
      <c r="AV54" s="17" t="str">
        <f t="array" ref="AV54">SUM(SUMIFS(INDIRECT($A$5) ,OtrosR!$C$3:$C66,$A54,OtrosR!$B$3:$B66,AU$1))</f>
        <v>#VALUE!</v>
      </c>
      <c r="AW54" s="95" t="str">
        <f t="shared" si="493"/>
        <v/>
      </c>
      <c r="AX54" s="96" t="str">
        <f t="array" ref="AX54">SUM(SUMIFS(INDIRECT($A$3) ,OtrosR!$C$3:$C66,$A54,OtrosR!$B$3:$B66,AX$1))</f>
        <v>#VALUE!</v>
      </c>
      <c r="AY54" s="16" t="str">
        <f t="array" ref="AY54">SUM(SUMIFS(INDIRECT($A$5) ,OtrosR!$C$3:$C66,$A54,OtrosR!$B$3:$B66,AX$1))</f>
        <v>#VALUE!</v>
      </c>
      <c r="AZ54" s="98" t="str">
        <f t="shared" si="494"/>
        <v/>
      </c>
      <c r="BA54" s="93" t="str">
        <f t="array" ref="BA54">SUM(SUMIFS(INDIRECT($A$3) ,OtrosR!$C$3:$C66,$A54,OtrosR!$B$3:$B66,BA$1))</f>
        <v>#VALUE!</v>
      </c>
      <c r="BB54" s="17" t="str">
        <f t="array" ref="BB54">SUM(SUMIFS(INDIRECT($A$5) ,OtrosR!$C$3:$C66,$A54,OtrosR!$B$3:$B66,BA$1))</f>
        <v>#VALUE!</v>
      </c>
      <c r="BC54" s="95" t="str">
        <f t="shared" si="495"/>
        <v/>
      </c>
      <c r="BD54" s="96" t="str">
        <f t="array" ref="BD54">SUM(SUMIFS(INDIRECT($A$3) ,OtrosR!$C$3:$C66,$A54,OtrosR!$B$3:$B66,BD$1))</f>
        <v>#VALUE!</v>
      </c>
      <c r="BE54" s="16" t="str">
        <f t="array" ref="BE54">SUM(SUMIFS(INDIRECT($A$5) ,OtrosR!$C$3:$C66,$A54,OtrosR!$B$3:$B66,BD$1))</f>
        <v>#VALUE!</v>
      </c>
      <c r="BF54" s="98" t="str">
        <f t="shared" si="496"/>
        <v/>
      </c>
      <c r="BG54" s="93" t="str">
        <f t="array" ref="BG54">SUM(SUMIFS(INDIRECT($A$3) ,OtrosR!$C$3:$C66,$A54,OtrosR!$B$3:$B66,BG$1))</f>
        <v>#VALUE!</v>
      </c>
      <c r="BH54" s="17" t="str">
        <f t="array" ref="BH54">SUM(SUMIFS(INDIRECT($A$5) ,OtrosR!$C$3:$C66,$A54,OtrosR!$B$3:$B66,BG$1))</f>
        <v>#VALUE!</v>
      </c>
      <c r="BI54" s="95" t="str">
        <f t="shared" si="497"/>
        <v/>
      </c>
      <c r="BJ54" s="96" t="str">
        <f t="array" ref="BJ54">SUM(SUMIFS(INDIRECT($A$3) ,OtrosR!$C$3:$C66,$A54,OtrosR!$B$3:$B66,BJ$1))</f>
        <v>#VALUE!</v>
      </c>
      <c r="BK54" s="16" t="str">
        <f t="array" ref="BK54">SUM(SUMIFS(INDIRECT($A$5) ,OtrosR!$C$3:$C66,$A54,OtrosR!$B$3:$B66,BJ$1))</f>
        <v>#VALUE!</v>
      </c>
      <c r="BL54" s="98" t="str">
        <f t="shared" si="498"/>
        <v/>
      </c>
      <c r="BM54" s="93" t="str">
        <f t="array" ref="BM54">SUM(SUMIFS(INDIRECT($A$3) ,OtrosR!$C$3:$C66,$A54,OtrosR!$B$3:$B66,BM$1))</f>
        <v>#VALUE!</v>
      </c>
      <c r="BN54" s="17" t="str">
        <f t="array" ref="BN54">SUM(SUMIFS(INDIRECT($A$5) ,OtrosR!$C$3:$C66,$A54,OtrosR!$B$3:$B66,BM$1))</f>
        <v>#VALUE!</v>
      </c>
      <c r="BO54" s="95" t="str">
        <f t="shared" si="499"/>
        <v/>
      </c>
      <c r="BP54" s="96" t="str">
        <f t="array" ref="BP54">SUM(SUMIFS(INDIRECT($A$3) ,OtrosR!$C$3:$C66,$A54,OtrosR!$B$3:$B66,BP$1))</f>
        <v>#VALUE!</v>
      </c>
      <c r="BQ54" s="16" t="str">
        <f t="array" ref="BQ54">SUM(SUMIFS(INDIRECT($A$5) ,OtrosR!$C$3:$C66,$A54,OtrosR!$B$3:$B66,BP$1))</f>
        <v>#VALUE!</v>
      </c>
      <c r="BR54" s="98" t="str">
        <f t="shared" si="500"/>
        <v/>
      </c>
      <c r="BS54" s="93" t="str">
        <f t="array" ref="BS54">SUM(SUMIFS(INDIRECT($A$3) ,OtrosR!$C$3:$C66,$A54,OtrosR!$B$3:$B66,BS$1))</f>
        <v>#VALUE!</v>
      </c>
      <c r="BT54" s="17" t="str">
        <f t="array" ref="BT54">SUM(SUMIFS(INDIRECT($A$5) ,OtrosR!$C$3:$C66,$A54,OtrosR!$B$3:$B66,BS$1))</f>
        <v>#VALUE!</v>
      </c>
      <c r="BU54" s="95" t="str">
        <f t="shared" si="501"/>
        <v/>
      </c>
      <c r="BV54" s="96" t="str">
        <f t="array" ref="BV54">SUM(SUMIFS(INDIRECT($A$3) ,OtrosR!$C$3:$C66,$A54,OtrosR!$B$3:$B66,BV$1))</f>
        <v>#VALUE!</v>
      </c>
      <c r="BW54" s="16" t="str">
        <f t="array" ref="BW54">SUM(SUMIFS(INDIRECT($A$5) ,OtrosR!$C$3:$C66,$A54,OtrosR!$B$3:$B66,BV$1))</f>
        <v>#VALUE!</v>
      </c>
      <c r="BX54" s="98" t="str">
        <f t="shared" si="502"/>
        <v/>
      </c>
      <c r="BY54" s="93" t="str">
        <f t="array" ref="BY54">SUM(SUMIFS(INDIRECT($A$3) ,OtrosR!$C$3:$C66,$A54,OtrosR!$B$3:$B66,BY$1))</f>
        <v>#VALUE!</v>
      </c>
      <c r="BZ54" s="17" t="str">
        <f t="array" ref="BZ54">SUM(SUMIFS(INDIRECT($A$5) ,OtrosR!$C$3:$C66,$A54,OtrosR!$B$3:$B66,BY$1))</f>
        <v>#VALUE!</v>
      </c>
      <c r="CA54" s="95" t="str">
        <f t="shared" si="503"/>
        <v/>
      </c>
      <c r="CB54" s="96" t="str">
        <f t="array" ref="CB54">SUM(SUMIFS(INDIRECT($A$3) ,OtrosR!$C$3:$C66,$A54,OtrosR!$B$3:$B66,CB$1))</f>
        <v>#VALUE!</v>
      </c>
      <c r="CC54" s="16" t="str">
        <f t="array" ref="CC54">SUM(SUMIFS(INDIRECT($A$5) ,OtrosR!$C$3:$C66,$A54,OtrosR!$B$3:$B66,CB$1))</f>
        <v>#VALUE!</v>
      </c>
      <c r="CD54" s="98" t="str">
        <f t="shared" si="504"/>
        <v/>
      </c>
      <c r="CE54" s="93" t="str">
        <f t="array" ref="CE54">SUM(SUMIFS(INDIRECT($A$3) ,OtrosR!$C$3:$C66,$A54,OtrosR!$B$3:$B66,CE$1))</f>
        <v>#VALUE!</v>
      </c>
      <c r="CF54" s="17" t="str">
        <f t="array" ref="CF54">SUM(SUMIFS(INDIRECT($A$5) ,OtrosR!$C$3:$C66,$A54,OtrosR!$B$3:$B66,CE$1))</f>
        <v>#VALUE!</v>
      </c>
      <c r="CG54" s="95" t="str">
        <f t="shared" si="505"/>
        <v/>
      </c>
      <c r="CH54" s="96" t="str">
        <f t="array" ref="CH54">SUM(SUMIFS(INDIRECT($A$3) ,OtrosR!$C$3:$C66,$A54,OtrosR!$B$3:$B66,CH$1))</f>
        <v>#VALUE!</v>
      </c>
      <c r="CI54" s="16" t="str">
        <f t="array" ref="CI54">SUM(SUMIFS(INDIRECT($A$5) ,OtrosR!$C$3:$C66,$A54,OtrosR!$B$3:$B66,CH$1))</f>
        <v>#VALUE!</v>
      </c>
      <c r="CJ54" s="98" t="str">
        <f t="shared" si="506"/>
        <v/>
      </c>
      <c r="CK54" s="93" t="str">
        <f t="array" ref="CK54">SUM(SUMIFS(INDIRECT($A$3) ,OtrosR!$C$3:$C66,$A54,OtrosR!$B$3:$B66,CK$1))</f>
        <v>#VALUE!</v>
      </c>
      <c r="CL54" s="17" t="str">
        <f t="array" ref="CL54">SUM(SUMIFS(INDIRECT($A$5) ,OtrosR!$C$3:$C66,$A54,OtrosR!$B$3:$B66,CK$1))</f>
        <v>#VALUE!</v>
      </c>
      <c r="CM54" s="95" t="str">
        <f t="shared" si="507"/>
        <v/>
      </c>
      <c r="CN54" s="96" t="str">
        <f t="array" ref="CN54">SUM(SUMIFS(INDIRECT($A$3) ,OtrosR!$C$3:$C66,$A54,OtrosR!$B$3:$B66,CN$1))</f>
        <v>#VALUE!</v>
      </c>
      <c r="CO54" s="16" t="str">
        <f t="array" ref="CO54">SUM(SUMIFS(INDIRECT($A$5) ,OtrosR!$C$3:$C66,$A54,OtrosR!$B$3:$B66,CN$1))</f>
        <v>#VALUE!</v>
      </c>
      <c r="CP54" s="98" t="str">
        <f t="shared" si="508"/>
        <v/>
      </c>
      <c r="CQ54" s="93" t="str">
        <f t="array" ref="CQ54">SUM(SUMIFS(INDIRECT($A$3) ,OtrosR!$C$3:$C66,$A54,OtrosR!$B$3:$B66,CQ$1))</f>
        <v>#VALUE!</v>
      </c>
      <c r="CR54" s="17" t="str">
        <f t="array" ref="CR54">SUM(SUMIFS(INDIRECT($A$5) ,OtrosR!$C$3:$C66,$A54,OtrosR!$B$3:$B66,CQ$1))</f>
        <v>#VALUE!</v>
      </c>
      <c r="CS54" s="95" t="str">
        <f t="shared" si="509"/>
        <v/>
      </c>
      <c r="CT54" s="96" t="str">
        <f t="array" ref="CT54">SUM(SUMIFS(INDIRECT($A$3) ,OtrosR!$C$3:$C66,$A54,OtrosR!$B$3:$B66,CT$1))</f>
        <v>#VALUE!</v>
      </c>
      <c r="CU54" s="16" t="str">
        <f t="array" ref="CU54">SUM(SUMIFS(INDIRECT($A$5) ,OtrosR!$C$3:$C66,$A54,OtrosR!$B$3:$B66,CT$1))</f>
        <v>#VALUE!</v>
      </c>
      <c r="CV54" s="98" t="str">
        <f t="shared" si="510"/>
        <v/>
      </c>
      <c r="CW54" s="93" t="str">
        <f t="array" ref="CW54">SUM(SUMIFS(INDIRECT($A$3) ,OtrosR!$C$3:$C66,$A54,OtrosR!$B$3:$B66,CW$1))</f>
        <v>#VALUE!</v>
      </c>
      <c r="CX54" s="17" t="str">
        <f t="array" ref="CX54">SUM(SUMIFS(INDIRECT($A$5) ,OtrosR!$C$3:$C66,$A54,OtrosR!$B$3:$B66,CW$1))</f>
        <v>#VALUE!</v>
      </c>
      <c r="CY54" s="95" t="str">
        <f t="shared" si="511"/>
        <v/>
      </c>
      <c r="CZ54" s="96" t="str">
        <f t="array" ref="CZ54">SUM(SUMIFS(INDIRECT($A$3) ,OtrosR!$C$3:$C66,$A54,OtrosR!$B$3:$B66,CZ$1))</f>
        <v>#VALUE!</v>
      </c>
      <c r="DA54" s="16" t="str">
        <f t="array" ref="DA54">SUM(SUMIFS(INDIRECT($A$5) ,OtrosR!$C$3:$C66,$A54,OtrosR!$B$3:$B66,CZ$1))</f>
        <v>#VALUE!</v>
      </c>
      <c r="DB54" s="98" t="str">
        <f t="shared" si="512"/>
        <v/>
      </c>
      <c r="DC54" s="93" t="str">
        <f t="array" ref="DC54">SUM(SUMIFS(INDIRECT($A$3) ,OtrosR!$C$3:$C66,$A54,OtrosR!$B$3:$B66,DC$1))</f>
        <v>#VALUE!</v>
      </c>
      <c r="DD54" s="17" t="str">
        <f t="array" ref="DD54">SUM(SUMIFS(INDIRECT($A$5) ,OtrosR!$C$3:$C66,$A54,OtrosR!$B$3:$B66,DC$1))</f>
        <v>#VALUE!</v>
      </c>
      <c r="DE54" s="95" t="str">
        <f t="shared" si="513"/>
        <v/>
      </c>
      <c r="DF54" s="96" t="str">
        <f t="array" ref="DF54">SUM(SUMIFS(INDIRECT($A$3) ,OtrosR!$C$3:$C66,$A54,OtrosR!$B$3:$B66,DF$1))</f>
        <v>#VALUE!</v>
      </c>
      <c r="DG54" s="16" t="str">
        <f t="array" ref="DG54">SUM(SUMIFS(INDIRECT($A$5) ,OtrosR!$C$3:$C66,$A54,OtrosR!$B$3:$B66,DF$1))</f>
        <v>#VALUE!</v>
      </c>
      <c r="DH54" s="98" t="str">
        <f t="shared" si="514"/>
        <v/>
      </c>
      <c r="DI54" s="93" t="str">
        <f t="array" ref="DI54">SUM(SUMIFS(INDIRECT($A$3) ,OtrosR!$C$3:$C66,$A54,OtrosR!$B$3:$B66,DI$1))</f>
        <v>#VALUE!</v>
      </c>
      <c r="DJ54" s="17" t="str">
        <f t="array" ref="DJ54">SUM(SUMIFS(INDIRECT($A$5) ,OtrosR!$C$3:$C66,$A54,OtrosR!$B$3:$B66,DI$1))</f>
        <v>#VALUE!</v>
      </c>
      <c r="DK54" s="95" t="str">
        <f t="shared" si="515"/>
        <v/>
      </c>
      <c r="DL54" s="96" t="str">
        <f t="array" ref="DL54">SUM(SUMIFS(INDIRECT($A$3) ,OtrosR!$C$3:$C66,$A54,OtrosR!$B$3:$B66,DL$1))</f>
        <v>#VALUE!</v>
      </c>
      <c r="DM54" s="16" t="str">
        <f t="array" ref="DM54">SUM(SUMIFS(INDIRECT($A$5) ,OtrosR!$C$3:$C66,$A54,OtrosR!$B$3:$B66,DL$1))</f>
        <v>#VALUE!</v>
      </c>
      <c r="DN54" s="98" t="str">
        <f t="shared" si="516"/>
        <v/>
      </c>
      <c r="DO54" s="93" t="str">
        <f t="array" ref="DO54">SUM(SUMIFS(INDIRECT($A$3) ,OtrosR!$C$3:$C66,$A54,OtrosR!$B$3:$B66,DO$1))</f>
        <v>#VALUE!</v>
      </c>
      <c r="DP54" s="17" t="str">
        <f t="array" ref="DP54">SUM(SUMIFS(INDIRECT($A$5) ,OtrosR!$C$3:$C66,$A54,OtrosR!$B$3:$B66,DO$1))</f>
        <v>#VALUE!</v>
      </c>
      <c r="DQ54" s="95" t="str">
        <f t="shared" si="517"/>
        <v/>
      </c>
      <c r="DR54" s="96" t="str">
        <f t="array" ref="DR54">SUM(SUMIFS(INDIRECT($A$3) ,OtrosR!$C$3:$C66,$A54,OtrosR!$B$3:$B66,DR$1))</f>
        <v>#VALUE!</v>
      </c>
      <c r="DS54" s="16" t="str">
        <f t="array" ref="DS54">SUM(SUMIFS(INDIRECT($A$5) ,OtrosR!$C$3:$C66,$A54,OtrosR!$B$3:$B66,DR$1))</f>
        <v>#VALUE!</v>
      </c>
      <c r="DT54" s="98" t="str">
        <f t="shared" si="518"/>
        <v/>
      </c>
      <c r="DU54" s="93" t="str">
        <f t="array" ref="DU54">SUM(SUMIFS(INDIRECT($A$3) ,OtrosR!$C$3:$C66,$A54,OtrosR!$B$3:$B66,DU$1))</f>
        <v>#VALUE!</v>
      </c>
      <c r="DV54" s="17" t="str">
        <f t="array" ref="DV54">SUM(SUMIFS(INDIRECT($A$5) ,OtrosR!$C$3:$C66,$A54,OtrosR!$B$3:$B66,DU$1))</f>
        <v>#VALUE!</v>
      </c>
      <c r="DW54" s="95" t="str">
        <f t="shared" si="519"/>
        <v/>
      </c>
      <c r="DX54" s="96" t="str">
        <f t="array" ref="DX54">SUM(SUMIFS(INDIRECT($A$3) ,OtrosR!$C$3:$C66,$A54,OtrosR!$B$3:$B66,DX$1))</f>
        <v>#VALUE!</v>
      </c>
      <c r="DY54" s="16" t="str">
        <f t="array" ref="DY54">SUM(SUMIFS(INDIRECT($A$5) ,OtrosR!$C$3:$C66,$A54,OtrosR!$B$3:$B66,DX$1))</f>
        <v>#VALUE!</v>
      </c>
      <c r="DZ54" s="98" t="str">
        <f t="shared" si="520"/>
        <v/>
      </c>
      <c r="EA54" s="93" t="str">
        <f t="array" ref="EA54">SUM(SUMIFS(INDIRECT($A$3) ,OtrosR!$C$3:$C66,$A54,OtrosR!$B$3:$B66,EA$1))</f>
        <v>#VALUE!</v>
      </c>
      <c r="EB54" s="17" t="str">
        <f t="array" ref="EB54">SUM(SUMIFS(INDIRECT($A$5) ,OtrosR!$C$3:$C66,$A54,OtrosR!$B$3:$B66,EA$1))</f>
        <v>#VALUE!</v>
      </c>
      <c r="EC54" s="95" t="str">
        <f t="shared" si="521"/>
        <v/>
      </c>
      <c r="ED54" s="96" t="str">
        <f t="array" ref="ED54">SUM(SUMIFS(INDIRECT($A$3) ,OtrosR!$C$3:$C66,$A54,OtrosR!$B$3:$B66,ED$1))</f>
        <v>#VALUE!</v>
      </c>
      <c r="EE54" s="16" t="str">
        <f t="array" ref="EE54">SUM(SUMIFS(INDIRECT($A$5) ,OtrosR!$C$3:$C66,$A54,OtrosR!$B$3:$B66,ED$1))</f>
        <v>#VALUE!</v>
      </c>
      <c r="EF54" s="98" t="str">
        <f t="shared" si="522"/>
        <v/>
      </c>
      <c r="EG54" s="93" t="str">
        <f t="array" ref="EG54">SUM(SUMIFS(INDIRECT($A$3) ,OtrosR!$C$3:$C66,$A54,OtrosR!$B$3:$B66,EG$1))</f>
        <v>#VALUE!</v>
      </c>
      <c r="EH54" s="17" t="str">
        <f t="array" ref="EH54">SUM(SUMIFS(INDIRECT($A$5) ,OtrosR!$C$3:$C66,$A54,OtrosR!$B$3:$B66,EG$1))</f>
        <v>#VALUE!</v>
      </c>
      <c r="EI54" s="95" t="str">
        <f t="shared" si="523"/>
        <v/>
      </c>
      <c r="EJ54" s="96" t="str">
        <f t="array" ref="EJ54">SUM(SUMIFS(INDIRECT($A$3) ,OtrosR!$C$3:$C66,$A54,OtrosR!$B$3:$B66,EJ$1))</f>
        <v>#VALUE!</v>
      </c>
      <c r="EK54" s="16" t="str">
        <f t="array" ref="EK54">SUM(SUMIFS(INDIRECT($A$5) ,OtrosR!$C$3:$C66,$A54,OtrosR!$B$3:$B66,EJ$1))</f>
        <v>#VALUE!</v>
      </c>
      <c r="EL54" s="98" t="str">
        <f t="shared" si="524"/>
        <v/>
      </c>
      <c r="EM54" s="93" t="str">
        <f t="array" ref="EM54">SUM(SUMIFS(INDIRECT($A$3) ,OtrosR!$C$3:$C66,$A54,OtrosR!$B$3:$B66,EM$1))</f>
        <v>#VALUE!</v>
      </c>
      <c r="EN54" s="17" t="str">
        <f t="array" ref="EN54">SUM(SUMIFS(INDIRECT($A$5) ,OtrosR!$C$3:$C66,$A54,OtrosR!$B$3:$B66,EM$1))</f>
        <v>#VALUE!</v>
      </c>
      <c r="EO54" s="95" t="str">
        <f t="shared" si="525"/>
        <v/>
      </c>
      <c r="EP54" s="96" t="str">
        <f t="array" ref="EP54">SUM(SUMIFS(INDIRECT($A$3) ,OtrosR!$C$3:$C66,$A54,OtrosR!$B$3:$B66,EP$1))</f>
        <v>#VALUE!</v>
      </c>
      <c r="EQ54" s="16" t="str">
        <f t="array" ref="EQ54">SUM(SUMIFS(INDIRECT($A$5) ,OtrosR!$C$3:$C66,$A54,OtrosR!$B$3:$B66,EP$1))</f>
        <v>#VALUE!</v>
      </c>
      <c r="ER54" s="98" t="str">
        <f t="shared" si="526"/>
        <v/>
      </c>
      <c r="ES54" s="93" t="str">
        <f t="array" ref="ES54">SUM(SUMIFS(INDIRECT($A$3) ,OtrosR!$C$3:$C66,$A54,OtrosR!$B$3:$B66,ES$1))</f>
        <v>#VALUE!</v>
      </c>
      <c r="ET54" s="17" t="str">
        <f t="array" ref="ET54">SUM(SUMIFS(INDIRECT($A$5) ,OtrosR!$C$3:$C66,$A54,OtrosR!$B$3:$B66,ES$1))</f>
        <v>#VALUE!</v>
      </c>
      <c r="EU54" s="95" t="str">
        <f t="shared" si="527"/>
        <v/>
      </c>
      <c r="EV54" s="96" t="str">
        <f t="array" ref="EV54">SUM(SUMIFS(INDIRECT($A$3) ,OtrosR!$C$3:$C66,$A54,OtrosR!$B$3:$B66,EV$1))</f>
        <v>#VALUE!</v>
      </c>
      <c r="EW54" s="16" t="str">
        <f t="array" ref="EW54">SUM(SUMIFS(INDIRECT($A$5) ,OtrosR!$C$3:$C66,$A54,OtrosR!$B$3:$B66,EV$1))</f>
        <v>#VALUE!</v>
      </c>
      <c r="EX54" s="98" t="str">
        <f t="shared" si="528"/>
        <v/>
      </c>
      <c r="EY54" s="93" t="str">
        <f t="array" ref="EY54">SUM(SUMIFS(INDIRECT($A$3) ,OtrosR!$C$3:$C66,$A54,OtrosR!$B$3:$B66,EY$1))</f>
        <v>#VALUE!</v>
      </c>
      <c r="EZ54" s="17" t="str">
        <f t="array" ref="EZ54">SUM(SUMIFS(INDIRECT($A$5) ,OtrosR!$C$3:$C66,$A54,OtrosR!$B$3:$B66,EY$1))</f>
        <v>#VALUE!</v>
      </c>
      <c r="FA54" s="95" t="str">
        <f t="shared" si="529"/>
        <v/>
      </c>
      <c r="FB54" s="96" t="str">
        <f t="array" ref="FB54">SUM(SUMIFS(INDIRECT($A$3) ,OtrosR!$C$3:$C66,$A54,OtrosR!$B$3:$B66,FB$1))</f>
        <v>#VALUE!</v>
      </c>
      <c r="FC54" s="16" t="str">
        <f t="array" ref="FC54">SUM(SUMIFS(INDIRECT($A$5) ,OtrosR!$C$3:$C66,$A54,OtrosR!$B$3:$B66,FB$1))</f>
        <v>#VALUE!</v>
      </c>
      <c r="FD54" s="98" t="str">
        <f t="shared" si="530"/>
        <v/>
      </c>
      <c r="FE54" s="93" t="str">
        <f t="array" ref="FE54">SUM(SUMIFS(INDIRECT($A$3) ,OtrosR!$C$3:$C66,$A54,OtrosR!$B$3:$B66,FE$1))</f>
        <v>#VALUE!</v>
      </c>
      <c r="FF54" s="17" t="str">
        <f t="array" ref="FF54">SUM(SUMIFS(INDIRECT($A$5) ,OtrosR!$C$3:$C66,$A54,OtrosR!$B$3:$B66,FE$1))</f>
        <v>#VALUE!</v>
      </c>
      <c r="FG54" s="95" t="str">
        <f t="shared" si="531"/>
        <v/>
      </c>
      <c r="FH54" s="96" t="str">
        <f t="array" ref="FH54">SUM(SUMIFS(INDIRECT($A$3) ,OtrosR!$C$3:$C66,$A54,OtrosR!$B$3:$B66,FH$1))</f>
        <v>#VALUE!</v>
      </c>
      <c r="FI54" s="16" t="str">
        <f t="array" ref="FI54">SUM(SUMIFS(INDIRECT($A$5) ,OtrosR!$C$3:$C66,$A54,OtrosR!$B$3:$B66,FH$1))</f>
        <v>#VALUE!</v>
      </c>
      <c r="FJ54" s="98" t="str">
        <f t="shared" si="532"/>
        <v/>
      </c>
    </row>
    <row r="55" ht="15.75" hidden="1" customHeight="1">
      <c r="A55" s="5"/>
      <c r="B55" s="16" t="str">
        <f t="shared" si="478"/>
        <v>#VALUE!</v>
      </c>
      <c r="C55" s="16" t="str">
        <f t="shared" si="479"/>
        <v>#VALUE!</v>
      </c>
      <c r="D55" s="16" t="str">
        <f t="shared" si="476"/>
        <v>#VALUE!</v>
      </c>
      <c r="E55" s="109" t="str">
        <f t="array" ref="E55">SUM(SUMIFS(INDIRECT($A$3) ,OtrosR!$C$3:$C66,$A55,OtrosR!$B$3:$B66,E$1))</f>
        <v>#VALUE!</v>
      </c>
      <c r="F55" s="15" t="str">
        <f t="array" ref="F55">SUM(SUMIFS(INDIRECT($A$5) ,OtrosR!$C$3:$C66,$A55,OtrosR!$B$3:$B66,E$1))</f>
        <v>#VALUE!</v>
      </c>
      <c r="G55" s="89" t="str">
        <f t="shared" si="477"/>
        <v>#VALUE!</v>
      </c>
      <c r="H55" s="90" t="str">
        <f t="array" ref="H55">SUM(SUMIFS(INDIRECT($A$3) ,OtrosR!$C$3:$C66,$A55,OtrosR!$B$3:$B66,H$1))</f>
        <v>#VALUE!</v>
      </c>
      <c r="I55" s="55" t="str">
        <f t="array" ref="I55">SUM(SUMIFS(INDIRECT($A$5) ,OtrosR!$C$3:$C66,$A55,OtrosR!$B$3:$B66,H$1))</f>
        <v>#VALUE!</v>
      </c>
      <c r="J55" s="92" t="str">
        <f t="shared" si="480"/>
        <v/>
      </c>
      <c r="K55" s="93" t="str">
        <f t="array" ref="K55">SUM(SUMIFS(INDIRECT($A$3) ,OtrosR!$C$3:$C66,$A55,OtrosR!$B$3:$B66,K$1))</f>
        <v>#VALUE!</v>
      </c>
      <c r="L55" s="17" t="str">
        <f t="array" ref="L55">SUM(SUMIFS(INDIRECT($A$5) ,OtrosR!$C$3:$C66,$A55,OtrosR!$B$3:$B66,K$1))</f>
        <v>#VALUE!</v>
      </c>
      <c r="M55" s="95" t="str">
        <f t="shared" si="481"/>
        <v/>
      </c>
      <c r="N55" s="96" t="str">
        <f t="array" ref="N55">SUM(SUMIFS(INDIRECT($A$3) ,OtrosR!$C$3:$C66,$A55,OtrosR!$B$3:$B66,N$1))</f>
        <v>#VALUE!</v>
      </c>
      <c r="O55" s="16" t="str">
        <f t="array" ref="O55">SUM(SUMIFS(INDIRECT($A$5) ,OtrosR!$C$3:$C66,$A55,OtrosR!$B$3:$B66,N$1))</f>
        <v>#VALUE!</v>
      </c>
      <c r="P55" s="98" t="str">
        <f t="shared" si="482"/>
        <v/>
      </c>
      <c r="Q55" s="93" t="str">
        <f t="array" ref="Q55">SUM(SUMIFS(INDIRECT($A$3) ,OtrosR!$C$3:$C66,$A55,OtrosR!$B$3:$B66,Q$1))</f>
        <v>#VALUE!</v>
      </c>
      <c r="R55" s="17" t="str">
        <f t="array" ref="R55">SUM(SUMIFS(INDIRECT($A$5) ,OtrosR!$C$3:$C66,$A55,OtrosR!$B$3:$B66,Q$1))</f>
        <v>#VALUE!</v>
      </c>
      <c r="S55" s="95" t="str">
        <f t="shared" si="483"/>
        <v/>
      </c>
      <c r="T55" s="96" t="str">
        <f t="array" ref="T55">SUM(SUMIFS(INDIRECT($A$3) ,OtrosR!$C$3:$C66,$A55,OtrosR!$B$3:$B66,T$1))</f>
        <v>#VALUE!</v>
      </c>
      <c r="U55" s="16" t="str">
        <f t="array" ref="U55">SUM(SUMIFS(INDIRECT($A$5) ,OtrosR!$C$3:$C66,$A55,OtrosR!$B$3:$B66,T$1))</f>
        <v>#VALUE!</v>
      </c>
      <c r="V55" s="98" t="str">
        <f t="shared" si="484"/>
        <v/>
      </c>
      <c r="W55" s="93" t="str">
        <f t="array" ref="W55">SUM(SUMIFS(INDIRECT($A$3) ,OtrosR!$C$3:$C66,$A55,OtrosR!$B$3:$B66,W$1))</f>
        <v>#VALUE!</v>
      </c>
      <c r="X55" s="17" t="str">
        <f t="array" ref="X55">SUM(SUMIFS(INDIRECT($A$5) ,OtrosR!$C$3:$C66,$A55,OtrosR!$B$3:$B66,W$1))</f>
        <v>#VALUE!</v>
      </c>
      <c r="Y55" s="95" t="str">
        <f t="shared" si="485"/>
        <v/>
      </c>
      <c r="Z55" s="96" t="str">
        <f t="array" ref="Z55">SUM(SUMIFS(INDIRECT($A$3) ,OtrosR!$C$3:$C66,$A55,OtrosR!$B$3:$B66,Z$1))</f>
        <v>#VALUE!</v>
      </c>
      <c r="AA55" s="16" t="str">
        <f t="array" ref="AA55">SUM(SUMIFS(INDIRECT($A$5) ,OtrosR!$C$3:$C66,$A55,OtrosR!$B$3:$B66,Z$1))</f>
        <v>#VALUE!</v>
      </c>
      <c r="AB55" s="98" t="str">
        <f t="shared" si="486"/>
        <v/>
      </c>
      <c r="AC55" s="93" t="str">
        <f t="array" ref="AC55">SUM(SUMIFS(INDIRECT($A$3) ,OtrosR!$C$3:$C66,$A55,OtrosR!$B$3:$B66,AC$1))</f>
        <v>#VALUE!</v>
      </c>
      <c r="AD55" s="17" t="str">
        <f t="array" ref="AD55">SUM(SUMIFS(INDIRECT($A$5) ,OtrosR!$C$3:$C66,$A55,OtrosR!$B$3:$B66,AC$1))</f>
        <v>#VALUE!</v>
      </c>
      <c r="AE55" s="95" t="str">
        <f t="shared" si="487"/>
        <v/>
      </c>
      <c r="AF55" s="96" t="str">
        <f t="array" ref="AF55">SUM(SUMIFS(INDIRECT($A$3) ,OtrosR!$C$3:$C66,$A55,OtrosR!$B$3:$B66,AF$1))</f>
        <v>#VALUE!</v>
      </c>
      <c r="AG55" s="16" t="str">
        <f t="array" ref="AG55">SUM(SUMIFS(INDIRECT($A$5) ,OtrosR!$C$3:$C66,$A55,OtrosR!$B$3:$B66,AF$1))</f>
        <v>#VALUE!</v>
      </c>
      <c r="AH55" s="98" t="str">
        <f t="shared" si="488"/>
        <v/>
      </c>
      <c r="AI55" s="93" t="str">
        <f t="array" ref="AI55">SUM(SUMIFS(INDIRECT($A$3) ,OtrosR!$C$3:$C66,$A55,OtrosR!$B$3:$B66,AI$1))</f>
        <v>#VALUE!</v>
      </c>
      <c r="AJ55" s="17" t="str">
        <f t="array" ref="AJ55">SUM(SUMIFS(INDIRECT($A$5) ,OtrosR!$C$3:$C66,$A55,OtrosR!$B$3:$B66,AI$1))</f>
        <v>#VALUE!</v>
      </c>
      <c r="AK55" s="95" t="str">
        <f t="shared" si="489"/>
        <v/>
      </c>
      <c r="AL55" s="96" t="str">
        <f t="array" ref="AL55">SUM(SUMIFS(INDIRECT($A$3) ,OtrosR!$C$3:$C66,$A55,OtrosR!$B$3:$B66,AL$1))</f>
        <v>#VALUE!</v>
      </c>
      <c r="AM55" s="16" t="str">
        <f t="array" ref="AM55">SUM(SUMIFS(INDIRECT($A$5) ,OtrosR!$C$3:$C66,$A55,OtrosR!$B$3:$B66,AL$1))</f>
        <v>#VALUE!</v>
      </c>
      <c r="AN55" s="98" t="str">
        <f t="shared" si="490"/>
        <v/>
      </c>
      <c r="AO55" s="93" t="str">
        <f t="array" ref="AO55">SUM(SUMIFS(INDIRECT($A$3) ,OtrosR!$C$3:$C66,$A55,OtrosR!$B$3:$B66,AO$1))</f>
        <v>#VALUE!</v>
      </c>
      <c r="AP55" s="17" t="str">
        <f t="array" ref="AP55">SUM(SUMIFS(INDIRECT($A$5) ,OtrosR!$C$3:$C66,$A55,OtrosR!$B$3:$B66,AO$1))</f>
        <v>#VALUE!</v>
      </c>
      <c r="AQ55" s="95" t="str">
        <f t="shared" si="491"/>
        <v/>
      </c>
      <c r="AR55" s="96" t="str">
        <f t="array" ref="AR55">SUM(SUMIFS(INDIRECT($A$3) ,OtrosR!$C$3:$C66,$A55,OtrosR!$B$3:$B66,AR$1))</f>
        <v>#VALUE!</v>
      </c>
      <c r="AS55" s="16" t="str">
        <f t="array" ref="AS55">SUM(SUMIFS(INDIRECT($A$5) ,OtrosR!$C$3:$C66,$A55,OtrosR!$B$3:$B66,AR$1))</f>
        <v>#VALUE!</v>
      </c>
      <c r="AT55" s="98" t="str">
        <f t="shared" si="492"/>
        <v/>
      </c>
      <c r="AU55" s="93" t="str">
        <f t="array" ref="AU55">SUM(SUMIFS(INDIRECT($A$3) ,OtrosR!$C$3:$C66,$A55,OtrosR!$B$3:$B66,AU$1))</f>
        <v>#VALUE!</v>
      </c>
      <c r="AV55" s="17" t="str">
        <f t="array" ref="AV55">SUM(SUMIFS(INDIRECT($A$5) ,OtrosR!$C$3:$C66,$A55,OtrosR!$B$3:$B66,AU$1))</f>
        <v>#VALUE!</v>
      </c>
      <c r="AW55" s="95" t="str">
        <f t="shared" si="493"/>
        <v/>
      </c>
      <c r="AX55" s="96" t="str">
        <f t="array" ref="AX55">SUM(SUMIFS(INDIRECT($A$3) ,OtrosR!$C$3:$C66,$A55,OtrosR!$B$3:$B66,AX$1))</f>
        <v>#VALUE!</v>
      </c>
      <c r="AY55" s="16" t="str">
        <f t="array" ref="AY55">SUM(SUMIFS(INDIRECT($A$5) ,OtrosR!$C$3:$C66,$A55,OtrosR!$B$3:$B66,AX$1))</f>
        <v>#VALUE!</v>
      </c>
      <c r="AZ55" s="98" t="str">
        <f t="shared" si="494"/>
        <v/>
      </c>
      <c r="BA55" s="93" t="str">
        <f t="array" ref="BA55">SUM(SUMIFS(INDIRECT($A$3) ,OtrosR!$C$3:$C66,$A55,OtrosR!$B$3:$B66,BA$1))</f>
        <v>#VALUE!</v>
      </c>
      <c r="BB55" s="17" t="str">
        <f t="array" ref="BB55">SUM(SUMIFS(INDIRECT($A$5) ,OtrosR!$C$3:$C66,$A55,OtrosR!$B$3:$B66,BA$1))</f>
        <v>#VALUE!</v>
      </c>
      <c r="BC55" s="95" t="str">
        <f t="shared" si="495"/>
        <v/>
      </c>
      <c r="BD55" s="96" t="str">
        <f t="array" ref="BD55">SUM(SUMIFS(INDIRECT($A$3) ,OtrosR!$C$3:$C66,$A55,OtrosR!$B$3:$B66,BD$1))</f>
        <v>#VALUE!</v>
      </c>
      <c r="BE55" s="16" t="str">
        <f t="array" ref="BE55">SUM(SUMIFS(INDIRECT($A$5) ,OtrosR!$C$3:$C66,$A55,OtrosR!$B$3:$B66,BD$1))</f>
        <v>#VALUE!</v>
      </c>
      <c r="BF55" s="98" t="str">
        <f t="shared" si="496"/>
        <v/>
      </c>
      <c r="BG55" s="93" t="str">
        <f t="array" ref="BG55">SUM(SUMIFS(INDIRECT($A$3) ,OtrosR!$C$3:$C66,$A55,OtrosR!$B$3:$B66,BG$1))</f>
        <v>#VALUE!</v>
      </c>
      <c r="BH55" s="17" t="str">
        <f t="array" ref="BH55">SUM(SUMIFS(INDIRECT($A$5) ,OtrosR!$C$3:$C66,$A55,OtrosR!$B$3:$B66,BG$1))</f>
        <v>#VALUE!</v>
      </c>
      <c r="BI55" s="95" t="str">
        <f t="shared" si="497"/>
        <v/>
      </c>
      <c r="BJ55" s="96" t="str">
        <f t="array" ref="BJ55">SUM(SUMIFS(INDIRECT($A$3) ,OtrosR!$C$3:$C66,$A55,OtrosR!$B$3:$B66,BJ$1))</f>
        <v>#VALUE!</v>
      </c>
      <c r="BK55" s="16" t="str">
        <f t="array" ref="BK55">SUM(SUMIFS(INDIRECT($A$5) ,OtrosR!$C$3:$C66,$A55,OtrosR!$B$3:$B66,BJ$1))</f>
        <v>#VALUE!</v>
      </c>
      <c r="BL55" s="98" t="str">
        <f t="shared" si="498"/>
        <v/>
      </c>
      <c r="BM55" s="93" t="str">
        <f t="array" ref="BM55">SUM(SUMIFS(INDIRECT($A$3) ,OtrosR!$C$3:$C66,$A55,OtrosR!$B$3:$B66,BM$1))</f>
        <v>#VALUE!</v>
      </c>
      <c r="BN55" s="17" t="str">
        <f t="array" ref="BN55">SUM(SUMIFS(INDIRECT($A$5) ,OtrosR!$C$3:$C66,$A55,OtrosR!$B$3:$B66,BM$1))</f>
        <v>#VALUE!</v>
      </c>
      <c r="BO55" s="95" t="str">
        <f t="shared" si="499"/>
        <v/>
      </c>
      <c r="BP55" s="96" t="str">
        <f t="array" ref="BP55">SUM(SUMIFS(INDIRECT($A$3) ,OtrosR!$C$3:$C66,$A55,OtrosR!$B$3:$B66,BP$1))</f>
        <v>#VALUE!</v>
      </c>
      <c r="BQ55" s="16" t="str">
        <f t="array" ref="BQ55">SUM(SUMIFS(INDIRECT($A$5) ,OtrosR!$C$3:$C66,$A55,OtrosR!$B$3:$B66,BP$1))</f>
        <v>#VALUE!</v>
      </c>
      <c r="BR55" s="98" t="str">
        <f t="shared" si="500"/>
        <v/>
      </c>
      <c r="BS55" s="93" t="str">
        <f t="array" ref="BS55">SUM(SUMIFS(INDIRECT($A$3) ,OtrosR!$C$3:$C66,$A55,OtrosR!$B$3:$B66,BS$1))</f>
        <v>#VALUE!</v>
      </c>
      <c r="BT55" s="17" t="str">
        <f t="array" ref="BT55">SUM(SUMIFS(INDIRECT($A$5) ,OtrosR!$C$3:$C66,$A55,OtrosR!$B$3:$B66,BS$1))</f>
        <v>#VALUE!</v>
      </c>
      <c r="BU55" s="95" t="str">
        <f t="shared" si="501"/>
        <v/>
      </c>
      <c r="BV55" s="96" t="str">
        <f t="array" ref="BV55">SUM(SUMIFS(INDIRECT($A$3) ,OtrosR!$C$3:$C66,$A55,OtrosR!$B$3:$B66,BV$1))</f>
        <v>#VALUE!</v>
      </c>
      <c r="BW55" s="16" t="str">
        <f t="array" ref="BW55">SUM(SUMIFS(INDIRECT($A$5) ,OtrosR!$C$3:$C66,$A55,OtrosR!$B$3:$B66,BV$1))</f>
        <v>#VALUE!</v>
      </c>
      <c r="BX55" s="98" t="str">
        <f t="shared" si="502"/>
        <v/>
      </c>
      <c r="BY55" s="93" t="str">
        <f t="array" ref="BY55">SUM(SUMIFS(INDIRECT($A$3) ,OtrosR!$C$3:$C66,$A55,OtrosR!$B$3:$B66,BY$1))</f>
        <v>#VALUE!</v>
      </c>
      <c r="BZ55" s="17" t="str">
        <f t="array" ref="BZ55">SUM(SUMIFS(INDIRECT($A$5) ,OtrosR!$C$3:$C66,$A55,OtrosR!$B$3:$B66,BY$1))</f>
        <v>#VALUE!</v>
      </c>
      <c r="CA55" s="95" t="str">
        <f t="shared" si="503"/>
        <v/>
      </c>
      <c r="CB55" s="96" t="str">
        <f t="array" ref="CB55">SUM(SUMIFS(INDIRECT($A$3) ,OtrosR!$C$3:$C66,$A55,OtrosR!$B$3:$B66,CB$1))</f>
        <v>#VALUE!</v>
      </c>
      <c r="CC55" s="16" t="str">
        <f t="array" ref="CC55">SUM(SUMIFS(INDIRECT($A$5) ,OtrosR!$C$3:$C66,$A55,OtrosR!$B$3:$B66,CB$1))</f>
        <v>#VALUE!</v>
      </c>
      <c r="CD55" s="98" t="str">
        <f t="shared" si="504"/>
        <v/>
      </c>
      <c r="CE55" s="93" t="str">
        <f t="array" ref="CE55">SUM(SUMIFS(INDIRECT($A$3) ,OtrosR!$C$3:$C66,$A55,OtrosR!$B$3:$B66,CE$1))</f>
        <v>#VALUE!</v>
      </c>
      <c r="CF55" s="17" t="str">
        <f t="array" ref="CF55">SUM(SUMIFS(INDIRECT($A$5) ,OtrosR!$C$3:$C66,$A55,OtrosR!$B$3:$B66,CE$1))</f>
        <v>#VALUE!</v>
      </c>
      <c r="CG55" s="95" t="str">
        <f t="shared" si="505"/>
        <v/>
      </c>
      <c r="CH55" s="96" t="str">
        <f t="array" ref="CH55">SUM(SUMIFS(INDIRECT($A$3) ,OtrosR!$C$3:$C66,$A55,OtrosR!$B$3:$B66,CH$1))</f>
        <v>#VALUE!</v>
      </c>
      <c r="CI55" s="16" t="str">
        <f t="array" ref="CI55">SUM(SUMIFS(INDIRECT($A$5) ,OtrosR!$C$3:$C66,$A55,OtrosR!$B$3:$B66,CH$1))</f>
        <v>#VALUE!</v>
      </c>
      <c r="CJ55" s="98" t="str">
        <f t="shared" si="506"/>
        <v/>
      </c>
      <c r="CK55" s="93" t="str">
        <f t="array" ref="CK55">SUM(SUMIFS(INDIRECT($A$3) ,OtrosR!$C$3:$C66,$A55,OtrosR!$B$3:$B66,CK$1))</f>
        <v>#VALUE!</v>
      </c>
      <c r="CL55" s="17" t="str">
        <f t="array" ref="CL55">SUM(SUMIFS(INDIRECT($A$5) ,OtrosR!$C$3:$C66,$A55,OtrosR!$B$3:$B66,CK$1))</f>
        <v>#VALUE!</v>
      </c>
      <c r="CM55" s="95" t="str">
        <f t="shared" si="507"/>
        <v/>
      </c>
      <c r="CN55" s="96" t="str">
        <f t="array" ref="CN55">SUM(SUMIFS(INDIRECT($A$3) ,OtrosR!$C$3:$C66,$A55,OtrosR!$B$3:$B66,CN$1))</f>
        <v>#VALUE!</v>
      </c>
      <c r="CO55" s="16" t="str">
        <f t="array" ref="CO55">SUM(SUMIFS(INDIRECT($A$5) ,OtrosR!$C$3:$C66,$A55,OtrosR!$B$3:$B66,CN$1))</f>
        <v>#VALUE!</v>
      </c>
      <c r="CP55" s="98" t="str">
        <f t="shared" si="508"/>
        <v/>
      </c>
      <c r="CQ55" s="93" t="str">
        <f t="array" ref="CQ55">SUM(SUMIFS(INDIRECT($A$3) ,OtrosR!$C$3:$C66,$A55,OtrosR!$B$3:$B66,CQ$1))</f>
        <v>#VALUE!</v>
      </c>
      <c r="CR55" s="17" t="str">
        <f t="array" ref="CR55">SUM(SUMIFS(INDIRECT($A$5) ,OtrosR!$C$3:$C66,$A55,OtrosR!$B$3:$B66,CQ$1))</f>
        <v>#VALUE!</v>
      </c>
      <c r="CS55" s="95" t="str">
        <f t="shared" si="509"/>
        <v/>
      </c>
      <c r="CT55" s="96" t="str">
        <f t="array" ref="CT55">SUM(SUMIFS(INDIRECT($A$3) ,OtrosR!$C$3:$C66,$A55,OtrosR!$B$3:$B66,CT$1))</f>
        <v>#VALUE!</v>
      </c>
      <c r="CU55" s="16" t="str">
        <f t="array" ref="CU55">SUM(SUMIFS(INDIRECT($A$5) ,OtrosR!$C$3:$C66,$A55,OtrosR!$B$3:$B66,CT$1))</f>
        <v>#VALUE!</v>
      </c>
      <c r="CV55" s="98" t="str">
        <f t="shared" si="510"/>
        <v/>
      </c>
      <c r="CW55" s="93" t="str">
        <f t="array" ref="CW55">SUM(SUMIFS(INDIRECT($A$3) ,OtrosR!$C$3:$C66,$A55,OtrosR!$B$3:$B66,CW$1))</f>
        <v>#VALUE!</v>
      </c>
      <c r="CX55" s="17" t="str">
        <f t="array" ref="CX55">SUM(SUMIFS(INDIRECT($A$5) ,OtrosR!$C$3:$C66,$A55,OtrosR!$B$3:$B66,CW$1))</f>
        <v>#VALUE!</v>
      </c>
      <c r="CY55" s="95" t="str">
        <f t="shared" si="511"/>
        <v/>
      </c>
      <c r="CZ55" s="96" t="str">
        <f t="array" ref="CZ55">SUM(SUMIFS(INDIRECT($A$3) ,OtrosR!$C$3:$C66,$A55,OtrosR!$B$3:$B66,CZ$1))</f>
        <v>#VALUE!</v>
      </c>
      <c r="DA55" s="16" t="str">
        <f t="array" ref="DA55">SUM(SUMIFS(INDIRECT($A$5) ,OtrosR!$C$3:$C66,$A55,OtrosR!$B$3:$B66,CZ$1))</f>
        <v>#VALUE!</v>
      </c>
      <c r="DB55" s="98" t="str">
        <f t="shared" si="512"/>
        <v/>
      </c>
      <c r="DC55" s="93" t="str">
        <f t="array" ref="DC55">SUM(SUMIFS(INDIRECT($A$3) ,OtrosR!$C$3:$C66,$A55,OtrosR!$B$3:$B66,DC$1))</f>
        <v>#VALUE!</v>
      </c>
      <c r="DD55" s="17" t="str">
        <f t="array" ref="DD55">SUM(SUMIFS(INDIRECT($A$5) ,OtrosR!$C$3:$C66,$A55,OtrosR!$B$3:$B66,DC$1))</f>
        <v>#VALUE!</v>
      </c>
      <c r="DE55" s="95" t="str">
        <f t="shared" si="513"/>
        <v/>
      </c>
      <c r="DF55" s="96" t="str">
        <f t="array" ref="DF55">SUM(SUMIFS(INDIRECT($A$3) ,OtrosR!$C$3:$C66,$A55,OtrosR!$B$3:$B66,DF$1))</f>
        <v>#VALUE!</v>
      </c>
      <c r="DG55" s="16" t="str">
        <f t="array" ref="DG55">SUM(SUMIFS(INDIRECT($A$5) ,OtrosR!$C$3:$C66,$A55,OtrosR!$B$3:$B66,DF$1))</f>
        <v>#VALUE!</v>
      </c>
      <c r="DH55" s="98" t="str">
        <f t="shared" si="514"/>
        <v/>
      </c>
      <c r="DI55" s="93" t="str">
        <f t="array" ref="DI55">SUM(SUMIFS(INDIRECT($A$3) ,OtrosR!$C$3:$C66,$A55,OtrosR!$B$3:$B66,DI$1))</f>
        <v>#VALUE!</v>
      </c>
      <c r="DJ55" s="17" t="str">
        <f t="array" ref="DJ55">SUM(SUMIFS(INDIRECT($A$5) ,OtrosR!$C$3:$C66,$A55,OtrosR!$B$3:$B66,DI$1))</f>
        <v>#VALUE!</v>
      </c>
      <c r="DK55" s="95" t="str">
        <f t="shared" si="515"/>
        <v/>
      </c>
      <c r="DL55" s="96" t="str">
        <f t="array" ref="DL55">SUM(SUMIFS(INDIRECT($A$3) ,OtrosR!$C$3:$C66,$A55,OtrosR!$B$3:$B66,DL$1))</f>
        <v>#VALUE!</v>
      </c>
      <c r="DM55" s="16" t="str">
        <f t="array" ref="DM55">SUM(SUMIFS(INDIRECT($A$5) ,OtrosR!$C$3:$C66,$A55,OtrosR!$B$3:$B66,DL$1))</f>
        <v>#VALUE!</v>
      </c>
      <c r="DN55" s="98" t="str">
        <f t="shared" si="516"/>
        <v/>
      </c>
      <c r="DO55" s="93" t="str">
        <f t="array" ref="DO55">SUM(SUMIFS(INDIRECT($A$3) ,OtrosR!$C$3:$C66,$A55,OtrosR!$B$3:$B66,DO$1))</f>
        <v>#VALUE!</v>
      </c>
      <c r="DP55" s="17" t="str">
        <f t="array" ref="DP55">SUM(SUMIFS(INDIRECT($A$5) ,OtrosR!$C$3:$C66,$A55,OtrosR!$B$3:$B66,DO$1))</f>
        <v>#VALUE!</v>
      </c>
      <c r="DQ55" s="95" t="str">
        <f t="shared" si="517"/>
        <v/>
      </c>
      <c r="DR55" s="96" t="str">
        <f t="array" ref="DR55">SUM(SUMIFS(INDIRECT($A$3) ,OtrosR!$C$3:$C66,$A55,OtrosR!$B$3:$B66,DR$1))</f>
        <v>#VALUE!</v>
      </c>
      <c r="DS55" s="16" t="str">
        <f t="array" ref="DS55">SUM(SUMIFS(INDIRECT($A$5) ,OtrosR!$C$3:$C66,$A55,OtrosR!$B$3:$B66,DR$1))</f>
        <v>#VALUE!</v>
      </c>
      <c r="DT55" s="98" t="str">
        <f t="shared" si="518"/>
        <v/>
      </c>
      <c r="DU55" s="93" t="str">
        <f t="array" ref="DU55">SUM(SUMIFS(INDIRECT($A$3) ,OtrosR!$C$3:$C66,$A55,OtrosR!$B$3:$B66,DU$1))</f>
        <v>#VALUE!</v>
      </c>
      <c r="DV55" s="17" t="str">
        <f t="array" ref="DV55">SUM(SUMIFS(INDIRECT($A$5) ,OtrosR!$C$3:$C66,$A55,OtrosR!$B$3:$B66,DU$1))</f>
        <v>#VALUE!</v>
      </c>
      <c r="DW55" s="95" t="str">
        <f t="shared" si="519"/>
        <v/>
      </c>
      <c r="DX55" s="96" t="str">
        <f t="array" ref="DX55">SUM(SUMIFS(INDIRECT($A$3) ,OtrosR!$C$3:$C66,$A55,OtrosR!$B$3:$B66,DX$1))</f>
        <v>#VALUE!</v>
      </c>
      <c r="DY55" s="16" t="str">
        <f t="array" ref="DY55">SUM(SUMIFS(INDIRECT($A$5) ,OtrosR!$C$3:$C66,$A55,OtrosR!$B$3:$B66,DX$1))</f>
        <v>#VALUE!</v>
      </c>
      <c r="DZ55" s="98" t="str">
        <f t="shared" si="520"/>
        <v/>
      </c>
      <c r="EA55" s="93" t="str">
        <f t="array" ref="EA55">SUM(SUMIFS(INDIRECT($A$3) ,OtrosR!$C$3:$C66,$A55,OtrosR!$B$3:$B66,EA$1))</f>
        <v>#VALUE!</v>
      </c>
      <c r="EB55" s="17" t="str">
        <f t="array" ref="EB55">SUM(SUMIFS(INDIRECT($A$5) ,OtrosR!$C$3:$C66,$A55,OtrosR!$B$3:$B66,EA$1))</f>
        <v>#VALUE!</v>
      </c>
      <c r="EC55" s="95" t="str">
        <f t="shared" si="521"/>
        <v/>
      </c>
      <c r="ED55" s="96" t="str">
        <f t="array" ref="ED55">SUM(SUMIFS(INDIRECT($A$3) ,OtrosR!$C$3:$C66,$A55,OtrosR!$B$3:$B66,ED$1))</f>
        <v>#VALUE!</v>
      </c>
      <c r="EE55" s="16" t="str">
        <f t="array" ref="EE55">SUM(SUMIFS(INDIRECT($A$5) ,OtrosR!$C$3:$C66,$A55,OtrosR!$B$3:$B66,ED$1))</f>
        <v>#VALUE!</v>
      </c>
      <c r="EF55" s="98" t="str">
        <f t="shared" si="522"/>
        <v/>
      </c>
      <c r="EG55" s="93" t="str">
        <f t="array" ref="EG55">SUM(SUMIFS(INDIRECT($A$3) ,OtrosR!$C$3:$C66,$A55,OtrosR!$B$3:$B66,EG$1))</f>
        <v>#VALUE!</v>
      </c>
      <c r="EH55" s="17" t="str">
        <f t="array" ref="EH55">SUM(SUMIFS(INDIRECT($A$5) ,OtrosR!$C$3:$C66,$A55,OtrosR!$B$3:$B66,EG$1))</f>
        <v>#VALUE!</v>
      </c>
      <c r="EI55" s="95" t="str">
        <f t="shared" si="523"/>
        <v/>
      </c>
      <c r="EJ55" s="96" t="str">
        <f t="array" ref="EJ55">SUM(SUMIFS(INDIRECT($A$3) ,OtrosR!$C$3:$C66,$A55,OtrosR!$B$3:$B66,EJ$1))</f>
        <v>#VALUE!</v>
      </c>
      <c r="EK55" s="16" t="str">
        <f t="array" ref="EK55">SUM(SUMIFS(INDIRECT($A$5) ,OtrosR!$C$3:$C66,$A55,OtrosR!$B$3:$B66,EJ$1))</f>
        <v>#VALUE!</v>
      </c>
      <c r="EL55" s="98" t="str">
        <f t="shared" si="524"/>
        <v/>
      </c>
      <c r="EM55" s="93" t="str">
        <f t="array" ref="EM55">SUM(SUMIFS(INDIRECT($A$3) ,OtrosR!$C$3:$C66,$A55,OtrosR!$B$3:$B66,EM$1))</f>
        <v>#VALUE!</v>
      </c>
      <c r="EN55" s="17" t="str">
        <f t="array" ref="EN55">SUM(SUMIFS(INDIRECT($A$5) ,OtrosR!$C$3:$C66,$A55,OtrosR!$B$3:$B66,EM$1))</f>
        <v>#VALUE!</v>
      </c>
      <c r="EO55" s="95" t="str">
        <f t="shared" si="525"/>
        <v/>
      </c>
      <c r="EP55" s="96" t="str">
        <f t="array" ref="EP55">SUM(SUMIFS(INDIRECT($A$3) ,OtrosR!$C$3:$C66,$A55,OtrosR!$B$3:$B66,EP$1))</f>
        <v>#VALUE!</v>
      </c>
      <c r="EQ55" s="16" t="str">
        <f t="array" ref="EQ55">SUM(SUMIFS(INDIRECT($A$5) ,OtrosR!$C$3:$C66,$A55,OtrosR!$B$3:$B66,EP$1))</f>
        <v>#VALUE!</v>
      </c>
      <c r="ER55" s="98" t="str">
        <f t="shared" si="526"/>
        <v/>
      </c>
      <c r="ES55" s="93" t="str">
        <f t="array" ref="ES55">SUM(SUMIFS(INDIRECT($A$3) ,OtrosR!$C$3:$C66,$A55,OtrosR!$B$3:$B66,ES$1))</f>
        <v>#VALUE!</v>
      </c>
      <c r="ET55" s="17" t="str">
        <f t="array" ref="ET55">SUM(SUMIFS(INDIRECT($A$5) ,OtrosR!$C$3:$C66,$A55,OtrosR!$B$3:$B66,ES$1))</f>
        <v>#VALUE!</v>
      </c>
      <c r="EU55" s="95" t="str">
        <f t="shared" si="527"/>
        <v/>
      </c>
      <c r="EV55" s="96" t="str">
        <f t="array" ref="EV55">SUM(SUMIFS(INDIRECT($A$3) ,OtrosR!$C$3:$C66,$A55,OtrosR!$B$3:$B66,EV$1))</f>
        <v>#VALUE!</v>
      </c>
      <c r="EW55" s="16" t="str">
        <f t="array" ref="EW55">SUM(SUMIFS(INDIRECT($A$5) ,OtrosR!$C$3:$C66,$A55,OtrosR!$B$3:$B66,EV$1))</f>
        <v>#VALUE!</v>
      </c>
      <c r="EX55" s="98" t="str">
        <f t="shared" si="528"/>
        <v/>
      </c>
      <c r="EY55" s="93" t="str">
        <f t="array" ref="EY55">SUM(SUMIFS(INDIRECT($A$3) ,OtrosR!$C$3:$C66,$A55,OtrosR!$B$3:$B66,EY$1))</f>
        <v>#VALUE!</v>
      </c>
      <c r="EZ55" s="17" t="str">
        <f t="array" ref="EZ55">SUM(SUMIFS(INDIRECT($A$5) ,OtrosR!$C$3:$C66,$A55,OtrosR!$B$3:$B66,EY$1))</f>
        <v>#VALUE!</v>
      </c>
      <c r="FA55" s="95" t="str">
        <f t="shared" si="529"/>
        <v/>
      </c>
      <c r="FB55" s="96" t="str">
        <f t="array" ref="FB55">SUM(SUMIFS(INDIRECT($A$3) ,OtrosR!$C$3:$C66,$A55,OtrosR!$B$3:$B66,FB$1))</f>
        <v>#VALUE!</v>
      </c>
      <c r="FC55" s="16" t="str">
        <f t="array" ref="FC55">SUM(SUMIFS(INDIRECT($A$5) ,OtrosR!$C$3:$C66,$A55,OtrosR!$B$3:$B66,FB$1))</f>
        <v>#VALUE!</v>
      </c>
      <c r="FD55" s="98" t="str">
        <f t="shared" si="530"/>
        <v/>
      </c>
      <c r="FE55" s="93" t="str">
        <f t="array" ref="FE55">SUM(SUMIFS(INDIRECT($A$3) ,OtrosR!$C$3:$C66,$A55,OtrosR!$B$3:$B66,FE$1))</f>
        <v>#VALUE!</v>
      </c>
      <c r="FF55" s="17" t="str">
        <f t="array" ref="FF55">SUM(SUMIFS(INDIRECT($A$5) ,OtrosR!$C$3:$C66,$A55,OtrosR!$B$3:$B66,FE$1))</f>
        <v>#VALUE!</v>
      </c>
      <c r="FG55" s="95" t="str">
        <f t="shared" si="531"/>
        <v/>
      </c>
      <c r="FH55" s="96" t="str">
        <f t="array" ref="FH55">SUM(SUMIFS(INDIRECT($A$3) ,OtrosR!$C$3:$C66,$A55,OtrosR!$B$3:$B66,FH$1))</f>
        <v>#VALUE!</v>
      </c>
      <c r="FI55" s="16" t="str">
        <f t="array" ref="FI55">SUM(SUMIFS(INDIRECT($A$5) ,OtrosR!$C$3:$C66,$A55,OtrosR!$B$3:$B66,FH$1))</f>
        <v>#VALUE!</v>
      </c>
      <c r="FJ55" s="98" t="str">
        <f t="shared" si="532"/>
        <v/>
      </c>
    </row>
    <row r="56" ht="9.0" customHeight="1">
      <c r="A56" s="50"/>
      <c r="B56" s="6"/>
      <c r="D56" s="6"/>
      <c r="E56" s="75"/>
      <c r="F56" s="6"/>
      <c r="G56" s="6"/>
      <c r="H56" s="75"/>
      <c r="I56" s="6"/>
      <c r="J56" s="48"/>
      <c r="K56" s="75"/>
      <c r="L56" s="6"/>
      <c r="M56" s="48"/>
      <c r="N56" s="75"/>
      <c r="O56" s="6"/>
      <c r="P56" s="48"/>
      <c r="Q56" s="75"/>
      <c r="R56" s="6"/>
      <c r="S56" s="48"/>
      <c r="T56" s="75"/>
      <c r="U56" s="6"/>
      <c r="V56" s="48"/>
      <c r="W56" s="75"/>
      <c r="X56" s="6"/>
      <c r="Y56" s="48"/>
      <c r="Z56" s="75"/>
      <c r="AA56" s="6"/>
      <c r="AB56" s="48"/>
      <c r="AC56" s="75"/>
      <c r="AD56" s="6"/>
      <c r="AE56" s="48"/>
      <c r="AF56" s="75"/>
      <c r="AG56" s="6"/>
      <c r="AH56" s="48"/>
      <c r="AI56" s="75"/>
      <c r="AJ56" s="6"/>
      <c r="AK56" s="48"/>
      <c r="AL56" s="75"/>
      <c r="AM56" s="6"/>
      <c r="AN56" s="48"/>
      <c r="AO56" s="75"/>
      <c r="AP56" s="6"/>
      <c r="AQ56" s="48"/>
      <c r="AR56" s="75"/>
      <c r="AS56" s="6"/>
      <c r="AT56" s="48"/>
      <c r="AU56" s="75"/>
      <c r="AV56" s="6"/>
      <c r="AW56" s="48"/>
      <c r="AX56" s="75"/>
      <c r="AY56" s="6"/>
      <c r="AZ56" s="48"/>
      <c r="BA56" s="75"/>
      <c r="BB56" s="6"/>
      <c r="BC56" s="48"/>
      <c r="BD56" s="75"/>
      <c r="BE56" s="6"/>
      <c r="BF56" s="48"/>
      <c r="BG56" s="75"/>
      <c r="BH56" s="6"/>
      <c r="BI56" s="48"/>
      <c r="BJ56" s="75"/>
      <c r="BK56" s="6"/>
      <c r="BL56" s="48"/>
      <c r="BM56" s="75"/>
      <c r="BN56" s="6"/>
      <c r="BO56" s="48"/>
      <c r="BP56" s="75"/>
      <c r="BQ56" s="6"/>
      <c r="BR56" s="48"/>
      <c r="BS56" s="75"/>
      <c r="BT56" s="6"/>
      <c r="BU56" s="48"/>
      <c r="BV56" s="75"/>
      <c r="BW56" s="6"/>
      <c r="BX56" s="48"/>
      <c r="BY56" s="75"/>
      <c r="BZ56" s="6"/>
      <c r="CA56" s="48"/>
      <c r="CB56" s="75"/>
      <c r="CC56" s="6"/>
      <c r="CD56" s="48"/>
      <c r="CE56" s="75"/>
      <c r="CF56" s="6"/>
      <c r="CG56" s="48"/>
      <c r="CH56" s="75"/>
      <c r="CI56" s="6"/>
      <c r="CJ56" s="48"/>
      <c r="CK56" s="75"/>
      <c r="CL56" s="6"/>
      <c r="CM56" s="48"/>
      <c r="CN56" s="75"/>
      <c r="CO56" s="6"/>
      <c r="CP56" s="48"/>
      <c r="CQ56" s="75"/>
      <c r="CR56" s="6"/>
      <c r="CS56" s="48"/>
      <c r="CT56" s="75"/>
      <c r="CU56" s="6"/>
      <c r="CV56" s="48"/>
      <c r="CW56" s="75"/>
      <c r="CX56" s="6"/>
      <c r="CY56" s="48"/>
      <c r="CZ56" s="75"/>
      <c r="DA56" s="6"/>
      <c r="DB56" s="48"/>
      <c r="DC56" s="75"/>
      <c r="DD56" s="6"/>
      <c r="DE56" s="48"/>
      <c r="DF56" s="75"/>
      <c r="DG56" s="6"/>
      <c r="DH56" s="48"/>
      <c r="DI56" s="75"/>
      <c r="DJ56" s="6"/>
      <c r="DK56" s="48"/>
      <c r="DL56" s="75"/>
      <c r="DM56" s="6"/>
      <c r="DN56" s="48"/>
      <c r="DO56" s="75"/>
      <c r="DP56" s="6"/>
      <c r="DQ56" s="48"/>
      <c r="DR56" s="75"/>
      <c r="DS56" s="6"/>
      <c r="DT56" s="48"/>
      <c r="DU56" s="75"/>
      <c r="DV56" s="6"/>
      <c r="DW56" s="48"/>
      <c r="DX56" s="75"/>
      <c r="DY56" s="6"/>
      <c r="DZ56" s="48"/>
      <c r="EA56" s="75"/>
      <c r="EB56" s="6"/>
      <c r="EC56" s="48"/>
      <c r="ED56" s="75"/>
      <c r="EE56" s="6"/>
      <c r="EF56" s="48"/>
      <c r="EG56" s="75"/>
      <c r="EH56" s="6"/>
      <c r="EI56" s="48"/>
      <c r="EJ56" s="75"/>
      <c r="EK56" s="6"/>
      <c r="EL56" s="48"/>
      <c r="EM56" s="75"/>
      <c r="EN56" s="6"/>
      <c r="EO56" s="48"/>
      <c r="EP56" s="75"/>
      <c r="EQ56" s="6"/>
      <c r="ER56" s="48"/>
      <c r="ES56" s="75"/>
      <c r="ET56" s="6"/>
      <c r="EU56" s="48"/>
      <c r="EV56" s="75"/>
      <c r="EW56" s="6"/>
      <c r="EX56" s="48"/>
      <c r="EY56" s="75"/>
      <c r="EZ56" s="6"/>
      <c r="FA56" s="48"/>
      <c r="FB56" s="75"/>
      <c r="FC56" s="6"/>
      <c r="FD56" s="48"/>
      <c r="FE56" s="75"/>
      <c r="FF56" s="6"/>
      <c r="FG56" s="48"/>
      <c r="FH56" s="75"/>
      <c r="FI56" s="6"/>
      <c r="FJ56" s="48"/>
    </row>
    <row r="57" ht="15.75" customHeight="1">
      <c r="A57" s="12" t="s">
        <v>20</v>
      </c>
      <c r="B57" s="13" t="str">
        <f t="shared" ref="B57:C57" si="533">SUM(B58:B66)</f>
        <v>#VALUE!</v>
      </c>
      <c r="C57" s="13" t="str">
        <f t="shared" si="533"/>
        <v>#VALUE!</v>
      </c>
      <c r="D57" s="13" t="str">
        <f t="shared" ref="D57:D61" si="588">C57-B57</f>
        <v>#VALUE!</v>
      </c>
      <c r="E57" s="108" t="str">
        <f t="shared" ref="E57:F57" si="534">SUM(E58:E66)</f>
        <v>#VALUE!</v>
      </c>
      <c r="F57" s="12" t="str">
        <f t="shared" si="534"/>
        <v>#VALUE!</v>
      </c>
      <c r="G57" s="81" t="str">
        <f t="shared" ref="G57:G61" si="589">F57-E57</f>
        <v>#VALUE!</v>
      </c>
      <c r="H57" s="80" t="str">
        <f t="shared" ref="H57:I57" si="535">SUM(H58:H66)</f>
        <v>#VALUE!</v>
      </c>
      <c r="I57" s="53" t="str">
        <f t="shared" si="535"/>
        <v>#VALUE!</v>
      </c>
      <c r="J57" s="81" t="str">
        <f>I57-H57</f>
        <v>#VALUE!</v>
      </c>
      <c r="K57" s="82" t="str">
        <f t="shared" ref="K57:L57" si="536">SUM(K58:K66)</f>
        <v>#VALUE!</v>
      </c>
      <c r="L57" s="14" t="str">
        <f t="shared" si="536"/>
        <v>#VALUE!</v>
      </c>
      <c r="M57" s="83" t="str">
        <f>L57-K57</f>
        <v>#VALUE!</v>
      </c>
      <c r="N57" s="84" t="str">
        <f t="shared" ref="N57:O57" si="537">SUM(N58:N66)</f>
        <v>#VALUE!</v>
      </c>
      <c r="O57" s="13" t="str">
        <f t="shared" si="537"/>
        <v>#VALUE!</v>
      </c>
      <c r="P57" s="85" t="str">
        <f>O57-N57</f>
        <v>#VALUE!</v>
      </c>
      <c r="Q57" s="82" t="str">
        <f t="shared" ref="Q57:R57" si="538">SUM(Q58:Q66)</f>
        <v>#VALUE!</v>
      </c>
      <c r="R57" s="14" t="str">
        <f t="shared" si="538"/>
        <v>#VALUE!</v>
      </c>
      <c r="S57" s="83" t="str">
        <f>R57-Q57</f>
        <v>#VALUE!</v>
      </c>
      <c r="T57" s="84" t="str">
        <f t="shared" ref="T57:U57" si="539">SUM(T58:T66)</f>
        <v>#VALUE!</v>
      </c>
      <c r="U57" s="13" t="str">
        <f t="shared" si="539"/>
        <v>#VALUE!</v>
      </c>
      <c r="V57" s="85" t="str">
        <f>U57-T57</f>
        <v>#VALUE!</v>
      </c>
      <c r="W57" s="82" t="str">
        <f t="shared" ref="W57:X57" si="540">SUM(W58:W66)</f>
        <v>#VALUE!</v>
      </c>
      <c r="X57" s="14" t="str">
        <f t="shared" si="540"/>
        <v>#VALUE!</v>
      </c>
      <c r="Y57" s="83" t="str">
        <f>X57-W57</f>
        <v>#VALUE!</v>
      </c>
      <c r="Z57" s="84" t="str">
        <f t="shared" ref="Z57:AA57" si="541">SUM(Z58:Z66)</f>
        <v>#VALUE!</v>
      </c>
      <c r="AA57" s="13" t="str">
        <f t="shared" si="541"/>
        <v>#VALUE!</v>
      </c>
      <c r="AB57" s="85" t="str">
        <f>AA57-Z57</f>
        <v>#VALUE!</v>
      </c>
      <c r="AC57" s="82" t="str">
        <f t="shared" ref="AC57:AD57" si="542">SUM(AC58:AC66)</f>
        <v>#VALUE!</v>
      </c>
      <c r="AD57" s="14" t="str">
        <f t="shared" si="542"/>
        <v>#VALUE!</v>
      </c>
      <c r="AE57" s="83" t="str">
        <f>AD57-AC57</f>
        <v>#VALUE!</v>
      </c>
      <c r="AF57" s="84" t="str">
        <f t="shared" ref="AF57:AG57" si="543">SUM(AF58:AF66)</f>
        <v>#VALUE!</v>
      </c>
      <c r="AG57" s="13" t="str">
        <f t="shared" si="543"/>
        <v>#VALUE!</v>
      </c>
      <c r="AH57" s="85" t="str">
        <f>AG57-AF57</f>
        <v>#VALUE!</v>
      </c>
      <c r="AI57" s="82" t="str">
        <f t="shared" ref="AI57:AJ57" si="544">SUM(AI58:AI66)</f>
        <v>#VALUE!</v>
      </c>
      <c r="AJ57" s="14" t="str">
        <f t="shared" si="544"/>
        <v>#VALUE!</v>
      </c>
      <c r="AK57" s="83" t="str">
        <f>AJ57-AI57</f>
        <v>#VALUE!</v>
      </c>
      <c r="AL57" s="84" t="str">
        <f t="shared" ref="AL57:AM57" si="545">SUM(AL58:AL66)</f>
        <v>#VALUE!</v>
      </c>
      <c r="AM57" s="13" t="str">
        <f t="shared" si="545"/>
        <v>#VALUE!</v>
      </c>
      <c r="AN57" s="85" t="str">
        <f>AM57-AL57</f>
        <v>#VALUE!</v>
      </c>
      <c r="AO57" s="82" t="str">
        <f t="shared" ref="AO57:AP57" si="546">SUM(AO58:AO66)</f>
        <v>#VALUE!</v>
      </c>
      <c r="AP57" s="14" t="str">
        <f t="shared" si="546"/>
        <v>#VALUE!</v>
      </c>
      <c r="AQ57" s="83" t="str">
        <f>AP57-AO57</f>
        <v>#VALUE!</v>
      </c>
      <c r="AR57" s="84" t="str">
        <f t="shared" ref="AR57:AS57" si="547">SUM(AR58:AR66)</f>
        <v>#VALUE!</v>
      </c>
      <c r="AS57" s="13" t="str">
        <f t="shared" si="547"/>
        <v>#VALUE!</v>
      </c>
      <c r="AT57" s="85" t="str">
        <f>AS57-AR57</f>
        <v>#VALUE!</v>
      </c>
      <c r="AU57" s="82" t="str">
        <f t="shared" ref="AU57:AV57" si="548">SUM(AU58:AU66)</f>
        <v>#VALUE!</v>
      </c>
      <c r="AV57" s="14" t="str">
        <f t="shared" si="548"/>
        <v>#VALUE!</v>
      </c>
      <c r="AW57" s="83" t="str">
        <f>AV57-AU57</f>
        <v>#VALUE!</v>
      </c>
      <c r="AX57" s="84" t="str">
        <f t="shared" ref="AX57:AY57" si="549">SUM(AX58:AX66)</f>
        <v>#VALUE!</v>
      </c>
      <c r="AY57" s="13" t="str">
        <f t="shared" si="549"/>
        <v>#VALUE!</v>
      </c>
      <c r="AZ57" s="85" t="str">
        <f>AY57-AX57</f>
        <v>#VALUE!</v>
      </c>
      <c r="BA57" s="82" t="str">
        <f t="shared" ref="BA57:BB57" si="550">SUM(BA58:BA66)</f>
        <v>#VALUE!</v>
      </c>
      <c r="BB57" s="14" t="str">
        <f t="shared" si="550"/>
        <v>#VALUE!</v>
      </c>
      <c r="BC57" s="83" t="str">
        <f>BB57-BA57</f>
        <v>#VALUE!</v>
      </c>
      <c r="BD57" s="84" t="str">
        <f t="shared" ref="BD57:BE57" si="551">SUM(BD58:BD66)</f>
        <v>#VALUE!</v>
      </c>
      <c r="BE57" s="13" t="str">
        <f t="shared" si="551"/>
        <v>#VALUE!</v>
      </c>
      <c r="BF57" s="85" t="str">
        <f>BE57-BD57</f>
        <v>#VALUE!</v>
      </c>
      <c r="BG57" s="82" t="str">
        <f t="shared" ref="BG57:BH57" si="552">SUM(BG58:BG66)</f>
        <v>#VALUE!</v>
      </c>
      <c r="BH57" s="14" t="str">
        <f t="shared" si="552"/>
        <v>#VALUE!</v>
      </c>
      <c r="BI57" s="83" t="str">
        <f>BH57-BG57</f>
        <v>#VALUE!</v>
      </c>
      <c r="BJ57" s="84" t="str">
        <f t="shared" ref="BJ57:BK57" si="553">SUM(BJ58:BJ66)</f>
        <v>#VALUE!</v>
      </c>
      <c r="BK57" s="13" t="str">
        <f t="shared" si="553"/>
        <v>#VALUE!</v>
      </c>
      <c r="BL57" s="85" t="str">
        <f>BK57-BJ57</f>
        <v>#VALUE!</v>
      </c>
      <c r="BM57" s="82" t="str">
        <f t="shared" ref="BM57:BN57" si="554">SUM(BM58:BM66)</f>
        <v>#VALUE!</v>
      </c>
      <c r="BN57" s="14" t="str">
        <f t="shared" si="554"/>
        <v>#VALUE!</v>
      </c>
      <c r="BO57" s="83" t="str">
        <f>BN57-BM57</f>
        <v>#VALUE!</v>
      </c>
      <c r="BP57" s="84" t="str">
        <f t="shared" ref="BP57:BQ57" si="555">SUM(BP58:BP66)</f>
        <v>#VALUE!</v>
      </c>
      <c r="BQ57" s="13" t="str">
        <f t="shared" si="555"/>
        <v>#VALUE!</v>
      </c>
      <c r="BR57" s="85" t="str">
        <f>BQ57-BP57</f>
        <v>#VALUE!</v>
      </c>
      <c r="BS57" s="82" t="str">
        <f t="shared" ref="BS57:BT57" si="556">SUM(BS58:BS66)</f>
        <v>#VALUE!</v>
      </c>
      <c r="BT57" s="14" t="str">
        <f t="shared" si="556"/>
        <v>#VALUE!</v>
      </c>
      <c r="BU57" s="83" t="str">
        <f>BT57-BS57</f>
        <v>#VALUE!</v>
      </c>
      <c r="BV57" s="84" t="str">
        <f t="shared" ref="BV57:BW57" si="557">SUM(BV58:BV66)</f>
        <v>#VALUE!</v>
      </c>
      <c r="BW57" s="13" t="str">
        <f t="shared" si="557"/>
        <v>#VALUE!</v>
      </c>
      <c r="BX57" s="85" t="str">
        <f>BW57-BV57</f>
        <v>#VALUE!</v>
      </c>
      <c r="BY57" s="82" t="str">
        <f t="shared" ref="BY57:BZ57" si="558">SUM(BY58:BY66)</f>
        <v>#VALUE!</v>
      </c>
      <c r="BZ57" s="14" t="str">
        <f t="shared" si="558"/>
        <v>#VALUE!</v>
      </c>
      <c r="CA57" s="83" t="str">
        <f>BZ57-BY57</f>
        <v>#VALUE!</v>
      </c>
      <c r="CB57" s="84" t="str">
        <f t="shared" ref="CB57:CC57" si="559">SUM(CB58:CB66)</f>
        <v>#VALUE!</v>
      </c>
      <c r="CC57" s="13" t="str">
        <f t="shared" si="559"/>
        <v>#VALUE!</v>
      </c>
      <c r="CD57" s="85" t="str">
        <f>CC57-CB57</f>
        <v>#VALUE!</v>
      </c>
      <c r="CE57" s="82" t="str">
        <f t="shared" ref="CE57:CF57" si="560">SUM(CE58:CE66)</f>
        <v>#VALUE!</v>
      </c>
      <c r="CF57" s="14" t="str">
        <f t="shared" si="560"/>
        <v>#VALUE!</v>
      </c>
      <c r="CG57" s="83" t="str">
        <f>CF57-CE57</f>
        <v>#VALUE!</v>
      </c>
      <c r="CH57" s="84" t="str">
        <f t="shared" ref="CH57:CI57" si="561">SUM(CH58:CH66)</f>
        <v>#VALUE!</v>
      </c>
      <c r="CI57" s="13" t="str">
        <f t="shared" si="561"/>
        <v>#VALUE!</v>
      </c>
      <c r="CJ57" s="85" t="str">
        <f>CI57-CH57</f>
        <v>#VALUE!</v>
      </c>
      <c r="CK57" s="82" t="str">
        <f t="shared" ref="CK57:CL57" si="562">SUM(CK58:CK66)</f>
        <v>#VALUE!</v>
      </c>
      <c r="CL57" s="14" t="str">
        <f t="shared" si="562"/>
        <v>#VALUE!</v>
      </c>
      <c r="CM57" s="83" t="str">
        <f>CL57-CK57</f>
        <v>#VALUE!</v>
      </c>
      <c r="CN57" s="84" t="str">
        <f t="shared" ref="CN57:CO57" si="563">SUM(CN58:CN66)</f>
        <v>#VALUE!</v>
      </c>
      <c r="CO57" s="13" t="str">
        <f t="shared" si="563"/>
        <v>#VALUE!</v>
      </c>
      <c r="CP57" s="85" t="str">
        <f>CO57-CN57</f>
        <v>#VALUE!</v>
      </c>
      <c r="CQ57" s="82" t="str">
        <f t="shared" ref="CQ57:CR57" si="564">SUM(CQ58:CQ66)</f>
        <v>#VALUE!</v>
      </c>
      <c r="CR57" s="14" t="str">
        <f t="shared" si="564"/>
        <v>#VALUE!</v>
      </c>
      <c r="CS57" s="83" t="str">
        <f>CR57-CQ57</f>
        <v>#VALUE!</v>
      </c>
      <c r="CT57" s="84" t="str">
        <f t="shared" ref="CT57:CU57" si="565">SUM(CT58:CT66)</f>
        <v>#VALUE!</v>
      </c>
      <c r="CU57" s="13" t="str">
        <f t="shared" si="565"/>
        <v>#VALUE!</v>
      </c>
      <c r="CV57" s="85" t="str">
        <f>CU57-CT57</f>
        <v>#VALUE!</v>
      </c>
      <c r="CW57" s="82" t="str">
        <f t="shared" ref="CW57:CX57" si="566">SUM(CW58:CW66)</f>
        <v>#VALUE!</v>
      </c>
      <c r="CX57" s="14" t="str">
        <f t="shared" si="566"/>
        <v>#VALUE!</v>
      </c>
      <c r="CY57" s="83" t="str">
        <f>CX57-CW57</f>
        <v>#VALUE!</v>
      </c>
      <c r="CZ57" s="84" t="str">
        <f t="shared" ref="CZ57:DA57" si="567">SUM(CZ58:CZ66)</f>
        <v>#VALUE!</v>
      </c>
      <c r="DA57" s="13" t="str">
        <f t="shared" si="567"/>
        <v>#VALUE!</v>
      </c>
      <c r="DB57" s="85" t="str">
        <f>DA57-CZ57</f>
        <v>#VALUE!</v>
      </c>
      <c r="DC57" s="82" t="str">
        <f t="shared" ref="DC57:DD57" si="568">SUM(DC58:DC66)</f>
        <v>#VALUE!</v>
      </c>
      <c r="DD57" s="14" t="str">
        <f t="shared" si="568"/>
        <v>#VALUE!</v>
      </c>
      <c r="DE57" s="83" t="str">
        <f>DD57-DC57</f>
        <v>#VALUE!</v>
      </c>
      <c r="DF57" s="84" t="str">
        <f t="shared" ref="DF57:DG57" si="569">SUM(DF58:DF66)</f>
        <v>#VALUE!</v>
      </c>
      <c r="DG57" s="13" t="str">
        <f t="shared" si="569"/>
        <v>#VALUE!</v>
      </c>
      <c r="DH57" s="85" t="str">
        <f>DG57-DF57</f>
        <v>#VALUE!</v>
      </c>
      <c r="DI57" s="82" t="str">
        <f t="shared" ref="DI57:DJ57" si="570">SUM(DI58:DI66)</f>
        <v>#VALUE!</v>
      </c>
      <c r="DJ57" s="14" t="str">
        <f t="shared" si="570"/>
        <v>#VALUE!</v>
      </c>
      <c r="DK57" s="83" t="str">
        <f>DJ57-DI57</f>
        <v>#VALUE!</v>
      </c>
      <c r="DL57" s="84" t="str">
        <f t="shared" ref="DL57:DM57" si="571">SUM(DL58:DL66)</f>
        <v>#VALUE!</v>
      </c>
      <c r="DM57" s="13" t="str">
        <f t="shared" si="571"/>
        <v>#VALUE!</v>
      </c>
      <c r="DN57" s="85" t="str">
        <f>DM57-DL57</f>
        <v>#VALUE!</v>
      </c>
      <c r="DO57" s="82" t="str">
        <f t="shared" ref="DO57:DP57" si="572">SUM(DO58:DO66)</f>
        <v>#VALUE!</v>
      </c>
      <c r="DP57" s="14" t="str">
        <f t="shared" si="572"/>
        <v>#VALUE!</v>
      </c>
      <c r="DQ57" s="83" t="str">
        <f>DP57-DO57</f>
        <v>#VALUE!</v>
      </c>
      <c r="DR57" s="84" t="str">
        <f t="shared" ref="DR57:DS57" si="573">SUM(DR58:DR66)</f>
        <v>#VALUE!</v>
      </c>
      <c r="DS57" s="13" t="str">
        <f t="shared" si="573"/>
        <v>#VALUE!</v>
      </c>
      <c r="DT57" s="85" t="str">
        <f>DS57-DR57</f>
        <v>#VALUE!</v>
      </c>
      <c r="DU57" s="82" t="str">
        <f t="shared" ref="DU57:DV57" si="574">SUM(DU58:DU66)</f>
        <v>#VALUE!</v>
      </c>
      <c r="DV57" s="14" t="str">
        <f t="shared" si="574"/>
        <v>#VALUE!</v>
      </c>
      <c r="DW57" s="83" t="str">
        <f>DV57-DU57</f>
        <v>#VALUE!</v>
      </c>
      <c r="DX57" s="84" t="str">
        <f t="shared" ref="DX57:DY57" si="575">SUM(DX58:DX66)</f>
        <v>#VALUE!</v>
      </c>
      <c r="DY57" s="13" t="str">
        <f t="shared" si="575"/>
        <v>#VALUE!</v>
      </c>
      <c r="DZ57" s="85" t="str">
        <f>DY57-DX57</f>
        <v>#VALUE!</v>
      </c>
      <c r="EA57" s="82" t="str">
        <f t="shared" ref="EA57:EB57" si="576">SUM(EA58:EA66)</f>
        <v>#VALUE!</v>
      </c>
      <c r="EB57" s="14" t="str">
        <f t="shared" si="576"/>
        <v>#VALUE!</v>
      </c>
      <c r="EC57" s="83" t="str">
        <f>EB57-EA57</f>
        <v>#VALUE!</v>
      </c>
      <c r="ED57" s="84" t="str">
        <f t="shared" ref="ED57:EE57" si="577">SUM(ED58:ED66)</f>
        <v>#VALUE!</v>
      </c>
      <c r="EE57" s="13" t="str">
        <f t="shared" si="577"/>
        <v>#VALUE!</v>
      </c>
      <c r="EF57" s="85" t="str">
        <f>EE57-ED57</f>
        <v>#VALUE!</v>
      </c>
      <c r="EG57" s="82" t="str">
        <f t="shared" ref="EG57:EH57" si="578">SUM(EG58:EG66)</f>
        <v>#VALUE!</v>
      </c>
      <c r="EH57" s="14" t="str">
        <f t="shared" si="578"/>
        <v>#VALUE!</v>
      </c>
      <c r="EI57" s="83" t="str">
        <f>EH57-EG57</f>
        <v>#VALUE!</v>
      </c>
      <c r="EJ57" s="84" t="str">
        <f t="shared" ref="EJ57:EK57" si="579">SUM(EJ58:EJ66)</f>
        <v>#VALUE!</v>
      </c>
      <c r="EK57" s="13" t="str">
        <f t="shared" si="579"/>
        <v>#VALUE!</v>
      </c>
      <c r="EL57" s="85" t="str">
        <f>EK57-EJ57</f>
        <v>#VALUE!</v>
      </c>
      <c r="EM57" s="82" t="str">
        <f t="shared" ref="EM57:EN57" si="580">SUM(EM58:EM66)</f>
        <v>#VALUE!</v>
      </c>
      <c r="EN57" s="14" t="str">
        <f t="shared" si="580"/>
        <v>#VALUE!</v>
      </c>
      <c r="EO57" s="83" t="str">
        <f>EN57-EM57</f>
        <v>#VALUE!</v>
      </c>
      <c r="EP57" s="84" t="str">
        <f t="shared" ref="EP57:EQ57" si="581">SUM(EP58:EP66)</f>
        <v>#VALUE!</v>
      </c>
      <c r="EQ57" s="13" t="str">
        <f t="shared" si="581"/>
        <v>#VALUE!</v>
      </c>
      <c r="ER57" s="85" t="str">
        <f>EQ57-EP57</f>
        <v>#VALUE!</v>
      </c>
      <c r="ES57" s="82" t="str">
        <f t="shared" ref="ES57:ET57" si="582">SUM(ES58:ES66)</f>
        <v>#VALUE!</v>
      </c>
      <c r="ET57" s="14" t="str">
        <f t="shared" si="582"/>
        <v>#VALUE!</v>
      </c>
      <c r="EU57" s="83" t="str">
        <f>ET57-ES57</f>
        <v>#VALUE!</v>
      </c>
      <c r="EV57" s="84" t="str">
        <f t="shared" ref="EV57:EW57" si="583">SUM(EV58:EV66)</f>
        <v>#VALUE!</v>
      </c>
      <c r="EW57" s="13" t="str">
        <f t="shared" si="583"/>
        <v>#VALUE!</v>
      </c>
      <c r="EX57" s="85" t="str">
        <f>EW57-EV57</f>
        <v>#VALUE!</v>
      </c>
      <c r="EY57" s="82" t="str">
        <f t="shared" ref="EY57:EZ57" si="584">SUM(EY58:EY66)</f>
        <v>#VALUE!</v>
      </c>
      <c r="EZ57" s="14" t="str">
        <f t="shared" si="584"/>
        <v>#VALUE!</v>
      </c>
      <c r="FA57" s="83" t="str">
        <f>EZ57-EY57</f>
        <v>#VALUE!</v>
      </c>
      <c r="FB57" s="84" t="str">
        <f t="shared" ref="FB57:FC57" si="585">SUM(FB58:FB66)</f>
        <v>#VALUE!</v>
      </c>
      <c r="FC57" s="13" t="str">
        <f t="shared" si="585"/>
        <v>#VALUE!</v>
      </c>
      <c r="FD57" s="85" t="str">
        <f>FC57-FB57</f>
        <v>#VALUE!</v>
      </c>
      <c r="FE57" s="82" t="str">
        <f t="shared" ref="FE57:FF57" si="586">SUM(FE58:FE66)</f>
        <v>#VALUE!</v>
      </c>
      <c r="FF57" s="14" t="str">
        <f t="shared" si="586"/>
        <v>#VALUE!</v>
      </c>
      <c r="FG57" s="83" t="str">
        <f>FF57-FE57</f>
        <v>#VALUE!</v>
      </c>
      <c r="FH57" s="84" t="str">
        <f t="shared" ref="FH57:FI57" si="587">SUM(FH58:FH66)</f>
        <v>#VALUE!</v>
      </c>
      <c r="FI57" s="13" t="str">
        <f t="shared" si="587"/>
        <v>#VALUE!</v>
      </c>
      <c r="FJ57" s="85" t="str">
        <f>FI57-FH57</f>
        <v>#VALUE!</v>
      </c>
    </row>
    <row r="58" ht="15.75" customHeight="1">
      <c r="A58" s="5" t="str">
        <f>Menus!Q3</f>
        <v/>
      </c>
      <c r="B58" s="16" t="str">
        <f t="shared" ref="B58:B66" si="590">SUMIF($H$2:FJ$2,$H$2,H58:FJ58)</f>
        <v>#VALUE!</v>
      </c>
      <c r="C58" s="16" t="str">
        <f t="shared" ref="C58:C66" si="591">SUMIF($H$2:FJ$2,$I$2,H58:FJ58)</f>
        <v>#VALUE!</v>
      </c>
      <c r="D58" s="16" t="str">
        <f t="shared" si="588"/>
        <v>#VALUE!</v>
      </c>
      <c r="E58" s="109" t="str">
        <f t="array" ref="E58">SUM(SUMIFS(INDIRECT($A$3) ,OtrosR!$C$3:$C66,$A58,OtrosR!$B$3:$B66,E$1))</f>
        <v>#VALUE!</v>
      </c>
      <c r="F58" s="15" t="str">
        <f t="array" ref="F58">SUM(SUMIFS(INDIRECT($A$5) ,OtrosR!$C$3:$C66,$A58,OtrosR!$B$3:$B66,E$1))</f>
        <v>#VALUE!</v>
      </c>
      <c r="G58" s="89" t="str">
        <f t="shared" si="589"/>
        <v>#VALUE!</v>
      </c>
      <c r="H58" s="90" t="str">
        <f t="array" ref="H58">SUM(SUMIFS(INDIRECT($A$3) ,OtrosR!$C$3:$C66,$A58,OtrosR!$B$3:$B66,H$1))</f>
        <v>#VALUE!</v>
      </c>
      <c r="I58" s="55" t="str">
        <f t="array" ref="I58">SUM(SUMIFS(INDIRECT($A$5) ,OtrosR!$C$3:$C66,$A58,OtrosR!$B$3:$B66,H$1))</f>
        <v>#VALUE!</v>
      </c>
      <c r="J58" s="92" t="str">
        <f t="shared" ref="J58:J66" si="592">IFERROR(H58-I58,"")</f>
        <v/>
      </c>
      <c r="K58" s="93" t="str">
        <f t="array" ref="K58">SUM(SUMIFS(INDIRECT($A$3) ,OtrosR!$C$3:$C66,$A58,OtrosR!$B$3:$B66,K$1))</f>
        <v>#VALUE!</v>
      </c>
      <c r="L58" s="17" t="str">
        <f t="array" ref="L58">SUM(SUMIFS(INDIRECT($A$5) ,OtrosR!$C$3:$C66,$A58,OtrosR!$B$3:$B66,K$1))</f>
        <v>#VALUE!</v>
      </c>
      <c r="M58" s="95" t="str">
        <f t="shared" ref="M58:M66" si="593">IFERROR(K58-L58,"")</f>
        <v/>
      </c>
      <c r="N58" s="96" t="str">
        <f t="array" ref="N58">SUM(SUMIFS(INDIRECT($A$3) ,OtrosR!$C$3:$C66,$A58,OtrosR!$B$3:$B66,N$1))</f>
        <v>#VALUE!</v>
      </c>
      <c r="O58" s="16" t="str">
        <f t="array" ref="O58">SUM(SUMIFS(INDIRECT($A$5) ,OtrosR!$C$3:$C66,$A58,OtrosR!$B$3:$B66,N$1))</f>
        <v>#VALUE!</v>
      </c>
      <c r="P58" s="98" t="str">
        <f t="shared" ref="P58:P66" si="594">IFERROR(N58-O58,"")</f>
        <v/>
      </c>
      <c r="Q58" s="93" t="str">
        <f t="array" ref="Q58">SUM(SUMIFS(INDIRECT($A$3) ,OtrosR!$C$3:$C66,$A58,OtrosR!$B$3:$B66,Q$1))</f>
        <v>#VALUE!</v>
      </c>
      <c r="R58" s="17" t="str">
        <f t="array" ref="R58">SUM(SUMIFS(INDIRECT($A$5) ,OtrosR!$C$3:$C66,$A58,OtrosR!$B$3:$B66,Q$1))</f>
        <v>#VALUE!</v>
      </c>
      <c r="S58" s="95" t="str">
        <f t="shared" ref="S58:S66" si="595">IFERROR(Q58-R58,"")</f>
        <v/>
      </c>
      <c r="T58" s="96" t="str">
        <f t="array" ref="T58">SUM(SUMIFS(INDIRECT($A$3) ,OtrosR!$C$3:$C66,$A58,OtrosR!$B$3:$B66,T$1))</f>
        <v>#VALUE!</v>
      </c>
      <c r="U58" s="16" t="str">
        <f t="array" ref="U58">SUM(SUMIFS(INDIRECT($A$5) ,OtrosR!$C$3:$C66,$A58,OtrosR!$B$3:$B66,T$1))</f>
        <v>#VALUE!</v>
      </c>
      <c r="V58" s="98" t="str">
        <f t="shared" ref="V58:V66" si="596">IFERROR(T58-U58,"")</f>
        <v/>
      </c>
      <c r="W58" s="93" t="str">
        <f t="array" ref="W58">SUM(SUMIFS(INDIRECT($A$3) ,OtrosR!$C$3:$C66,$A58,OtrosR!$B$3:$B66,W$1))</f>
        <v>#VALUE!</v>
      </c>
      <c r="X58" s="17" t="str">
        <f t="array" ref="X58">SUM(SUMIFS(INDIRECT($A$5) ,OtrosR!$C$3:$C66,$A58,OtrosR!$B$3:$B66,W$1))</f>
        <v>#VALUE!</v>
      </c>
      <c r="Y58" s="95" t="str">
        <f t="shared" ref="Y58:Y66" si="597">IFERROR(W58-X58,"")</f>
        <v/>
      </c>
      <c r="Z58" s="96" t="str">
        <f t="array" ref="Z58">SUM(SUMIFS(INDIRECT($A$3) ,OtrosR!$C$3:$C66,$A58,OtrosR!$B$3:$B66,Z$1))</f>
        <v>#VALUE!</v>
      </c>
      <c r="AA58" s="16" t="str">
        <f t="array" ref="AA58">SUM(SUMIFS(INDIRECT($A$5) ,OtrosR!$C$3:$C66,$A58,OtrosR!$B$3:$B66,Z$1))</f>
        <v>#VALUE!</v>
      </c>
      <c r="AB58" s="98" t="str">
        <f t="shared" ref="AB58:AB66" si="598">IFERROR(Z58-AA58,"")</f>
        <v/>
      </c>
      <c r="AC58" s="93" t="str">
        <f t="array" ref="AC58">SUM(SUMIFS(INDIRECT($A$3) ,OtrosR!$C$3:$C66,$A58,OtrosR!$B$3:$B66,AC$1))</f>
        <v>#VALUE!</v>
      </c>
      <c r="AD58" s="17" t="str">
        <f t="array" ref="AD58">SUM(SUMIFS(INDIRECT($A$5) ,OtrosR!$C$3:$C66,$A58,OtrosR!$B$3:$B66,AC$1))</f>
        <v>#VALUE!</v>
      </c>
      <c r="AE58" s="95" t="str">
        <f t="shared" ref="AE58:AE66" si="599">IFERROR(AC58-AD58,"")</f>
        <v/>
      </c>
      <c r="AF58" s="96" t="str">
        <f t="array" ref="AF58">SUM(SUMIFS(INDIRECT($A$3) ,OtrosR!$C$3:$C66,$A58,OtrosR!$B$3:$B66,AF$1))</f>
        <v>#VALUE!</v>
      </c>
      <c r="AG58" s="16" t="str">
        <f t="array" ref="AG58">SUM(SUMIFS(INDIRECT($A$5) ,OtrosR!$C$3:$C66,$A58,OtrosR!$B$3:$B66,AF$1))</f>
        <v>#VALUE!</v>
      </c>
      <c r="AH58" s="98" t="str">
        <f t="shared" ref="AH58:AH66" si="600">IFERROR(AF58-AG58,"")</f>
        <v/>
      </c>
      <c r="AI58" s="93" t="str">
        <f t="array" ref="AI58">SUM(SUMIFS(INDIRECT($A$3) ,OtrosR!$C$3:$C66,$A58,OtrosR!$B$3:$B66,AI$1))</f>
        <v>#VALUE!</v>
      </c>
      <c r="AJ58" s="17" t="str">
        <f t="array" ref="AJ58">SUM(SUMIFS(INDIRECT($A$5) ,OtrosR!$C$3:$C66,$A58,OtrosR!$B$3:$B66,AI$1))</f>
        <v>#VALUE!</v>
      </c>
      <c r="AK58" s="95" t="str">
        <f t="shared" ref="AK58:AK66" si="601">IFERROR(AI58-AJ58,"")</f>
        <v/>
      </c>
      <c r="AL58" s="96" t="str">
        <f t="array" ref="AL58">SUM(SUMIFS(INDIRECT($A$3) ,OtrosR!$C$3:$C66,$A58,OtrosR!$B$3:$B66,AL$1))</f>
        <v>#VALUE!</v>
      </c>
      <c r="AM58" s="16" t="str">
        <f t="array" ref="AM58">SUM(SUMIFS(INDIRECT($A$5) ,OtrosR!$C$3:$C66,$A58,OtrosR!$B$3:$B66,AL$1))</f>
        <v>#VALUE!</v>
      </c>
      <c r="AN58" s="98" t="str">
        <f t="shared" ref="AN58:AN66" si="602">IFERROR(AL58-AM58,"")</f>
        <v/>
      </c>
      <c r="AO58" s="93" t="str">
        <f t="array" ref="AO58">SUM(SUMIFS(INDIRECT($A$3) ,OtrosR!$C$3:$C66,$A58,OtrosR!$B$3:$B66,AO$1))</f>
        <v>#VALUE!</v>
      </c>
      <c r="AP58" s="17" t="str">
        <f t="array" ref="AP58">SUM(SUMIFS(INDIRECT($A$5) ,OtrosR!$C$3:$C66,$A58,OtrosR!$B$3:$B66,AO$1))</f>
        <v>#VALUE!</v>
      </c>
      <c r="AQ58" s="95" t="str">
        <f t="shared" ref="AQ58:AQ66" si="603">IFERROR(AO58-AP58,"")</f>
        <v/>
      </c>
      <c r="AR58" s="96" t="str">
        <f t="array" ref="AR58">SUM(SUMIFS(INDIRECT($A$3) ,OtrosR!$C$3:$C66,$A58,OtrosR!$B$3:$B66,AR$1))</f>
        <v>#VALUE!</v>
      </c>
      <c r="AS58" s="16" t="str">
        <f t="array" ref="AS58">SUM(SUMIFS(INDIRECT($A$5) ,OtrosR!$C$3:$C66,$A58,OtrosR!$B$3:$B66,AR$1))</f>
        <v>#VALUE!</v>
      </c>
      <c r="AT58" s="98" t="str">
        <f t="shared" ref="AT58:AT66" si="604">IFERROR(AR58-AS58,"")</f>
        <v/>
      </c>
      <c r="AU58" s="93" t="str">
        <f t="array" ref="AU58">SUM(SUMIFS(INDIRECT($A$3) ,OtrosR!$C$3:$C66,$A58,OtrosR!$B$3:$B66,AU$1))</f>
        <v>#VALUE!</v>
      </c>
      <c r="AV58" s="17" t="str">
        <f t="array" ref="AV58">SUM(SUMIFS(INDIRECT($A$5) ,OtrosR!$C$3:$C66,$A58,OtrosR!$B$3:$B66,AU$1))</f>
        <v>#VALUE!</v>
      </c>
      <c r="AW58" s="95" t="str">
        <f t="shared" ref="AW58:AW66" si="605">IFERROR(AU58-AV58,"")</f>
        <v/>
      </c>
      <c r="AX58" s="96" t="str">
        <f t="array" ref="AX58">SUM(SUMIFS(INDIRECT($A$3) ,OtrosR!$C$3:$C66,$A58,OtrosR!$B$3:$B66,AX$1))</f>
        <v>#VALUE!</v>
      </c>
      <c r="AY58" s="16" t="str">
        <f t="array" ref="AY58">SUM(SUMIFS(INDIRECT($A$5) ,OtrosR!$C$3:$C66,$A58,OtrosR!$B$3:$B66,AX$1))</f>
        <v>#VALUE!</v>
      </c>
      <c r="AZ58" s="98" t="str">
        <f t="shared" ref="AZ58:AZ66" si="606">IFERROR(AX58-AY58,"")</f>
        <v/>
      </c>
      <c r="BA58" s="93" t="str">
        <f t="array" ref="BA58">SUM(SUMIFS(INDIRECT($A$3) ,OtrosR!$C$3:$C66,$A58,OtrosR!$B$3:$B66,BA$1))</f>
        <v>#VALUE!</v>
      </c>
      <c r="BB58" s="17" t="str">
        <f t="array" ref="BB58">SUM(SUMIFS(INDIRECT($A$5) ,OtrosR!$C$3:$C66,$A58,OtrosR!$B$3:$B66,BA$1))</f>
        <v>#VALUE!</v>
      </c>
      <c r="BC58" s="95" t="str">
        <f t="shared" ref="BC58:BC66" si="607">IFERROR(BA58-BB58,"")</f>
        <v/>
      </c>
      <c r="BD58" s="96" t="str">
        <f t="array" ref="BD58">SUM(SUMIFS(INDIRECT($A$3) ,OtrosR!$C$3:$C66,$A58,OtrosR!$B$3:$B66,BD$1))</f>
        <v>#VALUE!</v>
      </c>
      <c r="BE58" s="16" t="str">
        <f t="array" ref="BE58">SUM(SUMIFS(INDIRECT($A$5) ,OtrosR!$C$3:$C66,$A58,OtrosR!$B$3:$B66,BD$1))</f>
        <v>#VALUE!</v>
      </c>
      <c r="BF58" s="98" t="str">
        <f t="shared" ref="BF58:BF66" si="608">IFERROR(BD58-BE58,"")</f>
        <v/>
      </c>
      <c r="BG58" s="93" t="str">
        <f t="array" ref="BG58">SUM(SUMIFS(INDIRECT($A$3) ,OtrosR!$C$3:$C66,$A58,OtrosR!$B$3:$B66,BG$1))</f>
        <v>#VALUE!</v>
      </c>
      <c r="BH58" s="17" t="str">
        <f t="array" ref="BH58">SUM(SUMIFS(INDIRECT($A$5) ,OtrosR!$C$3:$C66,$A58,OtrosR!$B$3:$B66,BG$1))</f>
        <v>#VALUE!</v>
      </c>
      <c r="BI58" s="95" t="str">
        <f t="shared" ref="BI58:BI66" si="609">IFERROR(BG58-BH58,"")</f>
        <v/>
      </c>
      <c r="BJ58" s="96" t="str">
        <f t="array" ref="BJ58">SUM(SUMIFS(INDIRECT($A$3) ,OtrosR!$C$3:$C66,$A58,OtrosR!$B$3:$B66,BJ$1))</f>
        <v>#VALUE!</v>
      </c>
      <c r="BK58" s="16" t="str">
        <f t="array" ref="BK58">SUM(SUMIFS(INDIRECT($A$5) ,OtrosR!$C$3:$C66,$A58,OtrosR!$B$3:$B66,BJ$1))</f>
        <v>#VALUE!</v>
      </c>
      <c r="BL58" s="98" t="str">
        <f t="shared" ref="BL58:BL66" si="610">IFERROR(BJ58-BK58,"")</f>
        <v/>
      </c>
      <c r="BM58" s="93" t="str">
        <f t="array" ref="BM58">SUM(SUMIFS(INDIRECT($A$3) ,OtrosR!$C$3:$C66,$A58,OtrosR!$B$3:$B66,BM$1))</f>
        <v>#VALUE!</v>
      </c>
      <c r="BN58" s="17" t="str">
        <f t="array" ref="BN58">SUM(SUMIFS(INDIRECT($A$5) ,OtrosR!$C$3:$C66,$A58,OtrosR!$B$3:$B66,BM$1))</f>
        <v>#VALUE!</v>
      </c>
      <c r="BO58" s="95" t="str">
        <f t="shared" ref="BO58:BO66" si="611">IFERROR(BM58-BN58,"")</f>
        <v/>
      </c>
      <c r="BP58" s="96" t="str">
        <f t="array" ref="BP58">SUM(SUMIFS(INDIRECT($A$3) ,OtrosR!$C$3:$C66,$A58,OtrosR!$B$3:$B66,BP$1))</f>
        <v>#VALUE!</v>
      </c>
      <c r="BQ58" s="16" t="str">
        <f t="array" ref="BQ58">SUM(SUMIFS(INDIRECT($A$5) ,OtrosR!$C$3:$C66,$A58,OtrosR!$B$3:$B66,BP$1))</f>
        <v>#VALUE!</v>
      </c>
      <c r="BR58" s="98" t="str">
        <f t="shared" ref="BR58:BR66" si="612">IFERROR(BP58-BQ58,"")</f>
        <v/>
      </c>
      <c r="BS58" s="93" t="str">
        <f t="array" ref="BS58">SUM(SUMIFS(INDIRECT($A$3) ,OtrosR!$C$3:$C66,$A58,OtrosR!$B$3:$B66,BS$1))</f>
        <v>#VALUE!</v>
      </c>
      <c r="BT58" s="17" t="str">
        <f t="array" ref="BT58">SUM(SUMIFS(INDIRECT($A$5) ,OtrosR!$C$3:$C66,$A58,OtrosR!$B$3:$B66,BS$1))</f>
        <v>#VALUE!</v>
      </c>
      <c r="BU58" s="95" t="str">
        <f t="shared" ref="BU58:BU66" si="613">IFERROR(BS58-BT58,"")</f>
        <v/>
      </c>
      <c r="BV58" s="96" t="str">
        <f t="array" ref="BV58">SUM(SUMIFS(INDIRECT($A$3) ,OtrosR!$C$3:$C66,$A58,OtrosR!$B$3:$B66,BV$1))</f>
        <v>#VALUE!</v>
      </c>
      <c r="BW58" s="16" t="str">
        <f t="array" ref="BW58">SUM(SUMIFS(INDIRECT($A$5) ,OtrosR!$C$3:$C66,$A58,OtrosR!$B$3:$B66,BV$1))</f>
        <v>#VALUE!</v>
      </c>
      <c r="BX58" s="98" t="str">
        <f t="shared" ref="BX58:BX66" si="614">IFERROR(BV58-BW58,"")</f>
        <v/>
      </c>
      <c r="BY58" s="93" t="str">
        <f t="array" ref="BY58">SUM(SUMIFS(INDIRECT($A$3) ,OtrosR!$C$3:$C66,$A58,OtrosR!$B$3:$B66,BY$1))</f>
        <v>#VALUE!</v>
      </c>
      <c r="BZ58" s="17" t="str">
        <f t="array" ref="BZ58">SUM(SUMIFS(INDIRECT($A$5) ,OtrosR!$C$3:$C66,$A58,OtrosR!$B$3:$B66,BY$1))</f>
        <v>#VALUE!</v>
      </c>
      <c r="CA58" s="95" t="str">
        <f t="shared" ref="CA58:CA66" si="615">IFERROR(BY58-BZ58,"")</f>
        <v/>
      </c>
      <c r="CB58" s="96" t="str">
        <f t="array" ref="CB58">SUM(SUMIFS(INDIRECT($A$3) ,OtrosR!$C$3:$C66,$A58,OtrosR!$B$3:$B66,CB$1))</f>
        <v>#VALUE!</v>
      </c>
      <c r="CC58" s="16" t="str">
        <f t="array" ref="CC58">SUM(SUMIFS(INDIRECT($A$5) ,OtrosR!$C$3:$C66,$A58,OtrosR!$B$3:$B66,CB$1))</f>
        <v>#VALUE!</v>
      </c>
      <c r="CD58" s="98" t="str">
        <f t="shared" ref="CD58:CD66" si="616">IFERROR(CB58-CC58,"")</f>
        <v/>
      </c>
      <c r="CE58" s="93" t="str">
        <f t="array" ref="CE58">SUM(SUMIFS(INDIRECT($A$3) ,OtrosR!$C$3:$C66,$A58,OtrosR!$B$3:$B66,CE$1))</f>
        <v>#VALUE!</v>
      </c>
      <c r="CF58" s="17" t="str">
        <f t="array" ref="CF58">SUM(SUMIFS(INDIRECT($A$5) ,OtrosR!$C$3:$C66,$A58,OtrosR!$B$3:$B66,CE$1))</f>
        <v>#VALUE!</v>
      </c>
      <c r="CG58" s="95" t="str">
        <f t="shared" ref="CG58:CG66" si="617">IFERROR(CE58-CF58,"")</f>
        <v/>
      </c>
      <c r="CH58" s="96" t="str">
        <f t="array" ref="CH58">SUM(SUMIFS(INDIRECT($A$3) ,OtrosR!$C$3:$C66,$A58,OtrosR!$B$3:$B66,CH$1))</f>
        <v>#VALUE!</v>
      </c>
      <c r="CI58" s="16" t="str">
        <f t="array" ref="CI58">SUM(SUMIFS(INDIRECT($A$5) ,OtrosR!$C$3:$C66,$A58,OtrosR!$B$3:$B66,CH$1))</f>
        <v>#VALUE!</v>
      </c>
      <c r="CJ58" s="98" t="str">
        <f t="shared" ref="CJ58:CJ66" si="618">IFERROR(CH58-CI58,"")</f>
        <v/>
      </c>
      <c r="CK58" s="93" t="str">
        <f t="array" ref="CK58">SUM(SUMIFS(INDIRECT($A$3) ,OtrosR!$C$3:$C66,$A58,OtrosR!$B$3:$B66,CK$1))</f>
        <v>#VALUE!</v>
      </c>
      <c r="CL58" s="17" t="str">
        <f t="array" ref="CL58">SUM(SUMIFS(INDIRECT($A$5) ,OtrosR!$C$3:$C66,$A58,OtrosR!$B$3:$B66,CK$1))</f>
        <v>#VALUE!</v>
      </c>
      <c r="CM58" s="95" t="str">
        <f t="shared" ref="CM58:CM66" si="619">IFERROR(CK58-CL58,"")</f>
        <v/>
      </c>
      <c r="CN58" s="96" t="str">
        <f t="array" ref="CN58">SUM(SUMIFS(INDIRECT($A$3) ,OtrosR!$C$3:$C66,$A58,OtrosR!$B$3:$B66,CN$1))</f>
        <v>#VALUE!</v>
      </c>
      <c r="CO58" s="16" t="str">
        <f t="array" ref="CO58">SUM(SUMIFS(INDIRECT($A$5) ,OtrosR!$C$3:$C66,$A58,OtrosR!$B$3:$B66,CN$1))</f>
        <v>#VALUE!</v>
      </c>
      <c r="CP58" s="98" t="str">
        <f t="shared" ref="CP58:CP66" si="620">IFERROR(CN58-CO58,"")</f>
        <v/>
      </c>
      <c r="CQ58" s="93" t="str">
        <f t="array" ref="CQ58">SUM(SUMIFS(INDIRECT($A$3) ,OtrosR!$C$3:$C66,$A58,OtrosR!$B$3:$B66,CQ$1))</f>
        <v>#VALUE!</v>
      </c>
      <c r="CR58" s="17" t="str">
        <f t="array" ref="CR58">SUM(SUMIFS(INDIRECT($A$5) ,OtrosR!$C$3:$C66,$A58,OtrosR!$B$3:$B66,CQ$1))</f>
        <v>#VALUE!</v>
      </c>
      <c r="CS58" s="95" t="str">
        <f t="shared" ref="CS58:CS66" si="621">IFERROR(CQ58-CR58,"")</f>
        <v/>
      </c>
      <c r="CT58" s="96" t="str">
        <f t="array" ref="CT58">SUM(SUMIFS(INDIRECT($A$3) ,OtrosR!$C$3:$C66,$A58,OtrosR!$B$3:$B66,CT$1))</f>
        <v>#VALUE!</v>
      </c>
      <c r="CU58" s="16" t="str">
        <f t="array" ref="CU58">SUM(SUMIFS(INDIRECT($A$5) ,OtrosR!$C$3:$C66,$A58,OtrosR!$B$3:$B66,CT$1))</f>
        <v>#VALUE!</v>
      </c>
      <c r="CV58" s="98" t="str">
        <f t="shared" ref="CV58:CV66" si="622">IFERROR(CT58-CU58,"")</f>
        <v/>
      </c>
      <c r="CW58" s="93" t="str">
        <f t="array" ref="CW58">SUM(SUMIFS(INDIRECT($A$3) ,OtrosR!$C$3:$C66,$A58,OtrosR!$B$3:$B66,CW$1))</f>
        <v>#VALUE!</v>
      </c>
      <c r="CX58" s="17" t="str">
        <f t="array" ref="CX58">SUM(SUMIFS(INDIRECT($A$5) ,OtrosR!$C$3:$C66,$A58,OtrosR!$B$3:$B66,CW$1))</f>
        <v>#VALUE!</v>
      </c>
      <c r="CY58" s="95" t="str">
        <f t="shared" ref="CY58:CY66" si="623">IFERROR(CW58-CX58,"")</f>
        <v/>
      </c>
      <c r="CZ58" s="96" t="str">
        <f t="array" ref="CZ58">SUM(SUMIFS(INDIRECT($A$3) ,OtrosR!$C$3:$C66,$A58,OtrosR!$B$3:$B66,CZ$1))</f>
        <v>#VALUE!</v>
      </c>
      <c r="DA58" s="16" t="str">
        <f t="array" ref="DA58">SUM(SUMIFS(INDIRECT($A$5) ,OtrosR!$C$3:$C66,$A58,OtrosR!$B$3:$B66,CZ$1))</f>
        <v>#VALUE!</v>
      </c>
      <c r="DB58" s="98" t="str">
        <f t="shared" ref="DB58:DB66" si="624">IFERROR(CZ58-DA58,"")</f>
        <v/>
      </c>
      <c r="DC58" s="93" t="str">
        <f t="array" ref="DC58">SUM(SUMIFS(INDIRECT($A$3) ,OtrosR!$C$3:$C66,$A58,OtrosR!$B$3:$B66,DC$1))</f>
        <v>#VALUE!</v>
      </c>
      <c r="DD58" s="17" t="str">
        <f t="array" ref="DD58">SUM(SUMIFS(INDIRECT($A$5) ,OtrosR!$C$3:$C66,$A58,OtrosR!$B$3:$B66,DC$1))</f>
        <v>#VALUE!</v>
      </c>
      <c r="DE58" s="95" t="str">
        <f t="shared" ref="DE58:DE66" si="625">IFERROR(DC58-DD58,"")</f>
        <v/>
      </c>
      <c r="DF58" s="96" t="str">
        <f t="array" ref="DF58">SUM(SUMIFS(INDIRECT($A$3) ,OtrosR!$C$3:$C66,$A58,OtrosR!$B$3:$B66,DF$1))</f>
        <v>#VALUE!</v>
      </c>
      <c r="DG58" s="16" t="str">
        <f t="array" ref="DG58">SUM(SUMIFS(INDIRECT($A$5) ,OtrosR!$C$3:$C66,$A58,OtrosR!$B$3:$B66,DF$1))</f>
        <v>#VALUE!</v>
      </c>
      <c r="DH58" s="98" t="str">
        <f t="shared" ref="DH58:DH66" si="626">IFERROR(DF58-DG58,"")</f>
        <v/>
      </c>
      <c r="DI58" s="93" t="str">
        <f t="array" ref="DI58">SUM(SUMIFS(INDIRECT($A$3) ,OtrosR!$C$3:$C66,$A58,OtrosR!$B$3:$B66,DI$1))</f>
        <v>#VALUE!</v>
      </c>
      <c r="DJ58" s="17" t="str">
        <f t="array" ref="DJ58">SUM(SUMIFS(INDIRECT($A$5) ,OtrosR!$C$3:$C66,$A58,OtrosR!$B$3:$B66,DI$1))</f>
        <v>#VALUE!</v>
      </c>
      <c r="DK58" s="95" t="str">
        <f t="shared" ref="DK58:DK66" si="627">IFERROR(DI58-DJ58,"")</f>
        <v/>
      </c>
      <c r="DL58" s="96" t="str">
        <f t="array" ref="DL58">SUM(SUMIFS(INDIRECT($A$3) ,OtrosR!$C$3:$C66,$A58,OtrosR!$B$3:$B66,DL$1))</f>
        <v>#VALUE!</v>
      </c>
      <c r="DM58" s="16" t="str">
        <f t="array" ref="DM58">SUM(SUMIFS(INDIRECT($A$5) ,OtrosR!$C$3:$C66,$A58,OtrosR!$B$3:$B66,DL$1))</f>
        <v>#VALUE!</v>
      </c>
      <c r="DN58" s="98" t="str">
        <f t="shared" ref="DN58:DN66" si="628">IFERROR(DL58-DM58,"")</f>
        <v/>
      </c>
      <c r="DO58" s="93" t="str">
        <f t="array" ref="DO58">SUM(SUMIFS(INDIRECT($A$3) ,OtrosR!$C$3:$C66,$A58,OtrosR!$B$3:$B66,DO$1))</f>
        <v>#VALUE!</v>
      </c>
      <c r="DP58" s="17" t="str">
        <f t="array" ref="DP58">SUM(SUMIFS(INDIRECT($A$5) ,OtrosR!$C$3:$C66,$A58,OtrosR!$B$3:$B66,DO$1))</f>
        <v>#VALUE!</v>
      </c>
      <c r="DQ58" s="95" t="str">
        <f t="shared" ref="DQ58:DQ66" si="629">IFERROR(DO58-DP58,"")</f>
        <v/>
      </c>
      <c r="DR58" s="96" t="str">
        <f t="array" ref="DR58">SUM(SUMIFS(INDIRECT($A$3) ,OtrosR!$C$3:$C66,$A58,OtrosR!$B$3:$B66,DR$1))</f>
        <v>#VALUE!</v>
      </c>
      <c r="DS58" s="16" t="str">
        <f t="array" ref="DS58">SUM(SUMIFS(INDIRECT($A$5) ,OtrosR!$C$3:$C66,$A58,OtrosR!$B$3:$B66,DR$1))</f>
        <v>#VALUE!</v>
      </c>
      <c r="DT58" s="98" t="str">
        <f t="shared" ref="DT58:DT66" si="630">IFERROR(DR58-DS58,"")</f>
        <v/>
      </c>
      <c r="DU58" s="93" t="str">
        <f t="array" ref="DU58">SUM(SUMIFS(INDIRECT($A$3) ,OtrosR!$C$3:$C66,$A58,OtrosR!$B$3:$B66,DU$1))</f>
        <v>#VALUE!</v>
      </c>
      <c r="DV58" s="17" t="str">
        <f t="array" ref="DV58">SUM(SUMIFS(INDIRECT($A$5) ,OtrosR!$C$3:$C66,$A58,OtrosR!$B$3:$B66,DU$1))</f>
        <v>#VALUE!</v>
      </c>
      <c r="DW58" s="95" t="str">
        <f t="shared" ref="DW58:DW66" si="631">IFERROR(DU58-DV58,"")</f>
        <v/>
      </c>
      <c r="DX58" s="96" t="str">
        <f t="array" ref="DX58">SUM(SUMIFS(INDIRECT($A$3) ,OtrosR!$C$3:$C66,$A58,OtrosR!$B$3:$B66,DX$1))</f>
        <v>#VALUE!</v>
      </c>
      <c r="DY58" s="16" t="str">
        <f t="array" ref="DY58">SUM(SUMIFS(INDIRECT($A$5) ,OtrosR!$C$3:$C66,$A58,OtrosR!$B$3:$B66,DX$1))</f>
        <v>#VALUE!</v>
      </c>
      <c r="DZ58" s="98" t="str">
        <f t="shared" ref="DZ58:DZ66" si="632">IFERROR(DX58-DY58,"")</f>
        <v/>
      </c>
      <c r="EA58" s="93" t="str">
        <f t="array" ref="EA58">SUM(SUMIFS(INDIRECT($A$3) ,OtrosR!$C$3:$C66,$A58,OtrosR!$B$3:$B66,EA$1))</f>
        <v>#VALUE!</v>
      </c>
      <c r="EB58" s="17" t="str">
        <f t="array" ref="EB58">SUM(SUMIFS(INDIRECT($A$5) ,OtrosR!$C$3:$C66,$A58,OtrosR!$B$3:$B66,EA$1))</f>
        <v>#VALUE!</v>
      </c>
      <c r="EC58" s="95" t="str">
        <f t="shared" ref="EC58:EC66" si="633">IFERROR(EA58-EB58,"")</f>
        <v/>
      </c>
      <c r="ED58" s="96" t="str">
        <f t="array" ref="ED58">SUM(SUMIFS(INDIRECT($A$3) ,OtrosR!$C$3:$C66,$A58,OtrosR!$B$3:$B66,ED$1))</f>
        <v>#VALUE!</v>
      </c>
      <c r="EE58" s="16" t="str">
        <f t="array" ref="EE58">SUM(SUMIFS(INDIRECT($A$5) ,OtrosR!$C$3:$C66,$A58,OtrosR!$B$3:$B66,ED$1))</f>
        <v>#VALUE!</v>
      </c>
      <c r="EF58" s="98" t="str">
        <f t="shared" ref="EF58:EF66" si="634">IFERROR(ED58-EE58,"")</f>
        <v/>
      </c>
      <c r="EG58" s="93" t="str">
        <f t="array" ref="EG58">SUM(SUMIFS(INDIRECT($A$3) ,OtrosR!$C$3:$C66,$A58,OtrosR!$B$3:$B66,EG$1))</f>
        <v>#VALUE!</v>
      </c>
      <c r="EH58" s="17" t="str">
        <f t="array" ref="EH58">SUM(SUMIFS(INDIRECT($A$5) ,OtrosR!$C$3:$C66,$A58,OtrosR!$B$3:$B66,EG$1))</f>
        <v>#VALUE!</v>
      </c>
      <c r="EI58" s="95" t="str">
        <f t="shared" ref="EI58:EI66" si="635">IFERROR(EG58-EH58,"")</f>
        <v/>
      </c>
      <c r="EJ58" s="96" t="str">
        <f t="array" ref="EJ58">SUM(SUMIFS(INDIRECT($A$3) ,OtrosR!$C$3:$C66,$A58,OtrosR!$B$3:$B66,EJ$1))</f>
        <v>#VALUE!</v>
      </c>
      <c r="EK58" s="16" t="str">
        <f t="array" ref="EK58">SUM(SUMIFS(INDIRECT($A$5) ,OtrosR!$C$3:$C66,$A58,OtrosR!$B$3:$B66,EJ$1))</f>
        <v>#VALUE!</v>
      </c>
      <c r="EL58" s="98" t="str">
        <f t="shared" ref="EL58:EL66" si="636">IFERROR(EJ58-EK58,"")</f>
        <v/>
      </c>
      <c r="EM58" s="93" t="str">
        <f t="array" ref="EM58">SUM(SUMIFS(INDIRECT($A$3) ,OtrosR!$C$3:$C66,$A58,OtrosR!$B$3:$B66,EM$1))</f>
        <v>#VALUE!</v>
      </c>
      <c r="EN58" s="17" t="str">
        <f t="array" ref="EN58">SUM(SUMIFS(INDIRECT($A$5) ,OtrosR!$C$3:$C66,$A58,OtrosR!$B$3:$B66,EM$1))</f>
        <v>#VALUE!</v>
      </c>
      <c r="EO58" s="95" t="str">
        <f t="shared" ref="EO58:EO66" si="637">IFERROR(EM58-EN58,"")</f>
        <v/>
      </c>
      <c r="EP58" s="96" t="str">
        <f t="array" ref="EP58">SUM(SUMIFS(INDIRECT($A$3) ,OtrosR!$C$3:$C66,$A58,OtrosR!$B$3:$B66,EP$1))</f>
        <v>#VALUE!</v>
      </c>
      <c r="EQ58" s="16" t="str">
        <f t="array" ref="EQ58">SUM(SUMIFS(INDIRECT($A$5) ,OtrosR!$C$3:$C66,$A58,OtrosR!$B$3:$B66,EP$1))</f>
        <v>#VALUE!</v>
      </c>
      <c r="ER58" s="98" t="str">
        <f t="shared" ref="ER58:ER66" si="638">IFERROR(EP58-EQ58,"")</f>
        <v/>
      </c>
      <c r="ES58" s="93" t="str">
        <f t="array" ref="ES58">SUM(SUMIFS(INDIRECT($A$3) ,OtrosR!$C$3:$C66,$A58,OtrosR!$B$3:$B66,ES$1))</f>
        <v>#VALUE!</v>
      </c>
      <c r="ET58" s="17" t="str">
        <f t="array" ref="ET58">SUM(SUMIFS(INDIRECT($A$5) ,OtrosR!$C$3:$C66,$A58,OtrosR!$B$3:$B66,ES$1))</f>
        <v>#VALUE!</v>
      </c>
      <c r="EU58" s="95" t="str">
        <f t="shared" ref="EU58:EU66" si="639">IFERROR(ES58-ET58,"")</f>
        <v/>
      </c>
      <c r="EV58" s="96" t="str">
        <f t="array" ref="EV58">SUM(SUMIFS(INDIRECT($A$3) ,OtrosR!$C$3:$C66,$A58,OtrosR!$B$3:$B66,EV$1))</f>
        <v>#VALUE!</v>
      </c>
      <c r="EW58" s="16" t="str">
        <f t="array" ref="EW58">SUM(SUMIFS(INDIRECT($A$5) ,OtrosR!$C$3:$C66,$A58,OtrosR!$B$3:$B66,EV$1))</f>
        <v>#VALUE!</v>
      </c>
      <c r="EX58" s="98" t="str">
        <f t="shared" ref="EX58:EX66" si="640">IFERROR(EV58-EW58,"")</f>
        <v/>
      </c>
      <c r="EY58" s="93" t="str">
        <f t="array" ref="EY58">SUM(SUMIFS(INDIRECT($A$3) ,OtrosR!$C$3:$C66,$A58,OtrosR!$B$3:$B66,EY$1))</f>
        <v>#VALUE!</v>
      </c>
      <c r="EZ58" s="17" t="str">
        <f t="array" ref="EZ58">SUM(SUMIFS(INDIRECT($A$5) ,OtrosR!$C$3:$C66,$A58,OtrosR!$B$3:$B66,EY$1))</f>
        <v>#VALUE!</v>
      </c>
      <c r="FA58" s="95" t="str">
        <f t="shared" ref="FA58:FA66" si="641">IFERROR(EY58-EZ58,"")</f>
        <v/>
      </c>
      <c r="FB58" s="96" t="str">
        <f t="array" ref="FB58">SUM(SUMIFS(INDIRECT($A$3) ,OtrosR!$C$3:$C66,$A58,OtrosR!$B$3:$B66,FB$1))</f>
        <v>#VALUE!</v>
      </c>
      <c r="FC58" s="16" t="str">
        <f t="array" ref="FC58">SUM(SUMIFS(INDIRECT($A$5) ,OtrosR!$C$3:$C66,$A58,OtrosR!$B$3:$B66,FB$1))</f>
        <v>#VALUE!</v>
      </c>
      <c r="FD58" s="98" t="str">
        <f t="shared" ref="FD58:FD66" si="642">IFERROR(FB58-FC58,"")</f>
        <v/>
      </c>
      <c r="FE58" s="93" t="str">
        <f t="array" ref="FE58">SUM(SUMIFS(INDIRECT($A$3) ,OtrosR!$C$3:$C66,$A58,OtrosR!$B$3:$B66,FE$1))</f>
        <v>#VALUE!</v>
      </c>
      <c r="FF58" s="17" t="str">
        <f t="array" ref="FF58">SUM(SUMIFS(INDIRECT($A$5) ,OtrosR!$C$3:$C66,$A58,OtrosR!$B$3:$B66,FE$1))</f>
        <v>#VALUE!</v>
      </c>
      <c r="FG58" s="95" t="str">
        <f t="shared" ref="FG58:FG66" si="643">IFERROR(FE58-FF58,"")</f>
        <v/>
      </c>
      <c r="FH58" s="96" t="str">
        <f t="array" ref="FH58">SUM(SUMIFS(INDIRECT($A$3) ,OtrosR!$C$3:$C66,$A58,OtrosR!$B$3:$B66,FH$1))</f>
        <v>#VALUE!</v>
      </c>
      <c r="FI58" s="16" t="str">
        <f t="array" ref="FI58">SUM(SUMIFS(INDIRECT($A$5) ,OtrosR!$C$3:$C66,$A58,OtrosR!$B$3:$B66,FH$1))</f>
        <v>#VALUE!</v>
      </c>
      <c r="FJ58" s="98" t="str">
        <f t="shared" ref="FJ58:FJ66" si="644">IFERROR(FH58-FI58,"")</f>
        <v/>
      </c>
    </row>
    <row r="59" ht="15.75" customHeight="1">
      <c r="A59" s="5" t="str">
        <f>Menus!Q4</f>
        <v/>
      </c>
      <c r="B59" s="16" t="str">
        <f t="shared" si="590"/>
        <v>#VALUE!</v>
      </c>
      <c r="C59" s="16" t="str">
        <f t="shared" si="591"/>
        <v>#VALUE!</v>
      </c>
      <c r="D59" s="16" t="str">
        <f t="shared" si="588"/>
        <v>#VALUE!</v>
      </c>
      <c r="E59" s="109" t="str">
        <f t="array" ref="E59">SUM(SUMIFS(INDIRECT($A$3) ,OtrosR!$C$3:$C66,$A59,OtrosR!$B$3:$B66,E$1))</f>
        <v>#VALUE!</v>
      </c>
      <c r="F59" s="15" t="str">
        <f t="array" ref="F59">SUM(SUMIFS(INDIRECT($A$5) ,OtrosR!$C$3:$C66,$A59,OtrosR!$B$3:$B66,E$1))</f>
        <v>#VALUE!</v>
      </c>
      <c r="G59" s="89" t="str">
        <f t="shared" si="589"/>
        <v>#VALUE!</v>
      </c>
      <c r="H59" s="90" t="str">
        <f t="array" ref="H59">SUM(SUMIFS(INDIRECT($A$3) ,OtrosR!$C$3:$C66,$A59,OtrosR!$B$3:$B66,H$1))</f>
        <v>#VALUE!</v>
      </c>
      <c r="I59" s="55" t="str">
        <f t="array" ref="I59">SUM(SUMIFS(INDIRECT($A$5) ,OtrosR!$C$3:$C66,$A59,OtrosR!$B$3:$B66,H$1))</f>
        <v>#VALUE!</v>
      </c>
      <c r="J59" s="92" t="str">
        <f t="shared" si="592"/>
        <v/>
      </c>
      <c r="K59" s="93" t="str">
        <f t="array" ref="K59">SUM(SUMIFS(INDIRECT($A$3) ,OtrosR!$C$3:$C66,$A59,OtrosR!$B$3:$B66,K$1))</f>
        <v>#VALUE!</v>
      </c>
      <c r="L59" s="17" t="str">
        <f t="array" ref="L59">SUM(SUMIFS(INDIRECT($A$5) ,OtrosR!$C$3:$C66,$A59,OtrosR!$B$3:$B66,K$1))</f>
        <v>#VALUE!</v>
      </c>
      <c r="M59" s="95" t="str">
        <f t="shared" si="593"/>
        <v/>
      </c>
      <c r="N59" s="96" t="str">
        <f t="array" ref="N59">SUM(SUMIFS(INDIRECT($A$3) ,OtrosR!$C$3:$C66,$A59,OtrosR!$B$3:$B66,N$1))</f>
        <v>#VALUE!</v>
      </c>
      <c r="O59" s="16" t="str">
        <f t="array" ref="O59">SUM(SUMIFS(INDIRECT($A$5) ,OtrosR!$C$3:$C66,$A59,OtrosR!$B$3:$B66,N$1))</f>
        <v>#VALUE!</v>
      </c>
      <c r="P59" s="98" t="str">
        <f t="shared" si="594"/>
        <v/>
      </c>
      <c r="Q59" s="93" t="str">
        <f t="array" ref="Q59">SUM(SUMIFS(INDIRECT($A$3) ,OtrosR!$C$3:$C66,$A59,OtrosR!$B$3:$B66,Q$1))</f>
        <v>#VALUE!</v>
      </c>
      <c r="R59" s="17" t="str">
        <f t="array" ref="R59">SUM(SUMIFS(INDIRECT($A$5) ,OtrosR!$C$3:$C66,$A59,OtrosR!$B$3:$B66,Q$1))</f>
        <v>#VALUE!</v>
      </c>
      <c r="S59" s="95" t="str">
        <f t="shared" si="595"/>
        <v/>
      </c>
      <c r="T59" s="96" t="str">
        <f t="array" ref="T59">SUM(SUMIFS(INDIRECT($A$3) ,OtrosR!$C$3:$C66,$A59,OtrosR!$B$3:$B66,T$1))</f>
        <v>#VALUE!</v>
      </c>
      <c r="U59" s="16" t="str">
        <f t="array" ref="U59">SUM(SUMIFS(INDIRECT($A$5) ,OtrosR!$C$3:$C66,$A59,OtrosR!$B$3:$B66,T$1))</f>
        <v>#VALUE!</v>
      </c>
      <c r="V59" s="98" t="str">
        <f t="shared" si="596"/>
        <v/>
      </c>
      <c r="W59" s="93" t="str">
        <f t="array" ref="W59">SUM(SUMIFS(INDIRECT($A$3) ,OtrosR!$C$3:$C66,$A59,OtrosR!$B$3:$B66,W$1))</f>
        <v>#VALUE!</v>
      </c>
      <c r="X59" s="17" t="str">
        <f t="array" ref="X59">SUM(SUMIFS(INDIRECT($A$5) ,OtrosR!$C$3:$C66,$A59,OtrosR!$B$3:$B66,W$1))</f>
        <v>#VALUE!</v>
      </c>
      <c r="Y59" s="95" t="str">
        <f t="shared" si="597"/>
        <v/>
      </c>
      <c r="Z59" s="96" t="str">
        <f t="array" ref="Z59">SUM(SUMIFS(INDIRECT($A$3) ,OtrosR!$C$3:$C66,$A59,OtrosR!$B$3:$B66,Z$1))</f>
        <v>#VALUE!</v>
      </c>
      <c r="AA59" s="16" t="str">
        <f t="array" ref="AA59">SUM(SUMIFS(INDIRECT($A$5) ,OtrosR!$C$3:$C66,$A59,OtrosR!$B$3:$B66,Z$1))</f>
        <v>#VALUE!</v>
      </c>
      <c r="AB59" s="98" t="str">
        <f t="shared" si="598"/>
        <v/>
      </c>
      <c r="AC59" s="93" t="str">
        <f t="array" ref="AC59">SUM(SUMIFS(INDIRECT($A$3) ,OtrosR!$C$3:$C66,$A59,OtrosR!$B$3:$B66,AC$1))</f>
        <v>#VALUE!</v>
      </c>
      <c r="AD59" s="17" t="str">
        <f t="array" ref="AD59">SUM(SUMIFS(INDIRECT($A$5) ,OtrosR!$C$3:$C66,$A59,OtrosR!$B$3:$B66,AC$1))</f>
        <v>#VALUE!</v>
      </c>
      <c r="AE59" s="95" t="str">
        <f t="shared" si="599"/>
        <v/>
      </c>
      <c r="AF59" s="96" t="str">
        <f t="array" ref="AF59">SUM(SUMIFS(INDIRECT($A$3) ,OtrosR!$C$3:$C66,$A59,OtrosR!$B$3:$B66,AF$1))</f>
        <v>#VALUE!</v>
      </c>
      <c r="AG59" s="16" t="str">
        <f t="array" ref="AG59">SUM(SUMIFS(INDIRECT($A$5) ,OtrosR!$C$3:$C66,$A59,OtrosR!$B$3:$B66,AF$1))</f>
        <v>#VALUE!</v>
      </c>
      <c r="AH59" s="98" t="str">
        <f t="shared" si="600"/>
        <v/>
      </c>
      <c r="AI59" s="93" t="str">
        <f t="array" ref="AI59">SUM(SUMIFS(INDIRECT($A$3) ,OtrosR!$C$3:$C66,$A59,OtrosR!$B$3:$B66,AI$1))</f>
        <v>#VALUE!</v>
      </c>
      <c r="AJ59" s="17" t="str">
        <f t="array" ref="AJ59">SUM(SUMIFS(INDIRECT($A$5) ,OtrosR!$C$3:$C66,$A59,OtrosR!$B$3:$B66,AI$1))</f>
        <v>#VALUE!</v>
      </c>
      <c r="AK59" s="95" t="str">
        <f t="shared" si="601"/>
        <v/>
      </c>
      <c r="AL59" s="96" t="str">
        <f t="array" ref="AL59">SUM(SUMIFS(INDIRECT($A$3) ,OtrosR!$C$3:$C66,$A59,OtrosR!$B$3:$B66,AL$1))</f>
        <v>#VALUE!</v>
      </c>
      <c r="AM59" s="16" t="str">
        <f t="array" ref="AM59">SUM(SUMIFS(INDIRECT($A$5) ,OtrosR!$C$3:$C66,$A59,OtrosR!$B$3:$B66,AL$1))</f>
        <v>#VALUE!</v>
      </c>
      <c r="AN59" s="98" t="str">
        <f t="shared" si="602"/>
        <v/>
      </c>
      <c r="AO59" s="93" t="str">
        <f t="array" ref="AO59">SUM(SUMIFS(INDIRECT($A$3) ,OtrosR!$C$3:$C66,$A59,OtrosR!$B$3:$B66,AO$1))</f>
        <v>#VALUE!</v>
      </c>
      <c r="AP59" s="17" t="str">
        <f t="array" ref="AP59">SUM(SUMIFS(INDIRECT($A$5) ,OtrosR!$C$3:$C66,$A59,OtrosR!$B$3:$B66,AO$1))</f>
        <v>#VALUE!</v>
      </c>
      <c r="AQ59" s="95" t="str">
        <f t="shared" si="603"/>
        <v/>
      </c>
      <c r="AR59" s="96" t="str">
        <f t="array" ref="AR59">SUM(SUMIFS(INDIRECT($A$3) ,OtrosR!$C$3:$C66,$A59,OtrosR!$B$3:$B66,AR$1))</f>
        <v>#VALUE!</v>
      </c>
      <c r="AS59" s="16" t="str">
        <f t="array" ref="AS59">SUM(SUMIFS(INDIRECT($A$5) ,OtrosR!$C$3:$C66,$A59,OtrosR!$B$3:$B66,AR$1))</f>
        <v>#VALUE!</v>
      </c>
      <c r="AT59" s="98" t="str">
        <f t="shared" si="604"/>
        <v/>
      </c>
      <c r="AU59" s="93" t="str">
        <f t="array" ref="AU59">SUM(SUMIFS(INDIRECT($A$3) ,OtrosR!$C$3:$C66,$A59,OtrosR!$B$3:$B66,AU$1))</f>
        <v>#VALUE!</v>
      </c>
      <c r="AV59" s="17" t="str">
        <f t="array" ref="AV59">SUM(SUMIFS(INDIRECT($A$5) ,OtrosR!$C$3:$C66,$A59,OtrosR!$B$3:$B66,AU$1))</f>
        <v>#VALUE!</v>
      </c>
      <c r="AW59" s="95" t="str">
        <f t="shared" si="605"/>
        <v/>
      </c>
      <c r="AX59" s="96" t="str">
        <f t="array" ref="AX59">SUM(SUMIFS(INDIRECT($A$3) ,OtrosR!$C$3:$C66,$A59,OtrosR!$B$3:$B66,AX$1))</f>
        <v>#VALUE!</v>
      </c>
      <c r="AY59" s="16" t="str">
        <f t="array" ref="AY59">SUM(SUMIFS(INDIRECT($A$5) ,OtrosR!$C$3:$C66,$A59,OtrosR!$B$3:$B66,AX$1))</f>
        <v>#VALUE!</v>
      </c>
      <c r="AZ59" s="98" t="str">
        <f t="shared" si="606"/>
        <v/>
      </c>
      <c r="BA59" s="93" t="str">
        <f t="array" ref="BA59">SUM(SUMIFS(INDIRECT($A$3) ,OtrosR!$C$3:$C66,$A59,OtrosR!$B$3:$B66,BA$1))</f>
        <v>#VALUE!</v>
      </c>
      <c r="BB59" s="17" t="str">
        <f t="array" ref="BB59">SUM(SUMIFS(INDIRECT($A$5) ,OtrosR!$C$3:$C66,$A59,OtrosR!$B$3:$B66,BA$1))</f>
        <v>#VALUE!</v>
      </c>
      <c r="BC59" s="95" t="str">
        <f t="shared" si="607"/>
        <v/>
      </c>
      <c r="BD59" s="96" t="str">
        <f t="array" ref="BD59">SUM(SUMIFS(INDIRECT($A$3) ,OtrosR!$C$3:$C66,$A59,OtrosR!$B$3:$B66,BD$1))</f>
        <v>#VALUE!</v>
      </c>
      <c r="BE59" s="16" t="str">
        <f t="array" ref="BE59">SUM(SUMIFS(INDIRECT($A$5) ,OtrosR!$C$3:$C66,$A59,OtrosR!$B$3:$B66,BD$1))</f>
        <v>#VALUE!</v>
      </c>
      <c r="BF59" s="98" t="str">
        <f t="shared" si="608"/>
        <v/>
      </c>
      <c r="BG59" s="93" t="str">
        <f t="array" ref="BG59">SUM(SUMIFS(INDIRECT($A$3) ,OtrosR!$C$3:$C66,$A59,OtrosR!$B$3:$B66,BG$1))</f>
        <v>#VALUE!</v>
      </c>
      <c r="BH59" s="17" t="str">
        <f t="array" ref="BH59">SUM(SUMIFS(INDIRECT($A$5) ,OtrosR!$C$3:$C66,$A59,OtrosR!$B$3:$B66,BG$1))</f>
        <v>#VALUE!</v>
      </c>
      <c r="BI59" s="95" t="str">
        <f t="shared" si="609"/>
        <v/>
      </c>
      <c r="BJ59" s="96" t="str">
        <f t="array" ref="BJ59">SUM(SUMIFS(INDIRECT($A$3) ,OtrosR!$C$3:$C66,$A59,OtrosR!$B$3:$B66,BJ$1))</f>
        <v>#VALUE!</v>
      </c>
      <c r="BK59" s="16" t="str">
        <f t="array" ref="BK59">SUM(SUMIFS(INDIRECT($A$5) ,OtrosR!$C$3:$C66,$A59,OtrosR!$B$3:$B66,BJ$1))</f>
        <v>#VALUE!</v>
      </c>
      <c r="BL59" s="98" t="str">
        <f t="shared" si="610"/>
        <v/>
      </c>
      <c r="BM59" s="93" t="str">
        <f t="array" ref="BM59">SUM(SUMIFS(INDIRECT($A$3) ,OtrosR!$C$3:$C66,$A59,OtrosR!$B$3:$B66,BM$1))</f>
        <v>#VALUE!</v>
      </c>
      <c r="BN59" s="17" t="str">
        <f t="array" ref="BN59">SUM(SUMIFS(INDIRECT($A$5) ,OtrosR!$C$3:$C66,$A59,OtrosR!$B$3:$B66,BM$1))</f>
        <v>#VALUE!</v>
      </c>
      <c r="BO59" s="95" t="str">
        <f t="shared" si="611"/>
        <v/>
      </c>
      <c r="BP59" s="96" t="str">
        <f t="array" ref="BP59">SUM(SUMIFS(INDIRECT($A$3) ,OtrosR!$C$3:$C66,$A59,OtrosR!$B$3:$B66,BP$1))</f>
        <v>#VALUE!</v>
      </c>
      <c r="BQ59" s="16" t="str">
        <f t="array" ref="BQ59">SUM(SUMIFS(INDIRECT($A$5) ,OtrosR!$C$3:$C66,$A59,OtrosR!$B$3:$B66,BP$1))</f>
        <v>#VALUE!</v>
      </c>
      <c r="BR59" s="98" t="str">
        <f t="shared" si="612"/>
        <v/>
      </c>
      <c r="BS59" s="93" t="str">
        <f t="array" ref="BS59">SUM(SUMIFS(INDIRECT($A$3) ,OtrosR!$C$3:$C66,$A59,OtrosR!$B$3:$B66,BS$1))</f>
        <v>#VALUE!</v>
      </c>
      <c r="BT59" s="17" t="str">
        <f t="array" ref="BT59">SUM(SUMIFS(INDIRECT($A$5) ,OtrosR!$C$3:$C66,$A59,OtrosR!$B$3:$B66,BS$1))</f>
        <v>#VALUE!</v>
      </c>
      <c r="BU59" s="95" t="str">
        <f t="shared" si="613"/>
        <v/>
      </c>
      <c r="BV59" s="96" t="str">
        <f t="array" ref="BV59">SUM(SUMIFS(INDIRECT($A$3) ,OtrosR!$C$3:$C66,$A59,OtrosR!$B$3:$B66,BV$1))</f>
        <v>#VALUE!</v>
      </c>
      <c r="BW59" s="16" t="str">
        <f t="array" ref="BW59">SUM(SUMIFS(INDIRECT($A$5) ,OtrosR!$C$3:$C66,$A59,OtrosR!$B$3:$B66,BV$1))</f>
        <v>#VALUE!</v>
      </c>
      <c r="BX59" s="98" t="str">
        <f t="shared" si="614"/>
        <v/>
      </c>
      <c r="BY59" s="93" t="str">
        <f t="array" ref="BY59">SUM(SUMIFS(INDIRECT($A$3) ,OtrosR!$C$3:$C66,$A59,OtrosR!$B$3:$B66,BY$1))</f>
        <v>#VALUE!</v>
      </c>
      <c r="BZ59" s="17" t="str">
        <f t="array" ref="BZ59">SUM(SUMIFS(INDIRECT($A$5) ,OtrosR!$C$3:$C66,$A59,OtrosR!$B$3:$B66,BY$1))</f>
        <v>#VALUE!</v>
      </c>
      <c r="CA59" s="95" t="str">
        <f t="shared" si="615"/>
        <v/>
      </c>
      <c r="CB59" s="96" t="str">
        <f t="array" ref="CB59">SUM(SUMIFS(INDIRECT($A$3) ,OtrosR!$C$3:$C66,$A59,OtrosR!$B$3:$B66,CB$1))</f>
        <v>#VALUE!</v>
      </c>
      <c r="CC59" s="16" t="str">
        <f t="array" ref="CC59">SUM(SUMIFS(INDIRECT($A$5) ,OtrosR!$C$3:$C66,$A59,OtrosR!$B$3:$B66,CB$1))</f>
        <v>#VALUE!</v>
      </c>
      <c r="CD59" s="98" t="str">
        <f t="shared" si="616"/>
        <v/>
      </c>
      <c r="CE59" s="93" t="str">
        <f t="array" ref="CE59">SUM(SUMIFS(INDIRECT($A$3) ,OtrosR!$C$3:$C66,$A59,OtrosR!$B$3:$B66,CE$1))</f>
        <v>#VALUE!</v>
      </c>
      <c r="CF59" s="17" t="str">
        <f t="array" ref="CF59">SUM(SUMIFS(INDIRECT($A$5) ,OtrosR!$C$3:$C66,$A59,OtrosR!$B$3:$B66,CE$1))</f>
        <v>#VALUE!</v>
      </c>
      <c r="CG59" s="95" t="str">
        <f t="shared" si="617"/>
        <v/>
      </c>
      <c r="CH59" s="96" t="str">
        <f t="array" ref="CH59">SUM(SUMIFS(INDIRECT($A$3) ,OtrosR!$C$3:$C66,$A59,OtrosR!$B$3:$B66,CH$1))</f>
        <v>#VALUE!</v>
      </c>
      <c r="CI59" s="16" t="str">
        <f t="array" ref="CI59">SUM(SUMIFS(INDIRECT($A$5) ,OtrosR!$C$3:$C66,$A59,OtrosR!$B$3:$B66,CH$1))</f>
        <v>#VALUE!</v>
      </c>
      <c r="CJ59" s="98" t="str">
        <f t="shared" si="618"/>
        <v/>
      </c>
      <c r="CK59" s="93" t="str">
        <f t="array" ref="CK59">SUM(SUMIFS(INDIRECT($A$3) ,OtrosR!$C$3:$C66,$A59,OtrosR!$B$3:$B66,CK$1))</f>
        <v>#VALUE!</v>
      </c>
      <c r="CL59" s="17" t="str">
        <f t="array" ref="CL59">SUM(SUMIFS(INDIRECT($A$5) ,OtrosR!$C$3:$C66,$A59,OtrosR!$B$3:$B66,CK$1))</f>
        <v>#VALUE!</v>
      </c>
      <c r="CM59" s="95" t="str">
        <f t="shared" si="619"/>
        <v/>
      </c>
      <c r="CN59" s="96" t="str">
        <f t="array" ref="CN59">SUM(SUMIFS(INDIRECT($A$3) ,OtrosR!$C$3:$C66,$A59,OtrosR!$B$3:$B66,CN$1))</f>
        <v>#VALUE!</v>
      </c>
      <c r="CO59" s="16" t="str">
        <f t="array" ref="CO59">SUM(SUMIFS(INDIRECT($A$5) ,OtrosR!$C$3:$C66,$A59,OtrosR!$B$3:$B66,CN$1))</f>
        <v>#VALUE!</v>
      </c>
      <c r="CP59" s="98" t="str">
        <f t="shared" si="620"/>
        <v/>
      </c>
      <c r="CQ59" s="93" t="str">
        <f t="array" ref="CQ59">SUM(SUMIFS(INDIRECT($A$3) ,OtrosR!$C$3:$C66,$A59,OtrosR!$B$3:$B66,CQ$1))</f>
        <v>#VALUE!</v>
      </c>
      <c r="CR59" s="17" t="str">
        <f t="array" ref="CR59">SUM(SUMIFS(INDIRECT($A$5) ,OtrosR!$C$3:$C66,$A59,OtrosR!$B$3:$B66,CQ$1))</f>
        <v>#VALUE!</v>
      </c>
      <c r="CS59" s="95" t="str">
        <f t="shared" si="621"/>
        <v/>
      </c>
      <c r="CT59" s="96" t="str">
        <f t="array" ref="CT59">SUM(SUMIFS(INDIRECT($A$3) ,OtrosR!$C$3:$C66,$A59,OtrosR!$B$3:$B66,CT$1))</f>
        <v>#VALUE!</v>
      </c>
      <c r="CU59" s="16" t="str">
        <f t="array" ref="CU59">SUM(SUMIFS(INDIRECT($A$5) ,OtrosR!$C$3:$C66,$A59,OtrosR!$B$3:$B66,CT$1))</f>
        <v>#VALUE!</v>
      </c>
      <c r="CV59" s="98" t="str">
        <f t="shared" si="622"/>
        <v/>
      </c>
      <c r="CW59" s="93" t="str">
        <f t="array" ref="CW59">SUM(SUMIFS(INDIRECT($A$3) ,OtrosR!$C$3:$C66,$A59,OtrosR!$B$3:$B66,CW$1))</f>
        <v>#VALUE!</v>
      </c>
      <c r="CX59" s="17" t="str">
        <f t="array" ref="CX59">SUM(SUMIFS(INDIRECT($A$5) ,OtrosR!$C$3:$C66,$A59,OtrosR!$B$3:$B66,CW$1))</f>
        <v>#VALUE!</v>
      </c>
      <c r="CY59" s="95" t="str">
        <f t="shared" si="623"/>
        <v/>
      </c>
      <c r="CZ59" s="96" t="str">
        <f t="array" ref="CZ59">SUM(SUMIFS(INDIRECT($A$3) ,OtrosR!$C$3:$C66,$A59,OtrosR!$B$3:$B66,CZ$1))</f>
        <v>#VALUE!</v>
      </c>
      <c r="DA59" s="16" t="str">
        <f t="array" ref="DA59">SUM(SUMIFS(INDIRECT($A$5) ,OtrosR!$C$3:$C66,$A59,OtrosR!$B$3:$B66,CZ$1))</f>
        <v>#VALUE!</v>
      </c>
      <c r="DB59" s="98" t="str">
        <f t="shared" si="624"/>
        <v/>
      </c>
      <c r="DC59" s="93" t="str">
        <f t="array" ref="DC59">SUM(SUMIFS(INDIRECT($A$3) ,OtrosR!$C$3:$C66,$A59,OtrosR!$B$3:$B66,DC$1))</f>
        <v>#VALUE!</v>
      </c>
      <c r="DD59" s="17" t="str">
        <f t="array" ref="DD59">SUM(SUMIFS(INDIRECT($A$5) ,OtrosR!$C$3:$C66,$A59,OtrosR!$B$3:$B66,DC$1))</f>
        <v>#VALUE!</v>
      </c>
      <c r="DE59" s="95" t="str">
        <f t="shared" si="625"/>
        <v/>
      </c>
      <c r="DF59" s="96" t="str">
        <f t="array" ref="DF59">SUM(SUMIFS(INDIRECT($A$3) ,OtrosR!$C$3:$C66,$A59,OtrosR!$B$3:$B66,DF$1))</f>
        <v>#VALUE!</v>
      </c>
      <c r="DG59" s="16" t="str">
        <f t="array" ref="DG59">SUM(SUMIFS(INDIRECT($A$5) ,OtrosR!$C$3:$C66,$A59,OtrosR!$B$3:$B66,DF$1))</f>
        <v>#VALUE!</v>
      </c>
      <c r="DH59" s="98" t="str">
        <f t="shared" si="626"/>
        <v/>
      </c>
      <c r="DI59" s="93" t="str">
        <f t="array" ref="DI59">SUM(SUMIFS(INDIRECT($A$3) ,OtrosR!$C$3:$C66,$A59,OtrosR!$B$3:$B66,DI$1))</f>
        <v>#VALUE!</v>
      </c>
      <c r="DJ59" s="17" t="str">
        <f t="array" ref="DJ59">SUM(SUMIFS(INDIRECT($A$5) ,OtrosR!$C$3:$C66,$A59,OtrosR!$B$3:$B66,DI$1))</f>
        <v>#VALUE!</v>
      </c>
      <c r="DK59" s="95" t="str">
        <f t="shared" si="627"/>
        <v/>
      </c>
      <c r="DL59" s="96" t="str">
        <f t="array" ref="DL59">SUM(SUMIFS(INDIRECT($A$3) ,OtrosR!$C$3:$C66,$A59,OtrosR!$B$3:$B66,DL$1))</f>
        <v>#VALUE!</v>
      </c>
      <c r="DM59" s="16" t="str">
        <f t="array" ref="DM59">SUM(SUMIFS(INDIRECT($A$5) ,OtrosR!$C$3:$C66,$A59,OtrosR!$B$3:$B66,DL$1))</f>
        <v>#VALUE!</v>
      </c>
      <c r="DN59" s="98" t="str">
        <f t="shared" si="628"/>
        <v/>
      </c>
      <c r="DO59" s="93" t="str">
        <f t="array" ref="DO59">SUM(SUMIFS(INDIRECT($A$3) ,OtrosR!$C$3:$C66,$A59,OtrosR!$B$3:$B66,DO$1))</f>
        <v>#VALUE!</v>
      </c>
      <c r="DP59" s="17" t="str">
        <f t="array" ref="DP59">SUM(SUMIFS(INDIRECT($A$5) ,OtrosR!$C$3:$C66,$A59,OtrosR!$B$3:$B66,DO$1))</f>
        <v>#VALUE!</v>
      </c>
      <c r="DQ59" s="95" t="str">
        <f t="shared" si="629"/>
        <v/>
      </c>
      <c r="DR59" s="96" t="str">
        <f t="array" ref="DR59">SUM(SUMIFS(INDIRECT($A$3) ,OtrosR!$C$3:$C66,$A59,OtrosR!$B$3:$B66,DR$1))</f>
        <v>#VALUE!</v>
      </c>
      <c r="DS59" s="16" t="str">
        <f t="array" ref="DS59">SUM(SUMIFS(INDIRECT($A$5) ,OtrosR!$C$3:$C66,$A59,OtrosR!$B$3:$B66,DR$1))</f>
        <v>#VALUE!</v>
      </c>
      <c r="DT59" s="98" t="str">
        <f t="shared" si="630"/>
        <v/>
      </c>
      <c r="DU59" s="93" t="str">
        <f t="array" ref="DU59">SUM(SUMIFS(INDIRECT($A$3) ,OtrosR!$C$3:$C66,$A59,OtrosR!$B$3:$B66,DU$1))</f>
        <v>#VALUE!</v>
      </c>
      <c r="DV59" s="17" t="str">
        <f t="array" ref="DV59">SUM(SUMIFS(INDIRECT($A$5) ,OtrosR!$C$3:$C66,$A59,OtrosR!$B$3:$B66,DU$1))</f>
        <v>#VALUE!</v>
      </c>
      <c r="DW59" s="95" t="str">
        <f t="shared" si="631"/>
        <v/>
      </c>
      <c r="DX59" s="96" t="str">
        <f t="array" ref="DX59">SUM(SUMIFS(INDIRECT($A$3) ,OtrosR!$C$3:$C66,$A59,OtrosR!$B$3:$B66,DX$1))</f>
        <v>#VALUE!</v>
      </c>
      <c r="DY59" s="16" t="str">
        <f t="array" ref="DY59">SUM(SUMIFS(INDIRECT($A$5) ,OtrosR!$C$3:$C66,$A59,OtrosR!$B$3:$B66,DX$1))</f>
        <v>#VALUE!</v>
      </c>
      <c r="DZ59" s="98" t="str">
        <f t="shared" si="632"/>
        <v/>
      </c>
      <c r="EA59" s="93" t="str">
        <f t="array" ref="EA59">SUM(SUMIFS(INDIRECT($A$3) ,OtrosR!$C$3:$C66,$A59,OtrosR!$B$3:$B66,EA$1))</f>
        <v>#VALUE!</v>
      </c>
      <c r="EB59" s="17" t="str">
        <f t="array" ref="EB59">SUM(SUMIFS(INDIRECT($A$5) ,OtrosR!$C$3:$C66,$A59,OtrosR!$B$3:$B66,EA$1))</f>
        <v>#VALUE!</v>
      </c>
      <c r="EC59" s="95" t="str">
        <f t="shared" si="633"/>
        <v/>
      </c>
      <c r="ED59" s="96" t="str">
        <f t="array" ref="ED59">SUM(SUMIFS(INDIRECT($A$3) ,OtrosR!$C$3:$C66,$A59,OtrosR!$B$3:$B66,ED$1))</f>
        <v>#VALUE!</v>
      </c>
      <c r="EE59" s="16" t="str">
        <f t="array" ref="EE59">SUM(SUMIFS(INDIRECT($A$5) ,OtrosR!$C$3:$C66,$A59,OtrosR!$B$3:$B66,ED$1))</f>
        <v>#VALUE!</v>
      </c>
      <c r="EF59" s="98" t="str">
        <f t="shared" si="634"/>
        <v/>
      </c>
      <c r="EG59" s="93" t="str">
        <f t="array" ref="EG59">SUM(SUMIFS(INDIRECT($A$3) ,OtrosR!$C$3:$C66,$A59,OtrosR!$B$3:$B66,EG$1))</f>
        <v>#VALUE!</v>
      </c>
      <c r="EH59" s="17" t="str">
        <f t="array" ref="EH59">SUM(SUMIFS(INDIRECT($A$5) ,OtrosR!$C$3:$C66,$A59,OtrosR!$B$3:$B66,EG$1))</f>
        <v>#VALUE!</v>
      </c>
      <c r="EI59" s="95" t="str">
        <f t="shared" si="635"/>
        <v/>
      </c>
      <c r="EJ59" s="96" t="str">
        <f t="array" ref="EJ59">SUM(SUMIFS(INDIRECT($A$3) ,OtrosR!$C$3:$C66,$A59,OtrosR!$B$3:$B66,EJ$1))</f>
        <v>#VALUE!</v>
      </c>
      <c r="EK59" s="16" t="str">
        <f t="array" ref="EK59">SUM(SUMIFS(INDIRECT($A$5) ,OtrosR!$C$3:$C66,$A59,OtrosR!$B$3:$B66,EJ$1))</f>
        <v>#VALUE!</v>
      </c>
      <c r="EL59" s="98" t="str">
        <f t="shared" si="636"/>
        <v/>
      </c>
      <c r="EM59" s="93" t="str">
        <f t="array" ref="EM59">SUM(SUMIFS(INDIRECT($A$3) ,OtrosR!$C$3:$C66,$A59,OtrosR!$B$3:$B66,EM$1))</f>
        <v>#VALUE!</v>
      </c>
      <c r="EN59" s="17" t="str">
        <f t="array" ref="EN59">SUM(SUMIFS(INDIRECT($A$5) ,OtrosR!$C$3:$C66,$A59,OtrosR!$B$3:$B66,EM$1))</f>
        <v>#VALUE!</v>
      </c>
      <c r="EO59" s="95" t="str">
        <f t="shared" si="637"/>
        <v/>
      </c>
      <c r="EP59" s="96" t="str">
        <f t="array" ref="EP59">SUM(SUMIFS(INDIRECT($A$3) ,OtrosR!$C$3:$C66,$A59,OtrosR!$B$3:$B66,EP$1))</f>
        <v>#VALUE!</v>
      </c>
      <c r="EQ59" s="16" t="str">
        <f t="array" ref="EQ59">SUM(SUMIFS(INDIRECT($A$5) ,OtrosR!$C$3:$C66,$A59,OtrosR!$B$3:$B66,EP$1))</f>
        <v>#VALUE!</v>
      </c>
      <c r="ER59" s="98" t="str">
        <f t="shared" si="638"/>
        <v/>
      </c>
      <c r="ES59" s="93" t="str">
        <f t="array" ref="ES59">SUM(SUMIFS(INDIRECT($A$3) ,OtrosR!$C$3:$C66,$A59,OtrosR!$B$3:$B66,ES$1))</f>
        <v>#VALUE!</v>
      </c>
      <c r="ET59" s="17" t="str">
        <f t="array" ref="ET59">SUM(SUMIFS(INDIRECT($A$5) ,OtrosR!$C$3:$C66,$A59,OtrosR!$B$3:$B66,ES$1))</f>
        <v>#VALUE!</v>
      </c>
      <c r="EU59" s="95" t="str">
        <f t="shared" si="639"/>
        <v/>
      </c>
      <c r="EV59" s="96" t="str">
        <f t="array" ref="EV59">SUM(SUMIFS(INDIRECT($A$3) ,OtrosR!$C$3:$C66,$A59,OtrosR!$B$3:$B66,EV$1))</f>
        <v>#VALUE!</v>
      </c>
      <c r="EW59" s="16" t="str">
        <f t="array" ref="EW59">SUM(SUMIFS(INDIRECT($A$5) ,OtrosR!$C$3:$C66,$A59,OtrosR!$B$3:$B66,EV$1))</f>
        <v>#VALUE!</v>
      </c>
      <c r="EX59" s="98" t="str">
        <f t="shared" si="640"/>
        <v/>
      </c>
      <c r="EY59" s="93" t="str">
        <f t="array" ref="EY59">SUM(SUMIFS(INDIRECT($A$3) ,OtrosR!$C$3:$C66,$A59,OtrosR!$B$3:$B66,EY$1))</f>
        <v>#VALUE!</v>
      </c>
      <c r="EZ59" s="17" t="str">
        <f t="array" ref="EZ59">SUM(SUMIFS(INDIRECT($A$5) ,OtrosR!$C$3:$C66,$A59,OtrosR!$B$3:$B66,EY$1))</f>
        <v>#VALUE!</v>
      </c>
      <c r="FA59" s="95" t="str">
        <f t="shared" si="641"/>
        <v/>
      </c>
      <c r="FB59" s="96" t="str">
        <f t="array" ref="FB59">SUM(SUMIFS(INDIRECT($A$3) ,OtrosR!$C$3:$C66,$A59,OtrosR!$B$3:$B66,FB$1))</f>
        <v>#VALUE!</v>
      </c>
      <c r="FC59" s="16" t="str">
        <f t="array" ref="FC59">SUM(SUMIFS(INDIRECT($A$5) ,OtrosR!$C$3:$C66,$A59,OtrosR!$B$3:$B66,FB$1))</f>
        <v>#VALUE!</v>
      </c>
      <c r="FD59" s="98" t="str">
        <f t="shared" si="642"/>
        <v/>
      </c>
      <c r="FE59" s="93" t="str">
        <f t="array" ref="FE59">SUM(SUMIFS(INDIRECT($A$3) ,OtrosR!$C$3:$C66,$A59,OtrosR!$B$3:$B66,FE$1))</f>
        <v>#VALUE!</v>
      </c>
      <c r="FF59" s="17" t="str">
        <f t="array" ref="FF59">SUM(SUMIFS(INDIRECT($A$5) ,OtrosR!$C$3:$C66,$A59,OtrosR!$B$3:$B66,FE$1))</f>
        <v>#VALUE!</v>
      </c>
      <c r="FG59" s="95" t="str">
        <f t="shared" si="643"/>
        <v/>
      </c>
      <c r="FH59" s="96" t="str">
        <f t="array" ref="FH59">SUM(SUMIFS(INDIRECT($A$3) ,OtrosR!$C$3:$C66,$A59,OtrosR!$B$3:$B66,FH$1))</f>
        <v>#VALUE!</v>
      </c>
      <c r="FI59" s="16" t="str">
        <f t="array" ref="FI59">SUM(SUMIFS(INDIRECT($A$5) ,OtrosR!$C$3:$C66,$A59,OtrosR!$B$3:$B66,FH$1))</f>
        <v>#VALUE!</v>
      </c>
      <c r="FJ59" s="98" t="str">
        <f t="shared" si="644"/>
        <v/>
      </c>
    </row>
    <row r="60" ht="15.75" customHeight="1">
      <c r="A60" s="5" t="str">
        <f>Menus!Q5</f>
        <v/>
      </c>
      <c r="B60" s="16" t="str">
        <f t="shared" si="590"/>
        <v>#VALUE!</v>
      </c>
      <c r="C60" s="16" t="str">
        <f t="shared" si="591"/>
        <v>#VALUE!</v>
      </c>
      <c r="D60" s="16" t="str">
        <f t="shared" si="588"/>
        <v>#VALUE!</v>
      </c>
      <c r="E60" s="109" t="str">
        <f t="array" ref="E60">SUM(SUMIFS(INDIRECT($A$3) ,OtrosR!$C$3:$C66,$A60,OtrosR!$B$3:$B66,E$1))</f>
        <v>#VALUE!</v>
      </c>
      <c r="F60" s="15" t="str">
        <f t="array" ref="F60">SUM(SUMIFS(INDIRECT($A$5) ,OtrosR!$C$3:$C66,$A60,OtrosR!$B$3:$B66,E$1))</f>
        <v>#VALUE!</v>
      </c>
      <c r="G60" s="89" t="str">
        <f t="shared" si="589"/>
        <v>#VALUE!</v>
      </c>
      <c r="H60" s="90" t="str">
        <f t="array" ref="H60">SUM(SUMIFS(INDIRECT($A$3) ,OtrosR!$C$3:$C66,$A60,OtrosR!$B$3:$B66,H$1))</f>
        <v>#VALUE!</v>
      </c>
      <c r="I60" s="55" t="str">
        <f t="array" ref="I60">SUM(SUMIFS(INDIRECT($A$5) ,OtrosR!$C$3:$C66,$A60,OtrosR!$B$3:$B66,H$1))</f>
        <v>#VALUE!</v>
      </c>
      <c r="J60" s="92" t="str">
        <f t="shared" si="592"/>
        <v/>
      </c>
      <c r="K60" s="93" t="str">
        <f t="array" ref="K60">SUM(SUMIFS(INDIRECT($A$3) ,OtrosR!$C$3:$C66,$A60,OtrosR!$B$3:$B66,K$1))</f>
        <v>#VALUE!</v>
      </c>
      <c r="L60" s="17" t="str">
        <f t="array" ref="L60">SUM(SUMIFS(INDIRECT($A$5) ,OtrosR!$C$3:$C66,$A60,OtrosR!$B$3:$B66,K$1))</f>
        <v>#VALUE!</v>
      </c>
      <c r="M60" s="95" t="str">
        <f t="shared" si="593"/>
        <v/>
      </c>
      <c r="N60" s="96" t="str">
        <f t="array" ref="N60">SUM(SUMIFS(INDIRECT($A$3) ,OtrosR!$C$3:$C66,$A60,OtrosR!$B$3:$B66,N$1))</f>
        <v>#VALUE!</v>
      </c>
      <c r="O60" s="16" t="str">
        <f t="array" ref="O60">SUM(SUMIFS(INDIRECT($A$5) ,OtrosR!$C$3:$C66,$A60,OtrosR!$B$3:$B66,N$1))</f>
        <v>#VALUE!</v>
      </c>
      <c r="P60" s="98" t="str">
        <f t="shared" si="594"/>
        <v/>
      </c>
      <c r="Q60" s="93" t="str">
        <f t="array" ref="Q60">SUM(SUMIFS(INDIRECT($A$3) ,OtrosR!$C$3:$C66,$A60,OtrosR!$B$3:$B66,Q$1))</f>
        <v>#VALUE!</v>
      </c>
      <c r="R60" s="17" t="str">
        <f t="array" ref="R60">SUM(SUMIFS(INDIRECT($A$5) ,OtrosR!$C$3:$C66,$A60,OtrosR!$B$3:$B66,Q$1))</f>
        <v>#VALUE!</v>
      </c>
      <c r="S60" s="95" t="str">
        <f t="shared" si="595"/>
        <v/>
      </c>
      <c r="T60" s="96" t="str">
        <f t="array" ref="T60">SUM(SUMIFS(INDIRECT($A$3) ,OtrosR!$C$3:$C66,$A60,OtrosR!$B$3:$B66,T$1))</f>
        <v>#VALUE!</v>
      </c>
      <c r="U60" s="16" t="str">
        <f t="array" ref="U60">SUM(SUMIFS(INDIRECT($A$5) ,OtrosR!$C$3:$C66,$A60,OtrosR!$B$3:$B66,T$1))</f>
        <v>#VALUE!</v>
      </c>
      <c r="V60" s="98" t="str">
        <f t="shared" si="596"/>
        <v/>
      </c>
      <c r="W60" s="93" t="str">
        <f t="array" ref="W60">SUM(SUMIFS(INDIRECT($A$3) ,OtrosR!$C$3:$C66,$A60,OtrosR!$B$3:$B66,W$1))</f>
        <v>#VALUE!</v>
      </c>
      <c r="X60" s="17" t="str">
        <f t="array" ref="X60">SUM(SUMIFS(INDIRECT($A$5) ,OtrosR!$C$3:$C66,$A60,OtrosR!$B$3:$B66,W$1))</f>
        <v>#VALUE!</v>
      </c>
      <c r="Y60" s="95" t="str">
        <f t="shared" si="597"/>
        <v/>
      </c>
      <c r="Z60" s="96" t="str">
        <f t="array" ref="Z60">SUM(SUMIFS(INDIRECT($A$3) ,OtrosR!$C$3:$C66,$A60,OtrosR!$B$3:$B66,Z$1))</f>
        <v>#VALUE!</v>
      </c>
      <c r="AA60" s="16" t="str">
        <f t="array" ref="AA60">SUM(SUMIFS(INDIRECT($A$5) ,OtrosR!$C$3:$C66,$A60,OtrosR!$B$3:$B66,Z$1))</f>
        <v>#VALUE!</v>
      </c>
      <c r="AB60" s="98" t="str">
        <f t="shared" si="598"/>
        <v/>
      </c>
      <c r="AC60" s="93" t="str">
        <f t="array" ref="AC60">SUM(SUMIFS(INDIRECT($A$3) ,OtrosR!$C$3:$C66,$A60,OtrosR!$B$3:$B66,AC$1))</f>
        <v>#VALUE!</v>
      </c>
      <c r="AD60" s="17" t="str">
        <f t="array" ref="AD60">SUM(SUMIFS(INDIRECT($A$5) ,OtrosR!$C$3:$C66,$A60,OtrosR!$B$3:$B66,AC$1))</f>
        <v>#VALUE!</v>
      </c>
      <c r="AE60" s="95" t="str">
        <f t="shared" si="599"/>
        <v/>
      </c>
      <c r="AF60" s="96" t="str">
        <f t="array" ref="AF60">SUM(SUMIFS(INDIRECT($A$3) ,OtrosR!$C$3:$C66,$A60,OtrosR!$B$3:$B66,AF$1))</f>
        <v>#VALUE!</v>
      </c>
      <c r="AG60" s="16" t="str">
        <f t="array" ref="AG60">SUM(SUMIFS(INDIRECT($A$5) ,OtrosR!$C$3:$C66,$A60,OtrosR!$B$3:$B66,AF$1))</f>
        <v>#VALUE!</v>
      </c>
      <c r="AH60" s="98" t="str">
        <f t="shared" si="600"/>
        <v/>
      </c>
      <c r="AI60" s="93" t="str">
        <f t="array" ref="AI60">SUM(SUMIFS(INDIRECT($A$3) ,OtrosR!$C$3:$C66,$A60,OtrosR!$B$3:$B66,AI$1))</f>
        <v>#VALUE!</v>
      </c>
      <c r="AJ60" s="17" t="str">
        <f t="array" ref="AJ60">SUM(SUMIFS(INDIRECT($A$5) ,OtrosR!$C$3:$C66,$A60,OtrosR!$B$3:$B66,AI$1))</f>
        <v>#VALUE!</v>
      </c>
      <c r="AK60" s="95" t="str">
        <f t="shared" si="601"/>
        <v/>
      </c>
      <c r="AL60" s="96" t="str">
        <f t="array" ref="AL60">SUM(SUMIFS(INDIRECT($A$3) ,OtrosR!$C$3:$C66,$A60,OtrosR!$B$3:$B66,AL$1))</f>
        <v>#VALUE!</v>
      </c>
      <c r="AM60" s="16" t="str">
        <f t="array" ref="AM60">SUM(SUMIFS(INDIRECT($A$5) ,OtrosR!$C$3:$C66,$A60,OtrosR!$B$3:$B66,AL$1))</f>
        <v>#VALUE!</v>
      </c>
      <c r="AN60" s="98" t="str">
        <f t="shared" si="602"/>
        <v/>
      </c>
      <c r="AO60" s="93" t="str">
        <f t="array" ref="AO60">SUM(SUMIFS(INDIRECT($A$3) ,OtrosR!$C$3:$C66,$A60,OtrosR!$B$3:$B66,AO$1))</f>
        <v>#VALUE!</v>
      </c>
      <c r="AP60" s="17" t="str">
        <f t="array" ref="AP60">SUM(SUMIFS(INDIRECT($A$5) ,OtrosR!$C$3:$C66,$A60,OtrosR!$B$3:$B66,AO$1))</f>
        <v>#VALUE!</v>
      </c>
      <c r="AQ60" s="95" t="str">
        <f t="shared" si="603"/>
        <v/>
      </c>
      <c r="AR60" s="96" t="str">
        <f t="array" ref="AR60">SUM(SUMIFS(INDIRECT($A$3) ,OtrosR!$C$3:$C66,$A60,OtrosR!$B$3:$B66,AR$1))</f>
        <v>#VALUE!</v>
      </c>
      <c r="AS60" s="16" t="str">
        <f t="array" ref="AS60">SUM(SUMIFS(INDIRECT($A$5) ,OtrosR!$C$3:$C66,$A60,OtrosR!$B$3:$B66,AR$1))</f>
        <v>#VALUE!</v>
      </c>
      <c r="AT60" s="98" t="str">
        <f t="shared" si="604"/>
        <v/>
      </c>
      <c r="AU60" s="93" t="str">
        <f t="array" ref="AU60">SUM(SUMIFS(INDIRECT($A$3) ,OtrosR!$C$3:$C66,$A60,OtrosR!$B$3:$B66,AU$1))</f>
        <v>#VALUE!</v>
      </c>
      <c r="AV60" s="17" t="str">
        <f t="array" ref="AV60">SUM(SUMIFS(INDIRECT($A$5) ,OtrosR!$C$3:$C66,$A60,OtrosR!$B$3:$B66,AU$1))</f>
        <v>#VALUE!</v>
      </c>
      <c r="AW60" s="95" t="str">
        <f t="shared" si="605"/>
        <v/>
      </c>
      <c r="AX60" s="96" t="str">
        <f t="array" ref="AX60">SUM(SUMIFS(INDIRECT($A$3) ,OtrosR!$C$3:$C66,$A60,OtrosR!$B$3:$B66,AX$1))</f>
        <v>#VALUE!</v>
      </c>
      <c r="AY60" s="16" t="str">
        <f t="array" ref="AY60">SUM(SUMIFS(INDIRECT($A$5) ,OtrosR!$C$3:$C66,$A60,OtrosR!$B$3:$B66,AX$1))</f>
        <v>#VALUE!</v>
      </c>
      <c r="AZ60" s="98" t="str">
        <f t="shared" si="606"/>
        <v/>
      </c>
      <c r="BA60" s="93" t="str">
        <f t="array" ref="BA60">SUM(SUMIFS(INDIRECT($A$3) ,OtrosR!$C$3:$C66,$A60,OtrosR!$B$3:$B66,BA$1))</f>
        <v>#VALUE!</v>
      </c>
      <c r="BB60" s="17" t="str">
        <f t="array" ref="BB60">SUM(SUMIFS(INDIRECT($A$5) ,OtrosR!$C$3:$C66,$A60,OtrosR!$B$3:$B66,BA$1))</f>
        <v>#VALUE!</v>
      </c>
      <c r="BC60" s="95" t="str">
        <f t="shared" si="607"/>
        <v/>
      </c>
      <c r="BD60" s="96" t="str">
        <f t="array" ref="BD60">SUM(SUMIFS(INDIRECT($A$3) ,OtrosR!$C$3:$C66,$A60,OtrosR!$B$3:$B66,BD$1))</f>
        <v>#VALUE!</v>
      </c>
      <c r="BE60" s="16" t="str">
        <f t="array" ref="BE60">SUM(SUMIFS(INDIRECT($A$5) ,OtrosR!$C$3:$C66,$A60,OtrosR!$B$3:$B66,BD$1))</f>
        <v>#VALUE!</v>
      </c>
      <c r="BF60" s="98" t="str">
        <f t="shared" si="608"/>
        <v/>
      </c>
      <c r="BG60" s="93" t="str">
        <f t="array" ref="BG60">SUM(SUMIFS(INDIRECT($A$3) ,OtrosR!$C$3:$C66,$A60,OtrosR!$B$3:$B66,BG$1))</f>
        <v>#VALUE!</v>
      </c>
      <c r="BH60" s="17" t="str">
        <f t="array" ref="BH60">SUM(SUMIFS(INDIRECT($A$5) ,OtrosR!$C$3:$C66,$A60,OtrosR!$B$3:$B66,BG$1))</f>
        <v>#VALUE!</v>
      </c>
      <c r="BI60" s="95" t="str">
        <f t="shared" si="609"/>
        <v/>
      </c>
      <c r="BJ60" s="96" t="str">
        <f t="array" ref="BJ60">SUM(SUMIFS(INDIRECT($A$3) ,OtrosR!$C$3:$C66,$A60,OtrosR!$B$3:$B66,BJ$1))</f>
        <v>#VALUE!</v>
      </c>
      <c r="BK60" s="16" t="str">
        <f t="array" ref="BK60">SUM(SUMIFS(INDIRECT($A$5) ,OtrosR!$C$3:$C66,$A60,OtrosR!$B$3:$B66,BJ$1))</f>
        <v>#VALUE!</v>
      </c>
      <c r="BL60" s="98" t="str">
        <f t="shared" si="610"/>
        <v/>
      </c>
      <c r="BM60" s="93" t="str">
        <f t="array" ref="BM60">SUM(SUMIFS(INDIRECT($A$3) ,OtrosR!$C$3:$C66,$A60,OtrosR!$B$3:$B66,BM$1))</f>
        <v>#VALUE!</v>
      </c>
      <c r="BN60" s="17" t="str">
        <f t="array" ref="BN60">SUM(SUMIFS(INDIRECT($A$5) ,OtrosR!$C$3:$C66,$A60,OtrosR!$B$3:$B66,BM$1))</f>
        <v>#VALUE!</v>
      </c>
      <c r="BO60" s="95" t="str">
        <f t="shared" si="611"/>
        <v/>
      </c>
      <c r="BP60" s="96" t="str">
        <f t="array" ref="BP60">SUM(SUMIFS(INDIRECT($A$3) ,OtrosR!$C$3:$C66,$A60,OtrosR!$B$3:$B66,BP$1))</f>
        <v>#VALUE!</v>
      </c>
      <c r="BQ60" s="16" t="str">
        <f t="array" ref="BQ60">SUM(SUMIFS(INDIRECT($A$5) ,OtrosR!$C$3:$C66,$A60,OtrosR!$B$3:$B66,BP$1))</f>
        <v>#VALUE!</v>
      </c>
      <c r="BR60" s="98" t="str">
        <f t="shared" si="612"/>
        <v/>
      </c>
      <c r="BS60" s="93" t="str">
        <f t="array" ref="BS60">SUM(SUMIFS(INDIRECT($A$3) ,OtrosR!$C$3:$C66,$A60,OtrosR!$B$3:$B66,BS$1))</f>
        <v>#VALUE!</v>
      </c>
      <c r="BT60" s="17" t="str">
        <f t="array" ref="BT60">SUM(SUMIFS(INDIRECT($A$5) ,OtrosR!$C$3:$C66,$A60,OtrosR!$B$3:$B66,BS$1))</f>
        <v>#VALUE!</v>
      </c>
      <c r="BU60" s="95" t="str">
        <f t="shared" si="613"/>
        <v/>
      </c>
      <c r="BV60" s="96" t="str">
        <f t="array" ref="BV60">SUM(SUMIFS(INDIRECT($A$3) ,OtrosR!$C$3:$C66,$A60,OtrosR!$B$3:$B66,BV$1))</f>
        <v>#VALUE!</v>
      </c>
      <c r="BW60" s="16" t="str">
        <f t="array" ref="BW60">SUM(SUMIFS(INDIRECT($A$5) ,OtrosR!$C$3:$C66,$A60,OtrosR!$B$3:$B66,BV$1))</f>
        <v>#VALUE!</v>
      </c>
      <c r="BX60" s="98" t="str">
        <f t="shared" si="614"/>
        <v/>
      </c>
      <c r="BY60" s="93" t="str">
        <f t="array" ref="BY60">SUM(SUMIFS(INDIRECT($A$3) ,OtrosR!$C$3:$C66,$A60,OtrosR!$B$3:$B66,BY$1))</f>
        <v>#VALUE!</v>
      </c>
      <c r="BZ60" s="17" t="str">
        <f t="array" ref="BZ60">SUM(SUMIFS(INDIRECT($A$5) ,OtrosR!$C$3:$C66,$A60,OtrosR!$B$3:$B66,BY$1))</f>
        <v>#VALUE!</v>
      </c>
      <c r="CA60" s="95" t="str">
        <f t="shared" si="615"/>
        <v/>
      </c>
      <c r="CB60" s="96" t="str">
        <f t="array" ref="CB60">SUM(SUMIFS(INDIRECT($A$3) ,OtrosR!$C$3:$C66,$A60,OtrosR!$B$3:$B66,CB$1))</f>
        <v>#VALUE!</v>
      </c>
      <c r="CC60" s="16" t="str">
        <f t="array" ref="CC60">SUM(SUMIFS(INDIRECT($A$5) ,OtrosR!$C$3:$C66,$A60,OtrosR!$B$3:$B66,CB$1))</f>
        <v>#VALUE!</v>
      </c>
      <c r="CD60" s="98" t="str">
        <f t="shared" si="616"/>
        <v/>
      </c>
      <c r="CE60" s="93" t="str">
        <f t="array" ref="CE60">SUM(SUMIFS(INDIRECT($A$3) ,OtrosR!$C$3:$C66,$A60,OtrosR!$B$3:$B66,CE$1))</f>
        <v>#VALUE!</v>
      </c>
      <c r="CF60" s="17" t="str">
        <f t="array" ref="CF60">SUM(SUMIFS(INDIRECT($A$5) ,OtrosR!$C$3:$C66,$A60,OtrosR!$B$3:$B66,CE$1))</f>
        <v>#VALUE!</v>
      </c>
      <c r="CG60" s="95" t="str">
        <f t="shared" si="617"/>
        <v/>
      </c>
      <c r="CH60" s="96" t="str">
        <f t="array" ref="CH60">SUM(SUMIFS(INDIRECT($A$3) ,OtrosR!$C$3:$C66,$A60,OtrosR!$B$3:$B66,CH$1))</f>
        <v>#VALUE!</v>
      </c>
      <c r="CI60" s="16" t="str">
        <f t="array" ref="CI60">SUM(SUMIFS(INDIRECT($A$5) ,OtrosR!$C$3:$C66,$A60,OtrosR!$B$3:$B66,CH$1))</f>
        <v>#VALUE!</v>
      </c>
      <c r="CJ60" s="98" t="str">
        <f t="shared" si="618"/>
        <v/>
      </c>
      <c r="CK60" s="93" t="str">
        <f t="array" ref="CK60">SUM(SUMIFS(INDIRECT($A$3) ,OtrosR!$C$3:$C66,$A60,OtrosR!$B$3:$B66,CK$1))</f>
        <v>#VALUE!</v>
      </c>
      <c r="CL60" s="17" t="str">
        <f t="array" ref="CL60">SUM(SUMIFS(INDIRECT($A$5) ,OtrosR!$C$3:$C66,$A60,OtrosR!$B$3:$B66,CK$1))</f>
        <v>#VALUE!</v>
      </c>
      <c r="CM60" s="95" t="str">
        <f t="shared" si="619"/>
        <v/>
      </c>
      <c r="CN60" s="96" t="str">
        <f t="array" ref="CN60">SUM(SUMIFS(INDIRECT($A$3) ,OtrosR!$C$3:$C66,$A60,OtrosR!$B$3:$B66,CN$1))</f>
        <v>#VALUE!</v>
      </c>
      <c r="CO60" s="16" t="str">
        <f t="array" ref="CO60">SUM(SUMIFS(INDIRECT($A$5) ,OtrosR!$C$3:$C66,$A60,OtrosR!$B$3:$B66,CN$1))</f>
        <v>#VALUE!</v>
      </c>
      <c r="CP60" s="98" t="str">
        <f t="shared" si="620"/>
        <v/>
      </c>
      <c r="CQ60" s="93" t="str">
        <f t="array" ref="CQ60">SUM(SUMIFS(INDIRECT($A$3) ,OtrosR!$C$3:$C66,$A60,OtrosR!$B$3:$B66,CQ$1))</f>
        <v>#VALUE!</v>
      </c>
      <c r="CR60" s="17" t="str">
        <f t="array" ref="CR60">SUM(SUMIFS(INDIRECT($A$5) ,OtrosR!$C$3:$C66,$A60,OtrosR!$B$3:$B66,CQ$1))</f>
        <v>#VALUE!</v>
      </c>
      <c r="CS60" s="95" t="str">
        <f t="shared" si="621"/>
        <v/>
      </c>
      <c r="CT60" s="96" t="str">
        <f t="array" ref="CT60">SUM(SUMIFS(INDIRECT($A$3) ,OtrosR!$C$3:$C66,$A60,OtrosR!$B$3:$B66,CT$1))</f>
        <v>#VALUE!</v>
      </c>
      <c r="CU60" s="16" t="str">
        <f t="array" ref="CU60">SUM(SUMIFS(INDIRECT($A$5) ,OtrosR!$C$3:$C66,$A60,OtrosR!$B$3:$B66,CT$1))</f>
        <v>#VALUE!</v>
      </c>
      <c r="CV60" s="98" t="str">
        <f t="shared" si="622"/>
        <v/>
      </c>
      <c r="CW60" s="93" t="str">
        <f t="array" ref="CW60">SUM(SUMIFS(INDIRECT($A$3) ,OtrosR!$C$3:$C66,$A60,OtrosR!$B$3:$B66,CW$1))</f>
        <v>#VALUE!</v>
      </c>
      <c r="CX60" s="17" t="str">
        <f t="array" ref="CX60">SUM(SUMIFS(INDIRECT($A$5) ,OtrosR!$C$3:$C66,$A60,OtrosR!$B$3:$B66,CW$1))</f>
        <v>#VALUE!</v>
      </c>
      <c r="CY60" s="95" t="str">
        <f t="shared" si="623"/>
        <v/>
      </c>
      <c r="CZ60" s="96" t="str">
        <f t="array" ref="CZ60">SUM(SUMIFS(INDIRECT($A$3) ,OtrosR!$C$3:$C66,$A60,OtrosR!$B$3:$B66,CZ$1))</f>
        <v>#VALUE!</v>
      </c>
      <c r="DA60" s="16" t="str">
        <f t="array" ref="DA60">SUM(SUMIFS(INDIRECT($A$5) ,OtrosR!$C$3:$C66,$A60,OtrosR!$B$3:$B66,CZ$1))</f>
        <v>#VALUE!</v>
      </c>
      <c r="DB60" s="98" t="str">
        <f t="shared" si="624"/>
        <v/>
      </c>
      <c r="DC60" s="93" t="str">
        <f t="array" ref="DC60">SUM(SUMIFS(INDIRECT($A$3) ,OtrosR!$C$3:$C66,$A60,OtrosR!$B$3:$B66,DC$1))</f>
        <v>#VALUE!</v>
      </c>
      <c r="DD60" s="17" t="str">
        <f t="array" ref="DD60">SUM(SUMIFS(INDIRECT($A$5) ,OtrosR!$C$3:$C66,$A60,OtrosR!$B$3:$B66,DC$1))</f>
        <v>#VALUE!</v>
      </c>
      <c r="DE60" s="95" t="str">
        <f t="shared" si="625"/>
        <v/>
      </c>
      <c r="DF60" s="96" t="str">
        <f t="array" ref="DF60">SUM(SUMIFS(INDIRECT($A$3) ,OtrosR!$C$3:$C66,$A60,OtrosR!$B$3:$B66,DF$1))</f>
        <v>#VALUE!</v>
      </c>
      <c r="DG60" s="16" t="str">
        <f t="array" ref="DG60">SUM(SUMIFS(INDIRECT($A$5) ,OtrosR!$C$3:$C66,$A60,OtrosR!$B$3:$B66,DF$1))</f>
        <v>#VALUE!</v>
      </c>
      <c r="DH60" s="98" t="str">
        <f t="shared" si="626"/>
        <v/>
      </c>
      <c r="DI60" s="93" t="str">
        <f t="array" ref="DI60">SUM(SUMIFS(INDIRECT($A$3) ,OtrosR!$C$3:$C66,$A60,OtrosR!$B$3:$B66,DI$1))</f>
        <v>#VALUE!</v>
      </c>
      <c r="DJ60" s="17" t="str">
        <f t="array" ref="DJ60">SUM(SUMIFS(INDIRECT($A$5) ,OtrosR!$C$3:$C66,$A60,OtrosR!$B$3:$B66,DI$1))</f>
        <v>#VALUE!</v>
      </c>
      <c r="DK60" s="95" t="str">
        <f t="shared" si="627"/>
        <v/>
      </c>
      <c r="DL60" s="96" t="str">
        <f t="array" ref="DL60">SUM(SUMIFS(INDIRECT($A$3) ,OtrosR!$C$3:$C66,$A60,OtrosR!$B$3:$B66,DL$1))</f>
        <v>#VALUE!</v>
      </c>
      <c r="DM60" s="16" t="str">
        <f t="array" ref="DM60">SUM(SUMIFS(INDIRECT($A$5) ,OtrosR!$C$3:$C66,$A60,OtrosR!$B$3:$B66,DL$1))</f>
        <v>#VALUE!</v>
      </c>
      <c r="DN60" s="98" t="str">
        <f t="shared" si="628"/>
        <v/>
      </c>
      <c r="DO60" s="93" t="str">
        <f t="array" ref="DO60">SUM(SUMIFS(INDIRECT($A$3) ,OtrosR!$C$3:$C66,$A60,OtrosR!$B$3:$B66,DO$1))</f>
        <v>#VALUE!</v>
      </c>
      <c r="DP60" s="17" t="str">
        <f t="array" ref="DP60">SUM(SUMIFS(INDIRECT($A$5) ,OtrosR!$C$3:$C66,$A60,OtrosR!$B$3:$B66,DO$1))</f>
        <v>#VALUE!</v>
      </c>
      <c r="DQ60" s="95" t="str">
        <f t="shared" si="629"/>
        <v/>
      </c>
      <c r="DR60" s="96" t="str">
        <f t="array" ref="DR60">SUM(SUMIFS(INDIRECT($A$3) ,OtrosR!$C$3:$C66,$A60,OtrosR!$B$3:$B66,DR$1))</f>
        <v>#VALUE!</v>
      </c>
      <c r="DS60" s="16" t="str">
        <f t="array" ref="DS60">SUM(SUMIFS(INDIRECT($A$5) ,OtrosR!$C$3:$C66,$A60,OtrosR!$B$3:$B66,DR$1))</f>
        <v>#VALUE!</v>
      </c>
      <c r="DT60" s="98" t="str">
        <f t="shared" si="630"/>
        <v/>
      </c>
      <c r="DU60" s="93" t="str">
        <f t="array" ref="DU60">SUM(SUMIFS(INDIRECT($A$3) ,OtrosR!$C$3:$C66,$A60,OtrosR!$B$3:$B66,DU$1))</f>
        <v>#VALUE!</v>
      </c>
      <c r="DV60" s="17" t="str">
        <f t="array" ref="DV60">SUM(SUMIFS(INDIRECT($A$5) ,OtrosR!$C$3:$C66,$A60,OtrosR!$B$3:$B66,DU$1))</f>
        <v>#VALUE!</v>
      </c>
      <c r="DW60" s="95" t="str">
        <f t="shared" si="631"/>
        <v/>
      </c>
      <c r="DX60" s="96" t="str">
        <f t="array" ref="DX60">SUM(SUMIFS(INDIRECT($A$3) ,OtrosR!$C$3:$C66,$A60,OtrosR!$B$3:$B66,DX$1))</f>
        <v>#VALUE!</v>
      </c>
      <c r="DY60" s="16" t="str">
        <f t="array" ref="DY60">SUM(SUMIFS(INDIRECT($A$5) ,OtrosR!$C$3:$C66,$A60,OtrosR!$B$3:$B66,DX$1))</f>
        <v>#VALUE!</v>
      </c>
      <c r="DZ60" s="98" t="str">
        <f t="shared" si="632"/>
        <v/>
      </c>
      <c r="EA60" s="93" t="str">
        <f t="array" ref="EA60">SUM(SUMIFS(INDIRECT($A$3) ,OtrosR!$C$3:$C66,$A60,OtrosR!$B$3:$B66,EA$1))</f>
        <v>#VALUE!</v>
      </c>
      <c r="EB60" s="17" t="str">
        <f t="array" ref="EB60">SUM(SUMIFS(INDIRECT($A$5) ,OtrosR!$C$3:$C66,$A60,OtrosR!$B$3:$B66,EA$1))</f>
        <v>#VALUE!</v>
      </c>
      <c r="EC60" s="95" t="str">
        <f t="shared" si="633"/>
        <v/>
      </c>
      <c r="ED60" s="96" t="str">
        <f t="array" ref="ED60">SUM(SUMIFS(INDIRECT($A$3) ,OtrosR!$C$3:$C66,$A60,OtrosR!$B$3:$B66,ED$1))</f>
        <v>#VALUE!</v>
      </c>
      <c r="EE60" s="16" t="str">
        <f t="array" ref="EE60">SUM(SUMIFS(INDIRECT($A$5) ,OtrosR!$C$3:$C66,$A60,OtrosR!$B$3:$B66,ED$1))</f>
        <v>#VALUE!</v>
      </c>
      <c r="EF60" s="98" t="str">
        <f t="shared" si="634"/>
        <v/>
      </c>
      <c r="EG60" s="93" t="str">
        <f t="array" ref="EG60">SUM(SUMIFS(INDIRECT($A$3) ,OtrosR!$C$3:$C66,$A60,OtrosR!$B$3:$B66,EG$1))</f>
        <v>#VALUE!</v>
      </c>
      <c r="EH60" s="17" t="str">
        <f t="array" ref="EH60">SUM(SUMIFS(INDIRECT($A$5) ,OtrosR!$C$3:$C66,$A60,OtrosR!$B$3:$B66,EG$1))</f>
        <v>#VALUE!</v>
      </c>
      <c r="EI60" s="95" t="str">
        <f t="shared" si="635"/>
        <v/>
      </c>
      <c r="EJ60" s="96" t="str">
        <f t="array" ref="EJ60">SUM(SUMIFS(INDIRECT($A$3) ,OtrosR!$C$3:$C66,$A60,OtrosR!$B$3:$B66,EJ$1))</f>
        <v>#VALUE!</v>
      </c>
      <c r="EK60" s="16" t="str">
        <f t="array" ref="EK60">SUM(SUMIFS(INDIRECT($A$5) ,OtrosR!$C$3:$C66,$A60,OtrosR!$B$3:$B66,EJ$1))</f>
        <v>#VALUE!</v>
      </c>
      <c r="EL60" s="98" t="str">
        <f t="shared" si="636"/>
        <v/>
      </c>
      <c r="EM60" s="93" t="str">
        <f t="array" ref="EM60">SUM(SUMIFS(INDIRECT($A$3) ,OtrosR!$C$3:$C66,$A60,OtrosR!$B$3:$B66,EM$1))</f>
        <v>#VALUE!</v>
      </c>
      <c r="EN60" s="17" t="str">
        <f t="array" ref="EN60">SUM(SUMIFS(INDIRECT($A$5) ,OtrosR!$C$3:$C66,$A60,OtrosR!$B$3:$B66,EM$1))</f>
        <v>#VALUE!</v>
      </c>
      <c r="EO60" s="95" t="str">
        <f t="shared" si="637"/>
        <v/>
      </c>
      <c r="EP60" s="96" t="str">
        <f t="array" ref="EP60">SUM(SUMIFS(INDIRECT($A$3) ,OtrosR!$C$3:$C66,$A60,OtrosR!$B$3:$B66,EP$1))</f>
        <v>#VALUE!</v>
      </c>
      <c r="EQ60" s="16" t="str">
        <f t="array" ref="EQ60">SUM(SUMIFS(INDIRECT($A$5) ,OtrosR!$C$3:$C66,$A60,OtrosR!$B$3:$B66,EP$1))</f>
        <v>#VALUE!</v>
      </c>
      <c r="ER60" s="98" t="str">
        <f t="shared" si="638"/>
        <v/>
      </c>
      <c r="ES60" s="93" t="str">
        <f t="array" ref="ES60">SUM(SUMIFS(INDIRECT($A$3) ,OtrosR!$C$3:$C66,$A60,OtrosR!$B$3:$B66,ES$1))</f>
        <v>#VALUE!</v>
      </c>
      <c r="ET60" s="17" t="str">
        <f t="array" ref="ET60">SUM(SUMIFS(INDIRECT($A$5) ,OtrosR!$C$3:$C66,$A60,OtrosR!$B$3:$B66,ES$1))</f>
        <v>#VALUE!</v>
      </c>
      <c r="EU60" s="95" t="str">
        <f t="shared" si="639"/>
        <v/>
      </c>
      <c r="EV60" s="96" t="str">
        <f t="array" ref="EV60">SUM(SUMIFS(INDIRECT($A$3) ,OtrosR!$C$3:$C66,$A60,OtrosR!$B$3:$B66,EV$1))</f>
        <v>#VALUE!</v>
      </c>
      <c r="EW60" s="16" t="str">
        <f t="array" ref="EW60">SUM(SUMIFS(INDIRECT($A$5) ,OtrosR!$C$3:$C66,$A60,OtrosR!$B$3:$B66,EV$1))</f>
        <v>#VALUE!</v>
      </c>
      <c r="EX60" s="98" t="str">
        <f t="shared" si="640"/>
        <v/>
      </c>
      <c r="EY60" s="93" t="str">
        <f t="array" ref="EY60">SUM(SUMIFS(INDIRECT($A$3) ,OtrosR!$C$3:$C66,$A60,OtrosR!$B$3:$B66,EY$1))</f>
        <v>#VALUE!</v>
      </c>
      <c r="EZ60" s="17" t="str">
        <f t="array" ref="EZ60">SUM(SUMIFS(INDIRECT($A$5) ,OtrosR!$C$3:$C66,$A60,OtrosR!$B$3:$B66,EY$1))</f>
        <v>#VALUE!</v>
      </c>
      <c r="FA60" s="95" t="str">
        <f t="shared" si="641"/>
        <v/>
      </c>
      <c r="FB60" s="96" t="str">
        <f t="array" ref="FB60">SUM(SUMIFS(INDIRECT($A$3) ,OtrosR!$C$3:$C66,$A60,OtrosR!$B$3:$B66,FB$1))</f>
        <v>#VALUE!</v>
      </c>
      <c r="FC60" s="16" t="str">
        <f t="array" ref="FC60">SUM(SUMIFS(INDIRECT($A$5) ,OtrosR!$C$3:$C66,$A60,OtrosR!$B$3:$B66,FB$1))</f>
        <v>#VALUE!</v>
      </c>
      <c r="FD60" s="98" t="str">
        <f t="shared" si="642"/>
        <v/>
      </c>
      <c r="FE60" s="93" t="str">
        <f t="array" ref="FE60">SUM(SUMIFS(INDIRECT($A$3) ,OtrosR!$C$3:$C66,$A60,OtrosR!$B$3:$B66,FE$1))</f>
        <v>#VALUE!</v>
      </c>
      <c r="FF60" s="17" t="str">
        <f t="array" ref="FF60">SUM(SUMIFS(INDIRECT($A$5) ,OtrosR!$C$3:$C66,$A60,OtrosR!$B$3:$B66,FE$1))</f>
        <v>#VALUE!</v>
      </c>
      <c r="FG60" s="95" t="str">
        <f t="shared" si="643"/>
        <v/>
      </c>
      <c r="FH60" s="96" t="str">
        <f t="array" ref="FH60">SUM(SUMIFS(INDIRECT($A$3) ,OtrosR!$C$3:$C66,$A60,OtrosR!$B$3:$B66,FH$1))</f>
        <v>#VALUE!</v>
      </c>
      <c r="FI60" s="16" t="str">
        <f t="array" ref="FI60">SUM(SUMIFS(INDIRECT($A$5) ,OtrosR!$C$3:$C66,$A60,OtrosR!$B$3:$B66,FH$1))</f>
        <v>#VALUE!</v>
      </c>
      <c r="FJ60" s="98" t="str">
        <f t="shared" si="644"/>
        <v/>
      </c>
    </row>
    <row r="61" ht="15.75" customHeight="1">
      <c r="A61" s="5" t="str">
        <f>Menus!Q6</f>
        <v/>
      </c>
      <c r="B61" s="16" t="str">
        <f t="shared" si="590"/>
        <v>#VALUE!</v>
      </c>
      <c r="C61" s="16" t="str">
        <f t="shared" si="591"/>
        <v>#VALUE!</v>
      </c>
      <c r="D61" s="16" t="str">
        <f t="shared" si="588"/>
        <v>#VALUE!</v>
      </c>
      <c r="E61" s="109" t="str">
        <f t="array" ref="E61">SUM(SUMIFS(INDIRECT($A$3) ,OtrosR!$C$3:$C66,$A61,OtrosR!$B$3:$B66,E$1))</f>
        <v>#VALUE!</v>
      </c>
      <c r="F61" s="15" t="str">
        <f t="array" ref="F61">SUM(SUMIFS(INDIRECT($A$5) ,OtrosR!$C$3:$C66,$A61,OtrosR!$B$3:$B66,E$1))</f>
        <v>#VALUE!</v>
      </c>
      <c r="G61" s="89" t="str">
        <f t="shared" si="589"/>
        <v>#VALUE!</v>
      </c>
      <c r="H61" s="90" t="str">
        <f t="array" ref="H61">SUM(SUMIFS(INDIRECT($A$3) ,OtrosR!$C$3:$C66,$A61,OtrosR!$B$3:$B66,H$1))</f>
        <v>#VALUE!</v>
      </c>
      <c r="I61" s="55" t="str">
        <f t="array" ref="I61">SUM(SUMIFS(INDIRECT($A$5) ,OtrosR!$C$3:$C66,$A61,OtrosR!$B$3:$B66,H$1))</f>
        <v>#VALUE!</v>
      </c>
      <c r="J61" s="92" t="str">
        <f t="shared" si="592"/>
        <v/>
      </c>
      <c r="K61" s="93" t="str">
        <f t="array" ref="K61">SUM(SUMIFS(INDIRECT($A$3) ,OtrosR!$C$3:$C66,$A61,OtrosR!$B$3:$B66,K$1))</f>
        <v>#VALUE!</v>
      </c>
      <c r="L61" s="17" t="str">
        <f t="array" ref="L61">SUM(SUMIFS(INDIRECT($A$5) ,OtrosR!$C$3:$C66,$A61,OtrosR!$B$3:$B66,K$1))</f>
        <v>#VALUE!</v>
      </c>
      <c r="M61" s="95" t="str">
        <f t="shared" si="593"/>
        <v/>
      </c>
      <c r="N61" s="96" t="str">
        <f t="array" ref="N61">SUM(SUMIFS(INDIRECT($A$3) ,OtrosR!$C$3:$C66,$A61,OtrosR!$B$3:$B66,N$1))</f>
        <v>#VALUE!</v>
      </c>
      <c r="O61" s="16" t="str">
        <f t="array" ref="O61">SUM(SUMIFS(INDIRECT($A$5) ,OtrosR!$C$3:$C66,$A61,OtrosR!$B$3:$B66,N$1))</f>
        <v>#VALUE!</v>
      </c>
      <c r="P61" s="98" t="str">
        <f t="shared" si="594"/>
        <v/>
      </c>
      <c r="Q61" s="93" t="str">
        <f t="array" ref="Q61">SUM(SUMIFS(INDIRECT($A$3) ,OtrosR!$C$3:$C66,$A61,OtrosR!$B$3:$B66,Q$1))</f>
        <v>#VALUE!</v>
      </c>
      <c r="R61" s="17" t="str">
        <f t="array" ref="R61">SUM(SUMIFS(INDIRECT($A$5) ,OtrosR!$C$3:$C66,$A61,OtrosR!$B$3:$B66,Q$1))</f>
        <v>#VALUE!</v>
      </c>
      <c r="S61" s="95" t="str">
        <f t="shared" si="595"/>
        <v/>
      </c>
      <c r="T61" s="96" t="str">
        <f t="array" ref="T61">SUM(SUMIFS(INDIRECT($A$3) ,OtrosR!$C$3:$C66,$A61,OtrosR!$B$3:$B66,T$1))</f>
        <v>#VALUE!</v>
      </c>
      <c r="U61" s="16" t="str">
        <f t="array" ref="U61">SUM(SUMIFS(INDIRECT($A$5) ,OtrosR!$C$3:$C66,$A61,OtrosR!$B$3:$B66,T$1))</f>
        <v>#VALUE!</v>
      </c>
      <c r="V61" s="98" t="str">
        <f t="shared" si="596"/>
        <v/>
      </c>
      <c r="W61" s="93" t="str">
        <f t="array" ref="W61">SUM(SUMIFS(INDIRECT($A$3) ,OtrosR!$C$3:$C66,$A61,OtrosR!$B$3:$B66,W$1))</f>
        <v>#VALUE!</v>
      </c>
      <c r="X61" s="17" t="str">
        <f t="array" ref="X61">SUM(SUMIFS(INDIRECT($A$5) ,OtrosR!$C$3:$C66,$A61,OtrosR!$B$3:$B66,W$1))</f>
        <v>#VALUE!</v>
      </c>
      <c r="Y61" s="95" t="str">
        <f t="shared" si="597"/>
        <v/>
      </c>
      <c r="Z61" s="96" t="str">
        <f t="array" ref="Z61">SUM(SUMIFS(INDIRECT($A$3) ,OtrosR!$C$3:$C66,$A61,OtrosR!$B$3:$B66,Z$1))</f>
        <v>#VALUE!</v>
      </c>
      <c r="AA61" s="16" t="str">
        <f t="array" ref="AA61">SUM(SUMIFS(INDIRECT($A$5) ,OtrosR!$C$3:$C66,$A61,OtrosR!$B$3:$B66,Z$1))</f>
        <v>#VALUE!</v>
      </c>
      <c r="AB61" s="98" t="str">
        <f t="shared" si="598"/>
        <v/>
      </c>
      <c r="AC61" s="93" t="str">
        <f t="array" ref="AC61">SUM(SUMIFS(INDIRECT($A$3) ,OtrosR!$C$3:$C66,$A61,OtrosR!$B$3:$B66,AC$1))</f>
        <v>#VALUE!</v>
      </c>
      <c r="AD61" s="17" t="str">
        <f t="array" ref="AD61">SUM(SUMIFS(INDIRECT($A$5) ,OtrosR!$C$3:$C66,$A61,OtrosR!$B$3:$B66,AC$1))</f>
        <v>#VALUE!</v>
      </c>
      <c r="AE61" s="95" t="str">
        <f t="shared" si="599"/>
        <v/>
      </c>
      <c r="AF61" s="96" t="str">
        <f t="array" ref="AF61">SUM(SUMIFS(INDIRECT($A$3) ,OtrosR!$C$3:$C66,$A61,OtrosR!$B$3:$B66,AF$1))</f>
        <v>#VALUE!</v>
      </c>
      <c r="AG61" s="16" t="str">
        <f t="array" ref="AG61">SUM(SUMIFS(INDIRECT($A$5) ,OtrosR!$C$3:$C66,$A61,OtrosR!$B$3:$B66,AF$1))</f>
        <v>#VALUE!</v>
      </c>
      <c r="AH61" s="98" t="str">
        <f t="shared" si="600"/>
        <v/>
      </c>
      <c r="AI61" s="93" t="str">
        <f t="array" ref="AI61">SUM(SUMIFS(INDIRECT($A$3) ,OtrosR!$C$3:$C66,$A61,OtrosR!$B$3:$B66,AI$1))</f>
        <v>#VALUE!</v>
      </c>
      <c r="AJ61" s="17" t="str">
        <f t="array" ref="AJ61">SUM(SUMIFS(INDIRECT($A$5) ,OtrosR!$C$3:$C66,$A61,OtrosR!$B$3:$B66,AI$1))</f>
        <v>#VALUE!</v>
      </c>
      <c r="AK61" s="95" t="str">
        <f t="shared" si="601"/>
        <v/>
      </c>
      <c r="AL61" s="96" t="str">
        <f t="array" ref="AL61">SUM(SUMIFS(INDIRECT($A$3) ,OtrosR!$C$3:$C66,$A61,OtrosR!$B$3:$B66,AL$1))</f>
        <v>#VALUE!</v>
      </c>
      <c r="AM61" s="16" t="str">
        <f t="array" ref="AM61">SUM(SUMIFS(INDIRECT($A$5) ,OtrosR!$C$3:$C66,$A61,OtrosR!$B$3:$B66,AL$1))</f>
        <v>#VALUE!</v>
      </c>
      <c r="AN61" s="98" t="str">
        <f t="shared" si="602"/>
        <v/>
      </c>
      <c r="AO61" s="93" t="str">
        <f t="array" ref="AO61">SUM(SUMIFS(INDIRECT($A$3) ,OtrosR!$C$3:$C66,$A61,OtrosR!$B$3:$B66,AO$1))</f>
        <v>#VALUE!</v>
      </c>
      <c r="AP61" s="17" t="str">
        <f t="array" ref="AP61">SUM(SUMIFS(INDIRECT($A$5) ,OtrosR!$C$3:$C66,$A61,OtrosR!$B$3:$B66,AO$1))</f>
        <v>#VALUE!</v>
      </c>
      <c r="AQ61" s="95" t="str">
        <f t="shared" si="603"/>
        <v/>
      </c>
      <c r="AR61" s="96" t="str">
        <f t="array" ref="AR61">SUM(SUMIFS(INDIRECT($A$3) ,OtrosR!$C$3:$C66,$A61,OtrosR!$B$3:$B66,AR$1))</f>
        <v>#VALUE!</v>
      </c>
      <c r="AS61" s="16" t="str">
        <f t="array" ref="AS61">SUM(SUMIFS(INDIRECT($A$5) ,OtrosR!$C$3:$C66,$A61,OtrosR!$B$3:$B66,AR$1))</f>
        <v>#VALUE!</v>
      </c>
      <c r="AT61" s="98" t="str">
        <f t="shared" si="604"/>
        <v/>
      </c>
      <c r="AU61" s="93" t="str">
        <f t="array" ref="AU61">SUM(SUMIFS(INDIRECT($A$3) ,OtrosR!$C$3:$C66,$A61,OtrosR!$B$3:$B66,AU$1))</f>
        <v>#VALUE!</v>
      </c>
      <c r="AV61" s="17" t="str">
        <f t="array" ref="AV61">SUM(SUMIFS(INDIRECT($A$5) ,OtrosR!$C$3:$C66,$A61,OtrosR!$B$3:$B66,AU$1))</f>
        <v>#VALUE!</v>
      </c>
      <c r="AW61" s="95" t="str">
        <f t="shared" si="605"/>
        <v/>
      </c>
      <c r="AX61" s="96" t="str">
        <f t="array" ref="AX61">SUM(SUMIFS(INDIRECT($A$3) ,OtrosR!$C$3:$C66,$A61,OtrosR!$B$3:$B66,AX$1))</f>
        <v>#VALUE!</v>
      </c>
      <c r="AY61" s="16" t="str">
        <f t="array" ref="AY61">SUM(SUMIFS(INDIRECT($A$5) ,OtrosR!$C$3:$C66,$A61,OtrosR!$B$3:$B66,AX$1))</f>
        <v>#VALUE!</v>
      </c>
      <c r="AZ61" s="98" t="str">
        <f t="shared" si="606"/>
        <v/>
      </c>
      <c r="BA61" s="93" t="str">
        <f t="array" ref="BA61">SUM(SUMIFS(INDIRECT($A$3) ,OtrosR!$C$3:$C66,$A61,OtrosR!$B$3:$B66,BA$1))</f>
        <v>#VALUE!</v>
      </c>
      <c r="BB61" s="17" t="str">
        <f t="array" ref="BB61">SUM(SUMIFS(INDIRECT($A$5) ,OtrosR!$C$3:$C66,$A61,OtrosR!$B$3:$B66,BA$1))</f>
        <v>#VALUE!</v>
      </c>
      <c r="BC61" s="95" t="str">
        <f t="shared" si="607"/>
        <v/>
      </c>
      <c r="BD61" s="96" t="str">
        <f t="array" ref="BD61">SUM(SUMIFS(INDIRECT($A$3) ,OtrosR!$C$3:$C66,$A61,OtrosR!$B$3:$B66,BD$1))</f>
        <v>#VALUE!</v>
      </c>
      <c r="BE61" s="16" t="str">
        <f t="array" ref="BE61">SUM(SUMIFS(INDIRECT($A$5) ,OtrosR!$C$3:$C66,$A61,OtrosR!$B$3:$B66,BD$1))</f>
        <v>#VALUE!</v>
      </c>
      <c r="BF61" s="98" t="str">
        <f t="shared" si="608"/>
        <v/>
      </c>
      <c r="BG61" s="93" t="str">
        <f t="array" ref="BG61">SUM(SUMIFS(INDIRECT($A$3) ,OtrosR!$C$3:$C66,$A61,OtrosR!$B$3:$B66,BG$1))</f>
        <v>#VALUE!</v>
      </c>
      <c r="BH61" s="17" t="str">
        <f t="array" ref="BH61">SUM(SUMIFS(INDIRECT($A$5) ,OtrosR!$C$3:$C66,$A61,OtrosR!$B$3:$B66,BG$1))</f>
        <v>#VALUE!</v>
      </c>
      <c r="BI61" s="95" t="str">
        <f t="shared" si="609"/>
        <v/>
      </c>
      <c r="BJ61" s="96" t="str">
        <f t="array" ref="BJ61">SUM(SUMIFS(INDIRECT($A$3) ,OtrosR!$C$3:$C66,$A61,OtrosR!$B$3:$B66,BJ$1))</f>
        <v>#VALUE!</v>
      </c>
      <c r="BK61" s="16" t="str">
        <f t="array" ref="BK61">SUM(SUMIFS(INDIRECT($A$5) ,OtrosR!$C$3:$C66,$A61,OtrosR!$B$3:$B66,BJ$1))</f>
        <v>#VALUE!</v>
      </c>
      <c r="BL61" s="98" t="str">
        <f t="shared" si="610"/>
        <v/>
      </c>
      <c r="BM61" s="93" t="str">
        <f t="array" ref="BM61">SUM(SUMIFS(INDIRECT($A$3) ,OtrosR!$C$3:$C66,$A61,OtrosR!$B$3:$B66,BM$1))</f>
        <v>#VALUE!</v>
      </c>
      <c r="BN61" s="17" t="str">
        <f t="array" ref="BN61">SUM(SUMIFS(INDIRECT($A$5) ,OtrosR!$C$3:$C66,$A61,OtrosR!$B$3:$B66,BM$1))</f>
        <v>#VALUE!</v>
      </c>
      <c r="BO61" s="95" t="str">
        <f t="shared" si="611"/>
        <v/>
      </c>
      <c r="BP61" s="96" t="str">
        <f t="array" ref="BP61">SUM(SUMIFS(INDIRECT($A$3) ,OtrosR!$C$3:$C66,$A61,OtrosR!$B$3:$B66,BP$1))</f>
        <v>#VALUE!</v>
      </c>
      <c r="BQ61" s="16" t="str">
        <f t="array" ref="BQ61">SUM(SUMIFS(INDIRECT($A$5) ,OtrosR!$C$3:$C66,$A61,OtrosR!$B$3:$B66,BP$1))</f>
        <v>#VALUE!</v>
      </c>
      <c r="BR61" s="98" t="str">
        <f t="shared" si="612"/>
        <v/>
      </c>
      <c r="BS61" s="93" t="str">
        <f t="array" ref="BS61">SUM(SUMIFS(INDIRECT($A$3) ,OtrosR!$C$3:$C66,$A61,OtrosR!$B$3:$B66,BS$1))</f>
        <v>#VALUE!</v>
      </c>
      <c r="BT61" s="17" t="str">
        <f t="array" ref="BT61">SUM(SUMIFS(INDIRECT($A$5) ,OtrosR!$C$3:$C66,$A61,OtrosR!$B$3:$B66,BS$1))</f>
        <v>#VALUE!</v>
      </c>
      <c r="BU61" s="95" t="str">
        <f t="shared" si="613"/>
        <v/>
      </c>
      <c r="BV61" s="96" t="str">
        <f t="array" ref="BV61">SUM(SUMIFS(INDIRECT($A$3) ,OtrosR!$C$3:$C66,$A61,OtrosR!$B$3:$B66,BV$1))</f>
        <v>#VALUE!</v>
      </c>
      <c r="BW61" s="16" t="str">
        <f t="array" ref="BW61">SUM(SUMIFS(INDIRECT($A$5) ,OtrosR!$C$3:$C66,$A61,OtrosR!$B$3:$B66,BV$1))</f>
        <v>#VALUE!</v>
      </c>
      <c r="BX61" s="98" t="str">
        <f t="shared" si="614"/>
        <v/>
      </c>
      <c r="BY61" s="93" t="str">
        <f t="array" ref="BY61">SUM(SUMIFS(INDIRECT($A$3) ,OtrosR!$C$3:$C66,$A61,OtrosR!$B$3:$B66,BY$1))</f>
        <v>#VALUE!</v>
      </c>
      <c r="BZ61" s="17" t="str">
        <f t="array" ref="BZ61">SUM(SUMIFS(INDIRECT($A$5) ,OtrosR!$C$3:$C66,$A61,OtrosR!$B$3:$B66,BY$1))</f>
        <v>#VALUE!</v>
      </c>
      <c r="CA61" s="95" t="str">
        <f t="shared" si="615"/>
        <v/>
      </c>
      <c r="CB61" s="96" t="str">
        <f t="array" ref="CB61">SUM(SUMIFS(INDIRECT($A$3) ,OtrosR!$C$3:$C66,$A61,OtrosR!$B$3:$B66,CB$1))</f>
        <v>#VALUE!</v>
      </c>
      <c r="CC61" s="16" t="str">
        <f t="array" ref="CC61">SUM(SUMIFS(INDIRECT($A$5) ,OtrosR!$C$3:$C66,$A61,OtrosR!$B$3:$B66,CB$1))</f>
        <v>#VALUE!</v>
      </c>
      <c r="CD61" s="98" t="str">
        <f t="shared" si="616"/>
        <v/>
      </c>
      <c r="CE61" s="93" t="str">
        <f t="array" ref="CE61">SUM(SUMIFS(INDIRECT($A$3) ,OtrosR!$C$3:$C66,$A61,OtrosR!$B$3:$B66,CE$1))</f>
        <v>#VALUE!</v>
      </c>
      <c r="CF61" s="17" t="str">
        <f t="array" ref="CF61">SUM(SUMIFS(INDIRECT($A$5) ,OtrosR!$C$3:$C66,$A61,OtrosR!$B$3:$B66,CE$1))</f>
        <v>#VALUE!</v>
      </c>
      <c r="CG61" s="95" t="str">
        <f t="shared" si="617"/>
        <v/>
      </c>
      <c r="CH61" s="96" t="str">
        <f t="array" ref="CH61">SUM(SUMIFS(INDIRECT($A$3) ,OtrosR!$C$3:$C66,$A61,OtrosR!$B$3:$B66,CH$1))</f>
        <v>#VALUE!</v>
      </c>
      <c r="CI61" s="16" t="str">
        <f t="array" ref="CI61">SUM(SUMIFS(INDIRECT($A$5) ,OtrosR!$C$3:$C66,$A61,OtrosR!$B$3:$B66,CH$1))</f>
        <v>#VALUE!</v>
      </c>
      <c r="CJ61" s="98" t="str">
        <f t="shared" si="618"/>
        <v/>
      </c>
      <c r="CK61" s="93" t="str">
        <f t="array" ref="CK61">SUM(SUMIFS(INDIRECT($A$3) ,OtrosR!$C$3:$C66,$A61,OtrosR!$B$3:$B66,CK$1))</f>
        <v>#VALUE!</v>
      </c>
      <c r="CL61" s="17" t="str">
        <f t="array" ref="CL61">SUM(SUMIFS(INDIRECT($A$5) ,OtrosR!$C$3:$C66,$A61,OtrosR!$B$3:$B66,CK$1))</f>
        <v>#VALUE!</v>
      </c>
      <c r="CM61" s="95" t="str">
        <f t="shared" si="619"/>
        <v/>
      </c>
      <c r="CN61" s="96" t="str">
        <f t="array" ref="CN61">SUM(SUMIFS(INDIRECT($A$3) ,OtrosR!$C$3:$C66,$A61,OtrosR!$B$3:$B66,CN$1))</f>
        <v>#VALUE!</v>
      </c>
      <c r="CO61" s="16" t="str">
        <f t="array" ref="CO61">SUM(SUMIFS(INDIRECT($A$5) ,OtrosR!$C$3:$C66,$A61,OtrosR!$B$3:$B66,CN$1))</f>
        <v>#VALUE!</v>
      </c>
      <c r="CP61" s="98" t="str">
        <f t="shared" si="620"/>
        <v/>
      </c>
      <c r="CQ61" s="93" t="str">
        <f t="array" ref="CQ61">SUM(SUMIFS(INDIRECT($A$3) ,OtrosR!$C$3:$C66,$A61,OtrosR!$B$3:$B66,CQ$1))</f>
        <v>#VALUE!</v>
      </c>
      <c r="CR61" s="17" t="str">
        <f t="array" ref="CR61">SUM(SUMIFS(INDIRECT($A$5) ,OtrosR!$C$3:$C66,$A61,OtrosR!$B$3:$B66,CQ$1))</f>
        <v>#VALUE!</v>
      </c>
      <c r="CS61" s="95" t="str">
        <f t="shared" si="621"/>
        <v/>
      </c>
      <c r="CT61" s="96" t="str">
        <f t="array" ref="CT61">SUM(SUMIFS(INDIRECT($A$3) ,OtrosR!$C$3:$C66,$A61,OtrosR!$B$3:$B66,CT$1))</f>
        <v>#VALUE!</v>
      </c>
      <c r="CU61" s="16" t="str">
        <f t="array" ref="CU61">SUM(SUMIFS(INDIRECT($A$5) ,OtrosR!$C$3:$C66,$A61,OtrosR!$B$3:$B66,CT$1))</f>
        <v>#VALUE!</v>
      </c>
      <c r="CV61" s="98" t="str">
        <f t="shared" si="622"/>
        <v/>
      </c>
      <c r="CW61" s="93" t="str">
        <f t="array" ref="CW61">SUM(SUMIFS(INDIRECT($A$3) ,OtrosR!$C$3:$C66,$A61,OtrosR!$B$3:$B66,CW$1))</f>
        <v>#VALUE!</v>
      </c>
      <c r="CX61" s="17" t="str">
        <f t="array" ref="CX61">SUM(SUMIFS(INDIRECT($A$5) ,OtrosR!$C$3:$C66,$A61,OtrosR!$B$3:$B66,CW$1))</f>
        <v>#VALUE!</v>
      </c>
      <c r="CY61" s="95" t="str">
        <f t="shared" si="623"/>
        <v/>
      </c>
      <c r="CZ61" s="96" t="str">
        <f t="array" ref="CZ61">SUM(SUMIFS(INDIRECT($A$3) ,OtrosR!$C$3:$C66,$A61,OtrosR!$B$3:$B66,CZ$1))</f>
        <v>#VALUE!</v>
      </c>
      <c r="DA61" s="16" t="str">
        <f t="array" ref="DA61">SUM(SUMIFS(INDIRECT($A$5) ,OtrosR!$C$3:$C66,$A61,OtrosR!$B$3:$B66,CZ$1))</f>
        <v>#VALUE!</v>
      </c>
      <c r="DB61" s="98" t="str">
        <f t="shared" si="624"/>
        <v/>
      </c>
      <c r="DC61" s="93" t="str">
        <f t="array" ref="DC61">SUM(SUMIFS(INDIRECT($A$3) ,OtrosR!$C$3:$C66,$A61,OtrosR!$B$3:$B66,DC$1))</f>
        <v>#VALUE!</v>
      </c>
      <c r="DD61" s="17" t="str">
        <f t="array" ref="DD61">SUM(SUMIFS(INDIRECT($A$5) ,OtrosR!$C$3:$C66,$A61,OtrosR!$B$3:$B66,DC$1))</f>
        <v>#VALUE!</v>
      </c>
      <c r="DE61" s="95" t="str">
        <f t="shared" si="625"/>
        <v/>
      </c>
      <c r="DF61" s="96" t="str">
        <f t="array" ref="DF61">SUM(SUMIFS(INDIRECT($A$3) ,OtrosR!$C$3:$C66,$A61,OtrosR!$B$3:$B66,DF$1))</f>
        <v>#VALUE!</v>
      </c>
      <c r="DG61" s="16" t="str">
        <f t="array" ref="DG61">SUM(SUMIFS(INDIRECT($A$5) ,OtrosR!$C$3:$C66,$A61,OtrosR!$B$3:$B66,DF$1))</f>
        <v>#VALUE!</v>
      </c>
      <c r="DH61" s="98" t="str">
        <f t="shared" si="626"/>
        <v/>
      </c>
      <c r="DI61" s="93" t="str">
        <f t="array" ref="DI61">SUM(SUMIFS(INDIRECT($A$3) ,OtrosR!$C$3:$C66,$A61,OtrosR!$B$3:$B66,DI$1))</f>
        <v>#VALUE!</v>
      </c>
      <c r="DJ61" s="17" t="str">
        <f t="array" ref="DJ61">SUM(SUMIFS(INDIRECT($A$5) ,OtrosR!$C$3:$C66,$A61,OtrosR!$B$3:$B66,DI$1))</f>
        <v>#VALUE!</v>
      </c>
      <c r="DK61" s="95" t="str">
        <f t="shared" si="627"/>
        <v/>
      </c>
      <c r="DL61" s="96" t="str">
        <f t="array" ref="DL61">SUM(SUMIFS(INDIRECT($A$3) ,OtrosR!$C$3:$C66,$A61,OtrosR!$B$3:$B66,DL$1))</f>
        <v>#VALUE!</v>
      </c>
      <c r="DM61" s="16" t="str">
        <f t="array" ref="DM61">SUM(SUMIFS(INDIRECT($A$5) ,OtrosR!$C$3:$C66,$A61,OtrosR!$B$3:$B66,DL$1))</f>
        <v>#VALUE!</v>
      </c>
      <c r="DN61" s="98" t="str">
        <f t="shared" si="628"/>
        <v/>
      </c>
      <c r="DO61" s="93" t="str">
        <f t="array" ref="DO61">SUM(SUMIFS(INDIRECT($A$3) ,OtrosR!$C$3:$C66,$A61,OtrosR!$B$3:$B66,DO$1))</f>
        <v>#VALUE!</v>
      </c>
      <c r="DP61" s="17" t="str">
        <f t="array" ref="DP61">SUM(SUMIFS(INDIRECT($A$5) ,OtrosR!$C$3:$C66,$A61,OtrosR!$B$3:$B66,DO$1))</f>
        <v>#VALUE!</v>
      </c>
      <c r="DQ61" s="95" t="str">
        <f t="shared" si="629"/>
        <v/>
      </c>
      <c r="DR61" s="96" t="str">
        <f t="array" ref="DR61">SUM(SUMIFS(INDIRECT($A$3) ,OtrosR!$C$3:$C66,$A61,OtrosR!$B$3:$B66,DR$1))</f>
        <v>#VALUE!</v>
      </c>
      <c r="DS61" s="16" t="str">
        <f t="array" ref="DS61">SUM(SUMIFS(INDIRECT($A$5) ,OtrosR!$C$3:$C66,$A61,OtrosR!$B$3:$B66,DR$1))</f>
        <v>#VALUE!</v>
      </c>
      <c r="DT61" s="98" t="str">
        <f t="shared" si="630"/>
        <v/>
      </c>
      <c r="DU61" s="93" t="str">
        <f t="array" ref="DU61">SUM(SUMIFS(INDIRECT($A$3) ,OtrosR!$C$3:$C66,$A61,OtrosR!$B$3:$B66,DU$1))</f>
        <v>#VALUE!</v>
      </c>
      <c r="DV61" s="17" t="str">
        <f t="array" ref="DV61">SUM(SUMIFS(INDIRECT($A$5) ,OtrosR!$C$3:$C66,$A61,OtrosR!$B$3:$B66,DU$1))</f>
        <v>#VALUE!</v>
      </c>
      <c r="DW61" s="95" t="str">
        <f t="shared" si="631"/>
        <v/>
      </c>
      <c r="DX61" s="96" t="str">
        <f t="array" ref="DX61">SUM(SUMIFS(INDIRECT($A$3) ,OtrosR!$C$3:$C66,$A61,OtrosR!$B$3:$B66,DX$1))</f>
        <v>#VALUE!</v>
      </c>
      <c r="DY61" s="16" t="str">
        <f t="array" ref="DY61">SUM(SUMIFS(INDIRECT($A$5) ,OtrosR!$C$3:$C66,$A61,OtrosR!$B$3:$B66,DX$1))</f>
        <v>#VALUE!</v>
      </c>
      <c r="DZ61" s="98" t="str">
        <f t="shared" si="632"/>
        <v/>
      </c>
      <c r="EA61" s="93" t="str">
        <f t="array" ref="EA61">SUM(SUMIFS(INDIRECT($A$3) ,OtrosR!$C$3:$C66,$A61,OtrosR!$B$3:$B66,EA$1))</f>
        <v>#VALUE!</v>
      </c>
      <c r="EB61" s="17" t="str">
        <f t="array" ref="EB61">SUM(SUMIFS(INDIRECT($A$5) ,OtrosR!$C$3:$C66,$A61,OtrosR!$B$3:$B66,EA$1))</f>
        <v>#VALUE!</v>
      </c>
      <c r="EC61" s="95" t="str">
        <f t="shared" si="633"/>
        <v/>
      </c>
      <c r="ED61" s="96" t="str">
        <f t="array" ref="ED61">SUM(SUMIFS(INDIRECT($A$3) ,OtrosR!$C$3:$C66,$A61,OtrosR!$B$3:$B66,ED$1))</f>
        <v>#VALUE!</v>
      </c>
      <c r="EE61" s="16" t="str">
        <f t="array" ref="EE61">SUM(SUMIFS(INDIRECT($A$5) ,OtrosR!$C$3:$C66,$A61,OtrosR!$B$3:$B66,ED$1))</f>
        <v>#VALUE!</v>
      </c>
      <c r="EF61" s="98" t="str">
        <f t="shared" si="634"/>
        <v/>
      </c>
      <c r="EG61" s="93" t="str">
        <f t="array" ref="EG61">SUM(SUMIFS(INDIRECT($A$3) ,OtrosR!$C$3:$C66,$A61,OtrosR!$B$3:$B66,EG$1))</f>
        <v>#VALUE!</v>
      </c>
      <c r="EH61" s="17" t="str">
        <f t="array" ref="EH61">SUM(SUMIFS(INDIRECT($A$5) ,OtrosR!$C$3:$C66,$A61,OtrosR!$B$3:$B66,EG$1))</f>
        <v>#VALUE!</v>
      </c>
      <c r="EI61" s="95" t="str">
        <f t="shared" si="635"/>
        <v/>
      </c>
      <c r="EJ61" s="96" t="str">
        <f t="array" ref="EJ61">SUM(SUMIFS(INDIRECT($A$3) ,OtrosR!$C$3:$C66,$A61,OtrosR!$B$3:$B66,EJ$1))</f>
        <v>#VALUE!</v>
      </c>
      <c r="EK61" s="16" t="str">
        <f t="array" ref="EK61">SUM(SUMIFS(INDIRECT($A$5) ,OtrosR!$C$3:$C66,$A61,OtrosR!$B$3:$B66,EJ$1))</f>
        <v>#VALUE!</v>
      </c>
      <c r="EL61" s="98" t="str">
        <f t="shared" si="636"/>
        <v/>
      </c>
      <c r="EM61" s="93" t="str">
        <f t="array" ref="EM61">SUM(SUMIFS(INDIRECT($A$3) ,OtrosR!$C$3:$C66,$A61,OtrosR!$B$3:$B66,EM$1))</f>
        <v>#VALUE!</v>
      </c>
      <c r="EN61" s="17" t="str">
        <f t="array" ref="EN61">SUM(SUMIFS(INDIRECT($A$5) ,OtrosR!$C$3:$C66,$A61,OtrosR!$B$3:$B66,EM$1))</f>
        <v>#VALUE!</v>
      </c>
      <c r="EO61" s="95" t="str">
        <f t="shared" si="637"/>
        <v/>
      </c>
      <c r="EP61" s="96" t="str">
        <f t="array" ref="EP61">SUM(SUMIFS(INDIRECT($A$3) ,OtrosR!$C$3:$C66,$A61,OtrosR!$B$3:$B66,EP$1))</f>
        <v>#VALUE!</v>
      </c>
      <c r="EQ61" s="16" t="str">
        <f t="array" ref="EQ61">SUM(SUMIFS(INDIRECT($A$5) ,OtrosR!$C$3:$C66,$A61,OtrosR!$B$3:$B66,EP$1))</f>
        <v>#VALUE!</v>
      </c>
      <c r="ER61" s="98" t="str">
        <f t="shared" si="638"/>
        <v/>
      </c>
      <c r="ES61" s="93" t="str">
        <f t="array" ref="ES61">SUM(SUMIFS(INDIRECT($A$3) ,OtrosR!$C$3:$C66,$A61,OtrosR!$B$3:$B66,ES$1))</f>
        <v>#VALUE!</v>
      </c>
      <c r="ET61" s="17" t="str">
        <f t="array" ref="ET61">SUM(SUMIFS(INDIRECT($A$5) ,OtrosR!$C$3:$C66,$A61,OtrosR!$B$3:$B66,ES$1))</f>
        <v>#VALUE!</v>
      </c>
      <c r="EU61" s="95" t="str">
        <f t="shared" si="639"/>
        <v/>
      </c>
      <c r="EV61" s="96" t="str">
        <f t="array" ref="EV61">SUM(SUMIFS(INDIRECT($A$3) ,OtrosR!$C$3:$C66,$A61,OtrosR!$B$3:$B66,EV$1))</f>
        <v>#VALUE!</v>
      </c>
      <c r="EW61" s="16" t="str">
        <f t="array" ref="EW61">SUM(SUMIFS(INDIRECT($A$5) ,OtrosR!$C$3:$C66,$A61,OtrosR!$B$3:$B66,EV$1))</f>
        <v>#VALUE!</v>
      </c>
      <c r="EX61" s="98" t="str">
        <f t="shared" si="640"/>
        <v/>
      </c>
      <c r="EY61" s="93" t="str">
        <f t="array" ref="EY61">SUM(SUMIFS(INDIRECT($A$3) ,OtrosR!$C$3:$C66,$A61,OtrosR!$B$3:$B66,EY$1))</f>
        <v>#VALUE!</v>
      </c>
      <c r="EZ61" s="17" t="str">
        <f t="array" ref="EZ61">SUM(SUMIFS(INDIRECT($A$5) ,OtrosR!$C$3:$C66,$A61,OtrosR!$B$3:$B66,EY$1))</f>
        <v>#VALUE!</v>
      </c>
      <c r="FA61" s="95" t="str">
        <f t="shared" si="641"/>
        <v/>
      </c>
      <c r="FB61" s="96" t="str">
        <f t="array" ref="FB61">SUM(SUMIFS(INDIRECT($A$3) ,OtrosR!$C$3:$C66,$A61,OtrosR!$B$3:$B66,FB$1))</f>
        <v>#VALUE!</v>
      </c>
      <c r="FC61" s="16" t="str">
        <f t="array" ref="FC61">SUM(SUMIFS(INDIRECT($A$5) ,OtrosR!$C$3:$C66,$A61,OtrosR!$B$3:$B66,FB$1))</f>
        <v>#VALUE!</v>
      </c>
      <c r="FD61" s="98" t="str">
        <f t="shared" si="642"/>
        <v/>
      </c>
      <c r="FE61" s="93" t="str">
        <f t="array" ref="FE61">SUM(SUMIFS(INDIRECT($A$3) ,OtrosR!$C$3:$C66,$A61,OtrosR!$B$3:$B66,FE$1))</f>
        <v>#VALUE!</v>
      </c>
      <c r="FF61" s="17" t="str">
        <f t="array" ref="FF61">SUM(SUMIFS(INDIRECT($A$5) ,OtrosR!$C$3:$C66,$A61,OtrosR!$B$3:$B66,FE$1))</f>
        <v>#VALUE!</v>
      </c>
      <c r="FG61" s="95" t="str">
        <f t="shared" si="643"/>
        <v/>
      </c>
      <c r="FH61" s="96" t="str">
        <f t="array" ref="FH61">SUM(SUMIFS(INDIRECT($A$3) ,OtrosR!$C$3:$C66,$A61,OtrosR!$B$3:$B66,FH$1))</f>
        <v>#VALUE!</v>
      </c>
      <c r="FI61" s="16" t="str">
        <f t="array" ref="FI61">SUM(SUMIFS(INDIRECT($A$5) ,OtrosR!$C$3:$C66,$A61,OtrosR!$B$3:$B66,FH$1))</f>
        <v>#VALUE!</v>
      </c>
      <c r="FJ61" s="98" t="str">
        <f t="shared" si="644"/>
        <v/>
      </c>
    </row>
    <row r="62" ht="15.75" hidden="1" customHeight="1">
      <c r="A62" s="5" t="str">
        <f>Menus!Q7</f>
        <v/>
      </c>
      <c r="B62" s="16" t="str">
        <f t="shared" si="590"/>
        <v>#VALUE!</v>
      </c>
      <c r="C62" s="16" t="str">
        <f t="shared" si="591"/>
        <v>#VALUE!</v>
      </c>
      <c r="D62" s="16" t="str">
        <f t="shared" ref="D62:D66" si="645">B62-C62</f>
        <v>#VALUE!</v>
      </c>
      <c r="E62" s="109" t="str">
        <f t="array" ref="E62">SUM(SUMIFS(INDIRECT($A$3) ,OtrosR!$C$3:$C66,#REF!,OtrosR!$B$3:$B66,E$1))</f>
        <v>#VALUE!</v>
      </c>
      <c r="F62" s="15" t="str">
        <f t="array" ref="F62">SUM(SUMIFS(INDIRECT($A$5) ,OtrosR!$C$3:$C66,#REF!,OtrosR!$B$3:$B66,E$1))</f>
        <v>#VALUE!</v>
      </c>
      <c r="G62" s="89" t="str">
        <f t="shared" ref="G62:G66" si="646">IFERROR(E62-F62,"")</f>
        <v/>
      </c>
      <c r="H62" s="90" t="str">
        <f t="array" ref="H62">SUM(SUMIFS(INDIRECT($A$3) ,OtrosR!$C$3:$C66,$A62,OtrosR!$B$3:$B66,H$1))</f>
        <v>#VALUE!</v>
      </c>
      <c r="I62" s="55" t="str">
        <f t="array" ref="I62">SUM(SUMIFS(INDIRECT($A$5) ,OtrosR!$C$3:$C66,$A62,OtrosR!$B$3:$B66,H$1))</f>
        <v>#VALUE!</v>
      </c>
      <c r="J62" s="92" t="str">
        <f t="shared" si="592"/>
        <v/>
      </c>
      <c r="K62" s="93" t="str">
        <f t="array" ref="K62">SUM(SUMIFS(INDIRECT($A$3) ,OtrosR!$C$3:$C66,$A62,OtrosR!$B$3:$B66,K$1))</f>
        <v>#VALUE!</v>
      </c>
      <c r="L62" s="17" t="str">
        <f t="array" ref="L62">SUM(SUMIFS(INDIRECT($A$5) ,OtrosR!$C$3:$C66,$A62,OtrosR!$B$3:$B66,K$1))</f>
        <v>#VALUE!</v>
      </c>
      <c r="M62" s="95" t="str">
        <f t="shared" si="593"/>
        <v/>
      </c>
      <c r="N62" s="96" t="str">
        <f t="array" ref="N62">SUM(SUMIFS(INDIRECT($A$3) ,OtrosR!$C$3:$C66,$A62,OtrosR!$B$3:$B66,N$1))</f>
        <v>#VALUE!</v>
      </c>
      <c r="O62" s="16" t="str">
        <f t="array" ref="O62">SUM(SUMIFS(INDIRECT($A$5) ,OtrosR!$C$3:$C66,$A62,OtrosR!$B$3:$B66,N$1))</f>
        <v>#VALUE!</v>
      </c>
      <c r="P62" s="98" t="str">
        <f t="shared" si="594"/>
        <v/>
      </c>
      <c r="Q62" s="93" t="str">
        <f t="array" ref="Q62">SUM(SUMIFS(INDIRECT($A$3) ,OtrosR!$C$3:$C66,$A62,OtrosR!$B$3:$B66,Q$1))</f>
        <v>#VALUE!</v>
      </c>
      <c r="R62" s="17" t="str">
        <f t="array" ref="R62">SUM(SUMIFS(INDIRECT($A$5) ,OtrosR!$C$3:$C66,$A62,OtrosR!$B$3:$B66,Q$1))</f>
        <v>#VALUE!</v>
      </c>
      <c r="S62" s="95" t="str">
        <f t="shared" si="595"/>
        <v/>
      </c>
      <c r="T62" s="96" t="str">
        <f t="array" ref="T62">SUM(SUMIFS(INDIRECT($A$3) ,OtrosR!$C$3:$C66,$A62,OtrosR!$B$3:$B66,T$1))</f>
        <v>#VALUE!</v>
      </c>
      <c r="U62" s="16" t="str">
        <f t="array" ref="U62">SUM(SUMIFS(INDIRECT($A$5) ,OtrosR!$C$3:$C66,$A62,OtrosR!$B$3:$B66,T$1))</f>
        <v>#VALUE!</v>
      </c>
      <c r="V62" s="98" t="str">
        <f t="shared" si="596"/>
        <v/>
      </c>
      <c r="W62" s="93" t="str">
        <f t="array" ref="W62">SUM(SUMIFS(INDIRECT($A$3) ,OtrosR!$C$3:$C66,$A62,OtrosR!$B$3:$B66,W$1))</f>
        <v>#VALUE!</v>
      </c>
      <c r="X62" s="17" t="str">
        <f t="array" ref="X62">SUM(SUMIFS(INDIRECT($A$5) ,OtrosR!$C$3:$C66,$A62,OtrosR!$B$3:$B66,W$1))</f>
        <v>#VALUE!</v>
      </c>
      <c r="Y62" s="95" t="str">
        <f t="shared" si="597"/>
        <v/>
      </c>
      <c r="Z62" s="96" t="str">
        <f t="array" ref="Z62">SUM(SUMIFS(INDIRECT($A$3) ,OtrosR!$C$3:$C66,$A62,OtrosR!$B$3:$B66,Z$1))</f>
        <v>#VALUE!</v>
      </c>
      <c r="AA62" s="16" t="str">
        <f t="array" ref="AA62">SUM(SUMIFS(INDIRECT($A$5) ,OtrosR!$C$3:$C66,$A62,OtrosR!$B$3:$B66,Z$1))</f>
        <v>#VALUE!</v>
      </c>
      <c r="AB62" s="98" t="str">
        <f t="shared" si="598"/>
        <v/>
      </c>
      <c r="AC62" s="93" t="str">
        <f t="array" ref="AC62">SUM(SUMIFS(INDIRECT($A$3) ,OtrosR!$C$3:$C66,$A62,OtrosR!$B$3:$B66,AC$1))</f>
        <v>#VALUE!</v>
      </c>
      <c r="AD62" s="17" t="str">
        <f t="array" ref="AD62">SUM(SUMIFS(INDIRECT($A$5) ,OtrosR!$C$3:$C66,$A62,OtrosR!$B$3:$B66,AC$1))</f>
        <v>#VALUE!</v>
      </c>
      <c r="AE62" s="95" t="str">
        <f t="shared" si="599"/>
        <v/>
      </c>
      <c r="AF62" s="96" t="str">
        <f t="array" ref="AF62">SUM(SUMIFS(INDIRECT($A$3) ,OtrosR!$C$3:$C66,$A62,OtrosR!$B$3:$B66,AF$1))</f>
        <v>#VALUE!</v>
      </c>
      <c r="AG62" s="16" t="str">
        <f t="array" ref="AG62">SUM(SUMIFS(INDIRECT($A$5) ,OtrosR!$C$3:$C66,$A62,OtrosR!$B$3:$B66,AF$1))</f>
        <v>#VALUE!</v>
      </c>
      <c r="AH62" s="98" t="str">
        <f t="shared" si="600"/>
        <v/>
      </c>
      <c r="AI62" s="93" t="str">
        <f t="array" ref="AI62">SUM(SUMIFS(INDIRECT($A$3) ,OtrosR!$C$3:$C66,$A62,OtrosR!$B$3:$B66,AI$1))</f>
        <v>#VALUE!</v>
      </c>
      <c r="AJ62" s="17" t="str">
        <f t="array" ref="AJ62">SUM(SUMIFS(INDIRECT($A$5) ,OtrosR!$C$3:$C66,$A62,OtrosR!$B$3:$B66,AI$1))</f>
        <v>#VALUE!</v>
      </c>
      <c r="AK62" s="95" t="str">
        <f t="shared" si="601"/>
        <v/>
      </c>
      <c r="AL62" s="96" t="str">
        <f t="array" ref="AL62">SUM(SUMIFS(INDIRECT($A$3) ,OtrosR!$C$3:$C66,$A62,OtrosR!$B$3:$B66,AL$1))</f>
        <v>#VALUE!</v>
      </c>
      <c r="AM62" s="16" t="str">
        <f t="array" ref="AM62">SUM(SUMIFS(INDIRECT($A$5) ,OtrosR!$C$3:$C66,$A62,OtrosR!$B$3:$B66,AL$1))</f>
        <v>#VALUE!</v>
      </c>
      <c r="AN62" s="98" t="str">
        <f t="shared" si="602"/>
        <v/>
      </c>
      <c r="AO62" s="93" t="str">
        <f t="array" ref="AO62">SUM(SUMIFS(INDIRECT($A$3) ,OtrosR!$C$3:$C66,$A62,OtrosR!$B$3:$B66,AO$1))</f>
        <v>#VALUE!</v>
      </c>
      <c r="AP62" s="17" t="str">
        <f t="array" ref="AP62">SUM(SUMIFS(INDIRECT($A$5) ,OtrosR!$C$3:$C66,$A62,OtrosR!$B$3:$B66,AO$1))</f>
        <v>#VALUE!</v>
      </c>
      <c r="AQ62" s="95" t="str">
        <f t="shared" si="603"/>
        <v/>
      </c>
      <c r="AR62" s="96" t="str">
        <f t="array" ref="AR62">SUM(SUMIFS(INDIRECT($A$3) ,OtrosR!$C$3:$C66,$A62,OtrosR!$B$3:$B66,AR$1))</f>
        <v>#VALUE!</v>
      </c>
      <c r="AS62" s="16" t="str">
        <f t="array" ref="AS62">SUM(SUMIFS(INDIRECT($A$5) ,OtrosR!$C$3:$C66,$A62,OtrosR!$B$3:$B66,AR$1))</f>
        <v>#VALUE!</v>
      </c>
      <c r="AT62" s="98" t="str">
        <f t="shared" si="604"/>
        <v/>
      </c>
      <c r="AU62" s="93" t="str">
        <f t="array" ref="AU62">SUM(SUMIFS(INDIRECT($A$3) ,OtrosR!$C$3:$C66,$A62,OtrosR!$B$3:$B66,AU$1))</f>
        <v>#VALUE!</v>
      </c>
      <c r="AV62" s="17" t="str">
        <f t="array" ref="AV62">SUM(SUMIFS(INDIRECT($A$5) ,OtrosR!$C$3:$C66,$A62,OtrosR!$B$3:$B66,AU$1))</f>
        <v>#VALUE!</v>
      </c>
      <c r="AW62" s="95" t="str">
        <f t="shared" si="605"/>
        <v/>
      </c>
      <c r="AX62" s="96" t="str">
        <f t="array" ref="AX62">SUM(SUMIFS(INDIRECT($A$3) ,OtrosR!$C$3:$C66,$A62,OtrosR!$B$3:$B66,AX$1))</f>
        <v>#VALUE!</v>
      </c>
      <c r="AY62" s="16" t="str">
        <f t="array" ref="AY62">SUM(SUMIFS(INDIRECT($A$5) ,OtrosR!$C$3:$C66,$A62,OtrosR!$B$3:$B66,AX$1))</f>
        <v>#VALUE!</v>
      </c>
      <c r="AZ62" s="98" t="str">
        <f t="shared" si="606"/>
        <v/>
      </c>
      <c r="BA62" s="93" t="str">
        <f t="array" ref="BA62">SUM(SUMIFS(INDIRECT($A$3) ,OtrosR!$C$3:$C66,$A62,OtrosR!$B$3:$B66,BA$1))</f>
        <v>#VALUE!</v>
      </c>
      <c r="BB62" s="17" t="str">
        <f t="array" ref="BB62">SUM(SUMIFS(INDIRECT($A$5) ,OtrosR!$C$3:$C66,$A62,OtrosR!$B$3:$B66,BA$1))</f>
        <v>#VALUE!</v>
      </c>
      <c r="BC62" s="95" t="str">
        <f t="shared" si="607"/>
        <v/>
      </c>
      <c r="BD62" s="96" t="str">
        <f t="array" ref="BD62">SUM(SUMIFS(INDIRECT($A$3) ,OtrosR!$C$3:$C66,$A62,OtrosR!$B$3:$B66,BD$1))</f>
        <v>#VALUE!</v>
      </c>
      <c r="BE62" s="16" t="str">
        <f t="array" ref="BE62">SUM(SUMIFS(INDIRECT($A$5) ,OtrosR!$C$3:$C66,$A62,OtrosR!$B$3:$B66,BD$1))</f>
        <v>#VALUE!</v>
      </c>
      <c r="BF62" s="98" t="str">
        <f t="shared" si="608"/>
        <v/>
      </c>
      <c r="BG62" s="93" t="str">
        <f t="array" ref="BG62">SUM(SUMIFS(INDIRECT($A$3) ,OtrosR!$C$3:$C66,$A62,OtrosR!$B$3:$B66,BG$1))</f>
        <v>#VALUE!</v>
      </c>
      <c r="BH62" s="17" t="str">
        <f t="array" ref="BH62">SUM(SUMIFS(INDIRECT($A$5) ,OtrosR!$C$3:$C66,$A62,OtrosR!$B$3:$B66,BG$1))</f>
        <v>#VALUE!</v>
      </c>
      <c r="BI62" s="95" t="str">
        <f t="shared" si="609"/>
        <v/>
      </c>
      <c r="BJ62" s="96" t="str">
        <f t="array" ref="BJ62">SUM(SUMIFS(INDIRECT($A$3) ,OtrosR!$C$3:$C66,$A62,OtrosR!$B$3:$B66,BJ$1))</f>
        <v>#VALUE!</v>
      </c>
      <c r="BK62" s="16" t="str">
        <f t="array" ref="BK62">SUM(SUMIFS(INDIRECT($A$5) ,OtrosR!$C$3:$C66,$A62,OtrosR!$B$3:$B66,BJ$1))</f>
        <v>#VALUE!</v>
      </c>
      <c r="BL62" s="98" t="str">
        <f t="shared" si="610"/>
        <v/>
      </c>
      <c r="BM62" s="93" t="str">
        <f t="array" ref="BM62">SUM(SUMIFS(INDIRECT($A$3) ,OtrosR!$C$3:$C66,$A62,OtrosR!$B$3:$B66,BM$1))</f>
        <v>#VALUE!</v>
      </c>
      <c r="BN62" s="17" t="str">
        <f t="array" ref="BN62">SUM(SUMIFS(INDIRECT($A$5) ,OtrosR!$C$3:$C66,$A62,OtrosR!$B$3:$B66,BM$1))</f>
        <v>#VALUE!</v>
      </c>
      <c r="BO62" s="95" t="str">
        <f t="shared" si="611"/>
        <v/>
      </c>
      <c r="BP62" s="96" t="str">
        <f t="array" ref="BP62">SUM(SUMIFS(INDIRECT($A$3) ,OtrosR!$C$3:$C66,$A62,OtrosR!$B$3:$B66,BP$1))</f>
        <v>#VALUE!</v>
      </c>
      <c r="BQ62" s="16" t="str">
        <f t="array" ref="BQ62">SUM(SUMIFS(INDIRECT($A$5) ,OtrosR!$C$3:$C66,$A62,OtrosR!$B$3:$B66,BP$1))</f>
        <v>#VALUE!</v>
      </c>
      <c r="BR62" s="98" t="str">
        <f t="shared" si="612"/>
        <v/>
      </c>
      <c r="BS62" s="93" t="str">
        <f t="array" ref="BS62">SUM(SUMIFS(INDIRECT($A$3) ,OtrosR!$C$3:$C66,$A62,OtrosR!$B$3:$B66,BS$1))</f>
        <v>#VALUE!</v>
      </c>
      <c r="BT62" s="17" t="str">
        <f t="array" ref="BT62">SUM(SUMIFS(INDIRECT($A$5) ,OtrosR!$C$3:$C66,$A62,OtrosR!$B$3:$B66,BS$1))</f>
        <v>#VALUE!</v>
      </c>
      <c r="BU62" s="95" t="str">
        <f t="shared" si="613"/>
        <v/>
      </c>
      <c r="BV62" s="96" t="str">
        <f t="array" ref="BV62">SUM(SUMIFS(INDIRECT($A$3) ,OtrosR!$C$3:$C66,$A62,OtrosR!$B$3:$B66,BV$1))</f>
        <v>#VALUE!</v>
      </c>
      <c r="BW62" s="16" t="str">
        <f t="array" ref="BW62">SUM(SUMIFS(INDIRECT($A$5) ,OtrosR!$C$3:$C66,$A62,OtrosR!$B$3:$B66,BV$1))</f>
        <v>#VALUE!</v>
      </c>
      <c r="BX62" s="98" t="str">
        <f t="shared" si="614"/>
        <v/>
      </c>
      <c r="BY62" s="93" t="str">
        <f t="array" ref="BY62">SUM(SUMIFS(INDIRECT($A$3) ,OtrosR!$C$3:$C66,$A62,OtrosR!$B$3:$B66,BY$1))</f>
        <v>#VALUE!</v>
      </c>
      <c r="BZ62" s="17" t="str">
        <f t="array" ref="BZ62">SUM(SUMIFS(INDIRECT($A$5) ,OtrosR!$C$3:$C66,$A62,OtrosR!$B$3:$B66,BY$1))</f>
        <v>#VALUE!</v>
      </c>
      <c r="CA62" s="95" t="str">
        <f t="shared" si="615"/>
        <v/>
      </c>
      <c r="CB62" s="96" t="str">
        <f t="array" ref="CB62">SUM(SUMIFS(INDIRECT($A$3) ,OtrosR!$C$3:$C66,$A62,OtrosR!$B$3:$B66,CB$1))</f>
        <v>#VALUE!</v>
      </c>
      <c r="CC62" s="16" t="str">
        <f t="array" ref="CC62">SUM(SUMIFS(INDIRECT($A$5) ,OtrosR!$C$3:$C66,$A62,OtrosR!$B$3:$B66,CB$1))</f>
        <v>#VALUE!</v>
      </c>
      <c r="CD62" s="98" t="str">
        <f t="shared" si="616"/>
        <v/>
      </c>
      <c r="CE62" s="93" t="str">
        <f t="array" ref="CE62">SUM(SUMIFS(INDIRECT($A$3) ,OtrosR!$C$3:$C66,$A62,OtrosR!$B$3:$B66,CE$1))</f>
        <v>#VALUE!</v>
      </c>
      <c r="CF62" s="17" t="str">
        <f t="array" ref="CF62">SUM(SUMIFS(INDIRECT($A$5) ,OtrosR!$C$3:$C66,$A62,OtrosR!$B$3:$B66,CE$1))</f>
        <v>#VALUE!</v>
      </c>
      <c r="CG62" s="95" t="str">
        <f t="shared" si="617"/>
        <v/>
      </c>
      <c r="CH62" s="96" t="str">
        <f t="array" ref="CH62">SUM(SUMIFS(INDIRECT($A$3) ,OtrosR!$C$3:$C66,$A62,OtrosR!$B$3:$B66,CH$1))</f>
        <v>#VALUE!</v>
      </c>
      <c r="CI62" s="16" t="str">
        <f t="array" ref="CI62">SUM(SUMIFS(INDIRECT($A$5) ,OtrosR!$C$3:$C66,$A62,OtrosR!$B$3:$B66,CH$1))</f>
        <v>#VALUE!</v>
      </c>
      <c r="CJ62" s="98" t="str">
        <f t="shared" si="618"/>
        <v/>
      </c>
      <c r="CK62" s="93" t="str">
        <f t="array" ref="CK62">SUM(SUMIFS(INDIRECT($A$3) ,OtrosR!$C$3:$C66,$A62,OtrosR!$B$3:$B66,CK$1))</f>
        <v>#VALUE!</v>
      </c>
      <c r="CL62" s="17" t="str">
        <f t="array" ref="CL62">SUM(SUMIFS(INDIRECT($A$5) ,OtrosR!$C$3:$C66,$A62,OtrosR!$B$3:$B66,CK$1))</f>
        <v>#VALUE!</v>
      </c>
      <c r="CM62" s="95" t="str">
        <f t="shared" si="619"/>
        <v/>
      </c>
      <c r="CN62" s="96" t="str">
        <f t="array" ref="CN62">SUM(SUMIFS(INDIRECT($A$3) ,OtrosR!$C$3:$C66,$A62,OtrosR!$B$3:$B66,CN$1))</f>
        <v>#VALUE!</v>
      </c>
      <c r="CO62" s="16" t="str">
        <f t="array" ref="CO62">SUM(SUMIFS(INDIRECT($A$5) ,OtrosR!$C$3:$C66,$A62,OtrosR!$B$3:$B66,CN$1))</f>
        <v>#VALUE!</v>
      </c>
      <c r="CP62" s="98" t="str">
        <f t="shared" si="620"/>
        <v/>
      </c>
      <c r="CQ62" s="93" t="str">
        <f t="array" ref="CQ62">SUM(SUMIFS(INDIRECT($A$3) ,OtrosR!$C$3:$C66,$A62,OtrosR!$B$3:$B66,CQ$1))</f>
        <v>#VALUE!</v>
      </c>
      <c r="CR62" s="17" t="str">
        <f t="array" ref="CR62">SUM(SUMIFS(INDIRECT($A$5) ,OtrosR!$C$3:$C66,$A62,OtrosR!$B$3:$B66,CQ$1))</f>
        <v>#VALUE!</v>
      </c>
      <c r="CS62" s="95" t="str">
        <f t="shared" si="621"/>
        <v/>
      </c>
      <c r="CT62" s="96" t="str">
        <f t="array" ref="CT62">SUM(SUMIFS(INDIRECT($A$3) ,OtrosR!$C$3:$C66,$A62,OtrosR!$B$3:$B66,CT$1))</f>
        <v>#VALUE!</v>
      </c>
      <c r="CU62" s="16" t="str">
        <f t="array" ref="CU62">SUM(SUMIFS(INDIRECT($A$5) ,OtrosR!$C$3:$C66,$A62,OtrosR!$B$3:$B66,CT$1))</f>
        <v>#VALUE!</v>
      </c>
      <c r="CV62" s="98" t="str">
        <f t="shared" si="622"/>
        <v/>
      </c>
      <c r="CW62" s="93" t="str">
        <f t="array" ref="CW62">SUM(SUMIFS(INDIRECT($A$3) ,OtrosR!$C$3:$C66,$A62,OtrosR!$B$3:$B66,CW$1))</f>
        <v>#VALUE!</v>
      </c>
      <c r="CX62" s="17" t="str">
        <f t="array" ref="CX62">SUM(SUMIFS(INDIRECT($A$5) ,OtrosR!$C$3:$C66,$A62,OtrosR!$B$3:$B66,CW$1))</f>
        <v>#VALUE!</v>
      </c>
      <c r="CY62" s="95" t="str">
        <f t="shared" si="623"/>
        <v/>
      </c>
      <c r="CZ62" s="96" t="str">
        <f t="array" ref="CZ62">SUM(SUMIFS(INDIRECT($A$3) ,OtrosR!$C$3:$C66,$A62,OtrosR!$B$3:$B66,CZ$1))</f>
        <v>#VALUE!</v>
      </c>
      <c r="DA62" s="16" t="str">
        <f t="array" ref="DA62">SUM(SUMIFS(INDIRECT($A$5) ,OtrosR!$C$3:$C66,$A62,OtrosR!$B$3:$B66,CZ$1))</f>
        <v>#VALUE!</v>
      </c>
      <c r="DB62" s="98" t="str">
        <f t="shared" si="624"/>
        <v/>
      </c>
      <c r="DC62" s="93" t="str">
        <f t="array" ref="DC62">SUM(SUMIFS(INDIRECT($A$3) ,OtrosR!$C$3:$C66,$A62,OtrosR!$B$3:$B66,DC$1))</f>
        <v>#VALUE!</v>
      </c>
      <c r="DD62" s="17" t="str">
        <f t="array" ref="DD62">SUM(SUMIFS(INDIRECT($A$5) ,OtrosR!$C$3:$C66,$A62,OtrosR!$B$3:$B66,DC$1))</f>
        <v>#VALUE!</v>
      </c>
      <c r="DE62" s="95" t="str">
        <f t="shared" si="625"/>
        <v/>
      </c>
      <c r="DF62" s="96" t="str">
        <f t="array" ref="DF62">SUM(SUMIFS(INDIRECT($A$3) ,OtrosR!$C$3:$C66,$A62,OtrosR!$B$3:$B66,DF$1))</f>
        <v>#VALUE!</v>
      </c>
      <c r="DG62" s="16" t="str">
        <f t="array" ref="DG62">SUM(SUMIFS(INDIRECT($A$5) ,OtrosR!$C$3:$C66,$A62,OtrosR!$B$3:$B66,DF$1))</f>
        <v>#VALUE!</v>
      </c>
      <c r="DH62" s="98" t="str">
        <f t="shared" si="626"/>
        <v/>
      </c>
      <c r="DI62" s="93" t="str">
        <f t="array" ref="DI62">SUM(SUMIFS(INDIRECT($A$3) ,OtrosR!$C$3:$C66,$A62,OtrosR!$B$3:$B66,DI$1))</f>
        <v>#VALUE!</v>
      </c>
      <c r="DJ62" s="17" t="str">
        <f t="array" ref="DJ62">SUM(SUMIFS(INDIRECT($A$5) ,OtrosR!$C$3:$C66,$A62,OtrosR!$B$3:$B66,DI$1))</f>
        <v>#VALUE!</v>
      </c>
      <c r="DK62" s="95" t="str">
        <f t="shared" si="627"/>
        <v/>
      </c>
      <c r="DL62" s="96" t="str">
        <f t="array" ref="DL62">SUM(SUMIFS(INDIRECT($A$3) ,OtrosR!$C$3:$C66,$A62,OtrosR!$B$3:$B66,DL$1))</f>
        <v>#VALUE!</v>
      </c>
      <c r="DM62" s="16" t="str">
        <f t="array" ref="DM62">SUM(SUMIFS(INDIRECT($A$5) ,OtrosR!$C$3:$C66,$A62,OtrosR!$B$3:$B66,DL$1))</f>
        <v>#VALUE!</v>
      </c>
      <c r="DN62" s="98" t="str">
        <f t="shared" si="628"/>
        <v/>
      </c>
      <c r="DO62" s="93" t="str">
        <f t="array" ref="DO62">SUM(SUMIFS(INDIRECT($A$3) ,OtrosR!$C$3:$C66,$A62,OtrosR!$B$3:$B66,DO$1))</f>
        <v>#VALUE!</v>
      </c>
      <c r="DP62" s="17" t="str">
        <f t="array" ref="DP62">SUM(SUMIFS(INDIRECT($A$5) ,OtrosR!$C$3:$C66,$A62,OtrosR!$B$3:$B66,DO$1))</f>
        <v>#VALUE!</v>
      </c>
      <c r="DQ62" s="95" t="str">
        <f t="shared" si="629"/>
        <v/>
      </c>
      <c r="DR62" s="96" t="str">
        <f t="array" ref="DR62">SUM(SUMIFS(INDIRECT($A$3) ,OtrosR!$C$3:$C66,$A62,OtrosR!$B$3:$B66,DR$1))</f>
        <v>#VALUE!</v>
      </c>
      <c r="DS62" s="16" t="str">
        <f t="array" ref="DS62">SUM(SUMIFS(INDIRECT($A$5) ,OtrosR!$C$3:$C66,$A62,OtrosR!$B$3:$B66,DR$1))</f>
        <v>#VALUE!</v>
      </c>
      <c r="DT62" s="98" t="str">
        <f t="shared" si="630"/>
        <v/>
      </c>
      <c r="DU62" s="93" t="str">
        <f t="array" ref="DU62">SUM(SUMIFS(INDIRECT($A$3) ,OtrosR!$C$3:$C66,$A62,OtrosR!$B$3:$B66,DU$1))</f>
        <v>#VALUE!</v>
      </c>
      <c r="DV62" s="17" t="str">
        <f t="array" ref="DV62">SUM(SUMIFS(INDIRECT($A$5) ,OtrosR!$C$3:$C66,$A62,OtrosR!$B$3:$B66,DU$1))</f>
        <v>#VALUE!</v>
      </c>
      <c r="DW62" s="95" t="str">
        <f t="shared" si="631"/>
        <v/>
      </c>
      <c r="DX62" s="96" t="str">
        <f t="array" ref="DX62">SUM(SUMIFS(INDIRECT($A$3) ,OtrosR!$C$3:$C66,$A62,OtrosR!$B$3:$B66,DX$1))</f>
        <v>#VALUE!</v>
      </c>
      <c r="DY62" s="16" t="str">
        <f t="array" ref="DY62">SUM(SUMIFS(INDIRECT($A$5) ,OtrosR!$C$3:$C66,$A62,OtrosR!$B$3:$B66,DX$1))</f>
        <v>#VALUE!</v>
      </c>
      <c r="DZ62" s="98" t="str">
        <f t="shared" si="632"/>
        <v/>
      </c>
      <c r="EA62" s="93" t="str">
        <f t="array" ref="EA62">SUM(SUMIFS(INDIRECT($A$3) ,OtrosR!$C$3:$C66,$A62,OtrosR!$B$3:$B66,EA$1))</f>
        <v>#VALUE!</v>
      </c>
      <c r="EB62" s="17" t="str">
        <f t="array" ref="EB62">SUM(SUMIFS(INDIRECT($A$5) ,OtrosR!$C$3:$C66,$A62,OtrosR!$B$3:$B66,EA$1))</f>
        <v>#VALUE!</v>
      </c>
      <c r="EC62" s="95" t="str">
        <f t="shared" si="633"/>
        <v/>
      </c>
      <c r="ED62" s="96" t="str">
        <f t="array" ref="ED62">SUM(SUMIFS(INDIRECT($A$3) ,OtrosR!$C$3:$C66,$A62,OtrosR!$B$3:$B66,ED$1))</f>
        <v>#VALUE!</v>
      </c>
      <c r="EE62" s="16" t="str">
        <f t="array" ref="EE62">SUM(SUMIFS(INDIRECT($A$5) ,OtrosR!$C$3:$C66,$A62,OtrosR!$B$3:$B66,ED$1))</f>
        <v>#VALUE!</v>
      </c>
      <c r="EF62" s="98" t="str">
        <f t="shared" si="634"/>
        <v/>
      </c>
      <c r="EG62" s="93" t="str">
        <f t="array" ref="EG62">SUM(SUMIFS(INDIRECT($A$3) ,OtrosR!$C$3:$C66,$A62,OtrosR!$B$3:$B66,EG$1))</f>
        <v>#VALUE!</v>
      </c>
      <c r="EH62" s="17" t="str">
        <f t="array" ref="EH62">SUM(SUMIFS(INDIRECT($A$5) ,OtrosR!$C$3:$C66,$A62,OtrosR!$B$3:$B66,EG$1))</f>
        <v>#VALUE!</v>
      </c>
      <c r="EI62" s="95" t="str">
        <f t="shared" si="635"/>
        <v/>
      </c>
      <c r="EJ62" s="96" t="str">
        <f t="array" ref="EJ62">SUM(SUMIFS(INDIRECT($A$3) ,OtrosR!$C$3:$C66,$A62,OtrosR!$B$3:$B66,EJ$1))</f>
        <v>#VALUE!</v>
      </c>
      <c r="EK62" s="16" t="str">
        <f t="array" ref="EK62">SUM(SUMIFS(INDIRECT($A$5) ,OtrosR!$C$3:$C66,$A62,OtrosR!$B$3:$B66,EJ$1))</f>
        <v>#VALUE!</v>
      </c>
      <c r="EL62" s="98" t="str">
        <f t="shared" si="636"/>
        <v/>
      </c>
      <c r="EM62" s="93" t="str">
        <f t="array" ref="EM62">SUM(SUMIFS(INDIRECT($A$3) ,OtrosR!$C$3:$C66,$A62,OtrosR!$B$3:$B66,EM$1))</f>
        <v>#VALUE!</v>
      </c>
      <c r="EN62" s="17" t="str">
        <f t="array" ref="EN62">SUM(SUMIFS(INDIRECT($A$5) ,OtrosR!$C$3:$C66,$A62,OtrosR!$B$3:$B66,EM$1))</f>
        <v>#VALUE!</v>
      </c>
      <c r="EO62" s="95" t="str">
        <f t="shared" si="637"/>
        <v/>
      </c>
      <c r="EP62" s="96" t="str">
        <f t="array" ref="EP62">SUM(SUMIFS(INDIRECT($A$3) ,OtrosR!$C$3:$C66,$A62,OtrosR!$B$3:$B66,EP$1))</f>
        <v>#VALUE!</v>
      </c>
      <c r="EQ62" s="16" t="str">
        <f t="array" ref="EQ62">SUM(SUMIFS(INDIRECT($A$5) ,OtrosR!$C$3:$C66,$A62,OtrosR!$B$3:$B66,EP$1))</f>
        <v>#VALUE!</v>
      </c>
      <c r="ER62" s="98" t="str">
        <f t="shared" si="638"/>
        <v/>
      </c>
      <c r="ES62" s="93" t="str">
        <f t="array" ref="ES62">SUM(SUMIFS(INDIRECT($A$3) ,OtrosR!$C$3:$C66,$A62,OtrosR!$B$3:$B66,ES$1))</f>
        <v>#VALUE!</v>
      </c>
      <c r="ET62" s="17" t="str">
        <f t="array" ref="ET62">SUM(SUMIFS(INDIRECT($A$5) ,OtrosR!$C$3:$C66,$A62,OtrosR!$B$3:$B66,ES$1))</f>
        <v>#VALUE!</v>
      </c>
      <c r="EU62" s="95" t="str">
        <f t="shared" si="639"/>
        <v/>
      </c>
      <c r="EV62" s="96" t="str">
        <f t="array" ref="EV62">SUM(SUMIFS(INDIRECT($A$3) ,OtrosR!$C$3:$C66,$A62,OtrosR!$B$3:$B66,EV$1))</f>
        <v>#VALUE!</v>
      </c>
      <c r="EW62" s="16" t="str">
        <f t="array" ref="EW62">SUM(SUMIFS(INDIRECT($A$5) ,OtrosR!$C$3:$C66,$A62,OtrosR!$B$3:$B66,EV$1))</f>
        <v>#VALUE!</v>
      </c>
      <c r="EX62" s="98" t="str">
        <f t="shared" si="640"/>
        <v/>
      </c>
      <c r="EY62" s="93" t="str">
        <f t="array" ref="EY62">SUM(SUMIFS(INDIRECT($A$3) ,OtrosR!$C$3:$C66,$A62,OtrosR!$B$3:$B66,EY$1))</f>
        <v>#VALUE!</v>
      </c>
      <c r="EZ62" s="17" t="str">
        <f t="array" ref="EZ62">SUM(SUMIFS(INDIRECT($A$5) ,OtrosR!$C$3:$C66,$A62,OtrosR!$B$3:$B66,EY$1))</f>
        <v>#VALUE!</v>
      </c>
      <c r="FA62" s="95" t="str">
        <f t="shared" si="641"/>
        <v/>
      </c>
      <c r="FB62" s="96" t="str">
        <f t="array" ref="FB62">SUM(SUMIFS(INDIRECT($A$3) ,OtrosR!$C$3:$C66,$A62,OtrosR!$B$3:$B66,FB$1))</f>
        <v>#VALUE!</v>
      </c>
      <c r="FC62" s="16" t="str">
        <f t="array" ref="FC62">SUM(SUMIFS(INDIRECT($A$5) ,OtrosR!$C$3:$C66,$A62,OtrosR!$B$3:$B66,FB$1))</f>
        <v>#VALUE!</v>
      </c>
      <c r="FD62" s="98" t="str">
        <f t="shared" si="642"/>
        <v/>
      </c>
      <c r="FE62" s="93" t="str">
        <f t="array" ref="FE62">SUM(SUMIFS(INDIRECT($A$3) ,OtrosR!$C$3:$C66,$A62,OtrosR!$B$3:$B66,FE$1))</f>
        <v>#VALUE!</v>
      </c>
      <c r="FF62" s="17" t="str">
        <f t="array" ref="FF62">SUM(SUMIFS(INDIRECT($A$5) ,OtrosR!$C$3:$C66,$A62,OtrosR!$B$3:$B66,FE$1))</f>
        <v>#VALUE!</v>
      </c>
      <c r="FG62" s="95" t="str">
        <f t="shared" si="643"/>
        <v/>
      </c>
      <c r="FH62" s="96" t="str">
        <f t="array" ref="FH62">SUM(SUMIFS(INDIRECT($A$3) ,OtrosR!$C$3:$C66,$A62,OtrosR!$B$3:$B66,FH$1))</f>
        <v>#VALUE!</v>
      </c>
      <c r="FI62" s="16" t="str">
        <f t="array" ref="FI62">SUM(SUMIFS(INDIRECT($A$5) ,OtrosR!$C$3:$C66,$A62,OtrosR!$B$3:$B66,FH$1))</f>
        <v>#VALUE!</v>
      </c>
      <c r="FJ62" s="98" t="str">
        <f t="shared" si="644"/>
        <v/>
      </c>
    </row>
    <row r="63" ht="15.75" hidden="1" customHeight="1">
      <c r="A63" s="5" t="str">
        <f>Menus!Q8</f>
        <v/>
      </c>
      <c r="B63" s="16" t="str">
        <f t="shared" si="590"/>
        <v>#VALUE!</v>
      </c>
      <c r="C63" s="16" t="str">
        <f t="shared" si="591"/>
        <v>#VALUE!</v>
      </c>
      <c r="D63" s="16" t="str">
        <f t="shared" si="645"/>
        <v>#VALUE!</v>
      </c>
      <c r="E63" s="109" t="str">
        <f t="array" ref="E63">SUM(SUMIFS(INDIRECT($A$3) ,OtrosR!$C$3:$C66,$A63,OtrosR!$B$3:$B66,E$1))</f>
        <v>#VALUE!</v>
      </c>
      <c r="F63" s="15" t="str">
        <f t="array" ref="F63">SUM(SUMIFS(INDIRECT($A$5) ,OtrosR!$C$3:$C66,$A63,OtrosR!$B$3:$B66,E$1))</f>
        <v>#VALUE!</v>
      </c>
      <c r="G63" s="89" t="str">
        <f t="shared" si="646"/>
        <v/>
      </c>
      <c r="H63" s="90" t="str">
        <f t="array" ref="H63">SUM(SUMIFS(INDIRECT($A$3) ,OtrosR!$C$3:$C66,$A63,OtrosR!$B$3:$B66,H$1))</f>
        <v>#VALUE!</v>
      </c>
      <c r="I63" s="55" t="str">
        <f t="array" ref="I63">SUM(SUMIFS(INDIRECT($A$5) ,OtrosR!$C$3:$C66,$A63,OtrosR!$B$3:$B66,H$1))</f>
        <v>#VALUE!</v>
      </c>
      <c r="J63" s="92" t="str">
        <f t="shared" si="592"/>
        <v/>
      </c>
      <c r="K63" s="93" t="str">
        <f t="array" ref="K63">SUM(SUMIFS(INDIRECT($A$3) ,OtrosR!$C$3:$C66,$A63,OtrosR!$B$3:$B66,K$1))</f>
        <v>#VALUE!</v>
      </c>
      <c r="L63" s="17" t="str">
        <f t="array" ref="L63">SUM(SUMIFS(INDIRECT($A$5) ,OtrosR!$C$3:$C66,$A63,OtrosR!$B$3:$B66,K$1))</f>
        <v>#VALUE!</v>
      </c>
      <c r="M63" s="95" t="str">
        <f t="shared" si="593"/>
        <v/>
      </c>
      <c r="N63" s="96" t="str">
        <f t="array" ref="N63">SUM(SUMIFS(INDIRECT($A$3) ,OtrosR!$C$3:$C66,$A63,OtrosR!$B$3:$B66,N$1))</f>
        <v>#VALUE!</v>
      </c>
      <c r="O63" s="16" t="str">
        <f t="array" ref="O63">SUM(SUMIFS(INDIRECT($A$5) ,OtrosR!$C$3:$C66,$A63,OtrosR!$B$3:$B66,N$1))</f>
        <v>#VALUE!</v>
      </c>
      <c r="P63" s="98" t="str">
        <f t="shared" si="594"/>
        <v/>
      </c>
      <c r="Q63" s="93" t="str">
        <f t="array" ref="Q63">SUM(SUMIFS(INDIRECT($A$3) ,OtrosR!$C$3:$C66,$A63,OtrosR!$B$3:$B66,Q$1))</f>
        <v>#VALUE!</v>
      </c>
      <c r="R63" s="17" t="str">
        <f t="array" ref="R63">SUM(SUMIFS(INDIRECT($A$5) ,OtrosR!$C$3:$C66,$A63,OtrosR!$B$3:$B66,Q$1))</f>
        <v>#VALUE!</v>
      </c>
      <c r="S63" s="95" t="str">
        <f t="shared" si="595"/>
        <v/>
      </c>
      <c r="T63" s="96" t="str">
        <f t="array" ref="T63">SUM(SUMIFS(INDIRECT($A$3) ,OtrosR!$C$3:$C66,$A63,OtrosR!$B$3:$B66,T$1))</f>
        <v>#VALUE!</v>
      </c>
      <c r="U63" s="16" t="str">
        <f t="array" ref="U63">SUM(SUMIFS(INDIRECT($A$5) ,OtrosR!$C$3:$C66,$A63,OtrosR!$B$3:$B66,T$1))</f>
        <v>#VALUE!</v>
      </c>
      <c r="V63" s="98" t="str">
        <f t="shared" si="596"/>
        <v/>
      </c>
      <c r="W63" s="93" t="str">
        <f t="array" ref="W63">SUM(SUMIFS(INDIRECT($A$3) ,OtrosR!$C$3:$C66,$A63,OtrosR!$B$3:$B66,W$1))</f>
        <v>#VALUE!</v>
      </c>
      <c r="X63" s="17" t="str">
        <f t="array" ref="X63">SUM(SUMIFS(INDIRECT($A$5) ,OtrosR!$C$3:$C66,$A63,OtrosR!$B$3:$B66,W$1))</f>
        <v>#VALUE!</v>
      </c>
      <c r="Y63" s="95" t="str">
        <f t="shared" si="597"/>
        <v/>
      </c>
      <c r="Z63" s="96" t="str">
        <f t="array" ref="Z63">SUM(SUMIFS(INDIRECT($A$3) ,OtrosR!$C$3:$C66,$A63,OtrosR!$B$3:$B66,Z$1))</f>
        <v>#VALUE!</v>
      </c>
      <c r="AA63" s="16" t="str">
        <f t="array" ref="AA63">SUM(SUMIFS(INDIRECT($A$5) ,OtrosR!$C$3:$C66,$A63,OtrosR!$B$3:$B66,Z$1))</f>
        <v>#VALUE!</v>
      </c>
      <c r="AB63" s="98" t="str">
        <f t="shared" si="598"/>
        <v/>
      </c>
      <c r="AC63" s="93" t="str">
        <f t="array" ref="AC63">SUM(SUMIFS(INDIRECT($A$3) ,OtrosR!$C$3:$C66,$A63,OtrosR!$B$3:$B66,AC$1))</f>
        <v>#VALUE!</v>
      </c>
      <c r="AD63" s="17" t="str">
        <f t="array" ref="AD63">SUM(SUMIFS(INDIRECT($A$5) ,OtrosR!$C$3:$C66,$A63,OtrosR!$B$3:$B66,AC$1))</f>
        <v>#VALUE!</v>
      </c>
      <c r="AE63" s="95" t="str">
        <f t="shared" si="599"/>
        <v/>
      </c>
      <c r="AF63" s="96" t="str">
        <f t="array" ref="AF63">SUM(SUMIFS(INDIRECT($A$3) ,OtrosR!$C$3:$C66,$A63,OtrosR!$B$3:$B66,AF$1))</f>
        <v>#VALUE!</v>
      </c>
      <c r="AG63" s="16" t="str">
        <f t="array" ref="AG63">SUM(SUMIFS(INDIRECT($A$5) ,OtrosR!$C$3:$C66,$A63,OtrosR!$B$3:$B66,AF$1))</f>
        <v>#VALUE!</v>
      </c>
      <c r="AH63" s="98" t="str">
        <f t="shared" si="600"/>
        <v/>
      </c>
      <c r="AI63" s="93" t="str">
        <f t="array" ref="AI63">SUM(SUMIFS(INDIRECT($A$3) ,OtrosR!$C$3:$C66,$A63,OtrosR!$B$3:$B66,AI$1))</f>
        <v>#VALUE!</v>
      </c>
      <c r="AJ63" s="17" t="str">
        <f t="array" ref="AJ63">SUM(SUMIFS(INDIRECT($A$5) ,OtrosR!$C$3:$C66,$A63,OtrosR!$B$3:$B66,AI$1))</f>
        <v>#VALUE!</v>
      </c>
      <c r="AK63" s="95" t="str">
        <f t="shared" si="601"/>
        <v/>
      </c>
      <c r="AL63" s="96" t="str">
        <f t="array" ref="AL63">SUM(SUMIFS(INDIRECT($A$3) ,OtrosR!$C$3:$C66,$A63,OtrosR!$B$3:$B66,AL$1))</f>
        <v>#VALUE!</v>
      </c>
      <c r="AM63" s="16" t="str">
        <f t="array" ref="AM63">SUM(SUMIFS(INDIRECT($A$5) ,OtrosR!$C$3:$C66,$A63,OtrosR!$B$3:$B66,AL$1))</f>
        <v>#VALUE!</v>
      </c>
      <c r="AN63" s="98" t="str">
        <f t="shared" si="602"/>
        <v/>
      </c>
      <c r="AO63" s="93" t="str">
        <f t="array" ref="AO63">SUM(SUMIFS(INDIRECT($A$3) ,OtrosR!$C$3:$C66,$A63,OtrosR!$B$3:$B66,AO$1))</f>
        <v>#VALUE!</v>
      </c>
      <c r="AP63" s="17" t="str">
        <f t="array" ref="AP63">SUM(SUMIFS(INDIRECT($A$5) ,OtrosR!$C$3:$C66,$A63,OtrosR!$B$3:$B66,AO$1))</f>
        <v>#VALUE!</v>
      </c>
      <c r="AQ63" s="95" t="str">
        <f t="shared" si="603"/>
        <v/>
      </c>
      <c r="AR63" s="96" t="str">
        <f t="array" ref="AR63">SUM(SUMIFS(INDIRECT($A$3) ,OtrosR!$C$3:$C66,$A63,OtrosR!$B$3:$B66,AR$1))</f>
        <v>#VALUE!</v>
      </c>
      <c r="AS63" s="16" t="str">
        <f t="array" ref="AS63">SUM(SUMIFS(INDIRECT($A$5) ,OtrosR!$C$3:$C66,$A63,OtrosR!$B$3:$B66,AR$1))</f>
        <v>#VALUE!</v>
      </c>
      <c r="AT63" s="98" t="str">
        <f t="shared" si="604"/>
        <v/>
      </c>
      <c r="AU63" s="93" t="str">
        <f t="array" ref="AU63">SUM(SUMIFS(INDIRECT($A$3) ,OtrosR!$C$3:$C66,$A63,OtrosR!$B$3:$B66,AU$1))</f>
        <v>#VALUE!</v>
      </c>
      <c r="AV63" s="17" t="str">
        <f t="array" ref="AV63">SUM(SUMIFS(INDIRECT($A$5) ,OtrosR!$C$3:$C66,$A63,OtrosR!$B$3:$B66,AU$1))</f>
        <v>#VALUE!</v>
      </c>
      <c r="AW63" s="95" t="str">
        <f t="shared" si="605"/>
        <v/>
      </c>
      <c r="AX63" s="96" t="str">
        <f t="array" ref="AX63">SUM(SUMIFS(INDIRECT($A$3) ,OtrosR!$C$3:$C66,$A63,OtrosR!$B$3:$B66,AX$1))</f>
        <v>#VALUE!</v>
      </c>
      <c r="AY63" s="16" t="str">
        <f t="array" ref="AY63">SUM(SUMIFS(INDIRECT($A$5) ,OtrosR!$C$3:$C66,$A63,OtrosR!$B$3:$B66,AX$1))</f>
        <v>#VALUE!</v>
      </c>
      <c r="AZ63" s="98" t="str">
        <f t="shared" si="606"/>
        <v/>
      </c>
      <c r="BA63" s="93" t="str">
        <f t="array" ref="BA63">SUM(SUMIFS(INDIRECT($A$3) ,OtrosR!$C$3:$C66,$A63,OtrosR!$B$3:$B66,BA$1))</f>
        <v>#VALUE!</v>
      </c>
      <c r="BB63" s="17" t="str">
        <f t="array" ref="BB63">SUM(SUMIFS(INDIRECT($A$5) ,OtrosR!$C$3:$C66,$A63,OtrosR!$B$3:$B66,BA$1))</f>
        <v>#VALUE!</v>
      </c>
      <c r="BC63" s="95" t="str">
        <f t="shared" si="607"/>
        <v/>
      </c>
      <c r="BD63" s="96" t="str">
        <f t="array" ref="BD63">SUM(SUMIFS(INDIRECT($A$3) ,OtrosR!$C$3:$C66,$A63,OtrosR!$B$3:$B66,BD$1))</f>
        <v>#VALUE!</v>
      </c>
      <c r="BE63" s="16" t="str">
        <f t="array" ref="BE63">SUM(SUMIFS(INDIRECT($A$5) ,OtrosR!$C$3:$C66,$A63,OtrosR!$B$3:$B66,BD$1))</f>
        <v>#VALUE!</v>
      </c>
      <c r="BF63" s="98" t="str">
        <f t="shared" si="608"/>
        <v/>
      </c>
      <c r="BG63" s="93" t="str">
        <f t="array" ref="BG63">SUM(SUMIFS(INDIRECT($A$3) ,OtrosR!$C$3:$C66,$A63,OtrosR!$B$3:$B66,BG$1))</f>
        <v>#VALUE!</v>
      </c>
      <c r="BH63" s="17" t="str">
        <f t="array" ref="BH63">SUM(SUMIFS(INDIRECT($A$5) ,OtrosR!$C$3:$C66,$A63,OtrosR!$B$3:$B66,BG$1))</f>
        <v>#VALUE!</v>
      </c>
      <c r="BI63" s="95" t="str">
        <f t="shared" si="609"/>
        <v/>
      </c>
      <c r="BJ63" s="96" t="str">
        <f t="array" ref="BJ63">SUM(SUMIFS(INDIRECT($A$3) ,OtrosR!$C$3:$C66,$A63,OtrosR!$B$3:$B66,BJ$1))</f>
        <v>#VALUE!</v>
      </c>
      <c r="BK63" s="16" t="str">
        <f t="array" ref="BK63">SUM(SUMIFS(INDIRECT($A$5) ,OtrosR!$C$3:$C66,$A63,OtrosR!$B$3:$B66,BJ$1))</f>
        <v>#VALUE!</v>
      </c>
      <c r="BL63" s="98" t="str">
        <f t="shared" si="610"/>
        <v/>
      </c>
      <c r="BM63" s="93" t="str">
        <f t="array" ref="BM63">SUM(SUMIFS(INDIRECT($A$3) ,OtrosR!$C$3:$C66,$A63,OtrosR!$B$3:$B66,BM$1))</f>
        <v>#VALUE!</v>
      </c>
      <c r="BN63" s="17" t="str">
        <f t="array" ref="BN63">SUM(SUMIFS(INDIRECT($A$5) ,OtrosR!$C$3:$C66,$A63,OtrosR!$B$3:$B66,BM$1))</f>
        <v>#VALUE!</v>
      </c>
      <c r="BO63" s="95" t="str">
        <f t="shared" si="611"/>
        <v/>
      </c>
      <c r="BP63" s="96" t="str">
        <f t="array" ref="BP63">SUM(SUMIFS(INDIRECT($A$3) ,OtrosR!$C$3:$C66,$A63,OtrosR!$B$3:$B66,BP$1))</f>
        <v>#VALUE!</v>
      </c>
      <c r="BQ63" s="16" t="str">
        <f t="array" ref="BQ63">SUM(SUMIFS(INDIRECT($A$5) ,OtrosR!$C$3:$C66,$A63,OtrosR!$B$3:$B66,BP$1))</f>
        <v>#VALUE!</v>
      </c>
      <c r="BR63" s="98" t="str">
        <f t="shared" si="612"/>
        <v/>
      </c>
      <c r="BS63" s="93" t="str">
        <f t="array" ref="BS63">SUM(SUMIFS(INDIRECT($A$3) ,OtrosR!$C$3:$C66,$A63,OtrosR!$B$3:$B66,BS$1))</f>
        <v>#VALUE!</v>
      </c>
      <c r="BT63" s="17" t="str">
        <f t="array" ref="BT63">SUM(SUMIFS(INDIRECT($A$5) ,OtrosR!$C$3:$C66,$A63,OtrosR!$B$3:$B66,BS$1))</f>
        <v>#VALUE!</v>
      </c>
      <c r="BU63" s="95" t="str">
        <f t="shared" si="613"/>
        <v/>
      </c>
      <c r="BV63" s="96" t="str">
        <f t="array" ref="BV63">SUM(SUMIFS(INDIRECT($A$3) ,OtrosR!$C$3:$C66,$A63,OtrosR!$B$3:$B66,BV$1))</f>
        <v>#VALUE!</v>
      </c>
      <c r="BW63" s="16" t="str">
        <f t="array" ref="BW63">SUM(SUMIFS(INDIRECT($A$5) ,OtrosR!$C$3:$C66,$A63,OtrosR!$B$3:$B66,BV$1))</f>
        <v>#VALUE!</v>
      </c>
      <c r="BX63" s="98" t="str">
        <f t="shared" si="614"/>
        <v/>
      </c>
      <c r="BY63" s="93" t="str">
        <f t="array" ref="BY63">SUM(SUMIFS(INDIRECT($A$3) ,OtrosR!$C$3:$C66,$A63,OtrosR!$B$3:$B66,BY$1))</f>
        <v>#VALUE!</v>
      </c>
      <c r="BZ63" s="17" t="str">
        <f t="array" ref="BZ63">SUM(SUMIFS(INDIRECT($A$5) ,OtrosR!$C$3:$C66,$A63,OtrosR!$B$3:$B66,BY$1))</f>
        <v>#VALUE!</v>
      </c>
      <c r="CA63" s="95" t="str">
        <f t="shared" si="615"/>
        <v/>
      </c>
      <c r="CB63" s="96" t="str">
        <f t="array" ref="CB63">SUM(SUMIFS(INDIRECT($A$3) ,OtrosR!$C$3:$C66,$A63,OtrosR!$B$3:$B66,CB$1))</f>
        <v>#VALUE!</v>
      </c>
      <c r="CC63" s="16" t="str">
        <f t="array" ref="CC63">SUM(SUMIFS(INDIRECT($A$5) ,OtrosR!$C$3:$C66,$A63,OtrosR!$B$3:$B66,CB$1))</f>
        <v>#VALUE!</v>
      </c>
      <c r="CD63" s="98" t="str">
        <f t="shared" si="616"/>
        <v/>
      </c>
      <c r="CE63" s="93" t="str">
        <f t="array" ref="CE63">SUM(SUMIFS(INDIRECT($A$3) ,OtrosR!$C$3:$C66,$A63,OtrosR!$B$3:$B66,CE$1))</f>
        <v>#VALUE!</v>
      </c>
      <c r="CF63" s="17" t="str">
        <f t="array" ref="CF63">SUM(SUMIFS(INDIRECT($A$5) ,OtrosR!$C$3:$C66,$A63,OtrosR!$B$3:$B66,CE$1))</f>
        <v>#VALUE!</v>
      </c>
      <c r="CG63" s="95" t="str">
        <f t="shared" si="617"/>
        <v/>
      </c>
      <c r="CH63" s="96" t="str">
        <f t="array" ref="CH63">SUM(SUMIFS(INDIRECT($A$3) ,OtrosR!$C$3:$C66,$A63,OtrosR!$B$3:$B66,CH$1))</f>
        <v>#VALUE!</v>
      </c>
      <c r="CI63" s="16" t="str">
        <f t="array" ref="CI63">SUM(SUMIFS(INDIRECT($A$5) ,OtrosR!$C$3:$C66,$A63,OtrosR!$B$3:$B66,CH$1))</f>
        <v>#VALUE!</v>
      </c>
      <c r="CJ63" s="98" t="str">
        <f t="shared" si="618"/>
        <v/>
      </c>
      <c r="CK63" s="93" t="str">
        <f t="array" ref="CK63">SUM(SUMIFS(INDIRECT($A$3) ,OtrosR!$C$3:$C66,$A63,OtrosR!$B$3:$B66,CK$1))</f>
        <v>#VALUE!</v>
      </c>
      <c r="CL63" s="17" t="str">
        <f t="array" ref="CL63">SUM(SUMIFS(INDIRECT($A$5) ,OtrosR!$C$3:$C66,$A63,OtrosR!$B$3:$B66,CK$1))</f>
        <v>#VALUE!</v>
      </c>
      <c r="CM63" s="95" t="str">
        <f t="shared" si="619"/>
        <v/>
      </c>
      <c r="CN63" s="96" t="str">
        <f t="array" ref="CN63">SUM(SUMIFS(INDIRECT($A$3) ,OtrosR!$C$3:$C66,$A63,OtrosR!$B$3:$B66,CN$1))</f>
        <v>#VALUE!</v>
      </c>
      <c r="CO63" s="16" t="str">
        <f t="array" ref="CO63">SUM(SUMIFS(INDIRECT($A$5) ,OtrosR!$C$3:$C66,$A63,OtrosR!$B$3:$B66,CN$1))</f>
        <v>#VALUE!</v>
      </c>
      <c r="CP63" s="98" t="str">
        <f t="shared" si="620"/>
        <v/>
      </c>
      <c r="CQ63" s="93" t="str">
        <f t="array" ref="CQ63">SUM(SUMIFS(INDIRECT($A$3) ,OtrosR!$C$3:$C66,$A63,OtrosR!$B$3:$B66,CQ$1))</f>
        <v>#VALUE!</v>
      </c>
      <c r="CR63" s="17" t="str">
        <f t="array" ref="CR63">SUM(SUMIFS(INDIRECT($A$5) ,OtrosR!$C$3:$C66,$A63,OtrosR!$B$3:$B66,CQ$1))</f>
        <v>#VALUE!</v>
      </c>
      <c r="CS63" s="95" t="str">
        <f t="shared" si="621"/>
        <v/>
      </c>
      <c r="CT63" s="96" t="str">
        <f t="array" ref="CT63">SUM(SUMIFS(INDIRECT($A$3) ,OtrosR!$C$3:$C66,$A63,OtrosR!$B$3:$B66,CT$1))</f>
        <v>#VALUE!</v>
      </c>
      <c r="CU63" s="16" t="str">
        <f t="array" ref="CU63">SUM(SUMIFS(INDIRECT($A$5) ,OtrosR!$C$3:$C66,$A63,OtrosR!$B$3:$B66,CT$1))</f>
        <v>#VALUE!</v>
      </c>
      <c r="CV63" s="98" t="str">
        <f t="shared" si="622"/>
        <v/>
      </c>
      <c r="CW63" s="93" t="str">
        <f t="array" ref="CW63">SUM(SUMIFS(INDIRECT($A$3) ,OtrosR!$C$3:$C66,$A63,OtrosR!$B$3:$B66,CW$1))</f>
        <v>#VALUE!</v>
      </c>
      <c r="CX63" s="17" t="str">
        <f t="array" ref="CX63">SUM(SUMIFS(INDIRECT($A$5) ,OtrosR!$C$3:$C66,$A63,OtrosR!$B$3:$B66,CW$1))</f>
        <v>#VALUE!</v>
      </c>
      <c r="CY63" s="95" t="str">
        <f t="shared" si="623"/>
        <v/>
      </c>
      <c r="CZ63" s="96" t="str">
        <f t="array" ref="CZ63">SUM(SUMIFS(INDIRECT($A$3) ,OtrosR!$C$3:$C66,$A63,OtrosR!$B$3:$B66,CZ$1))</f>
        <v>#VALUE!</v>
      </c>
      <c r="DA63" s="16" t="str">
        <f t="array" ref="DA63">SUM(SUMIFS(INDIRECT($A$5) ,OtrosR!$C$3:$C66,$A63,OtrosR!$B$3:$B66,CZ$1))</f>
        <v>#VALUE!</v>
      </c>
      <c r="DB63" s="98" t="str">
        <f t="shared" si="624"/>
        <v/>
      </c>
      <c r="DC63" s="93" t="str">
        <f t="array" ref="DC63">SUM(SUMIFS(INDIRECT($A$3) ,OtrosR!$C$3:$C66,$A63,OtrosR!$B$3:$B66,DC$1))</f>
        <v>#VALUE!</v>
      </c>
      <c r="DD63" s="17" t="str">
        <f t="array" ref="DD63">SUM(SUMIFS(INDIRECT($A$5) ,OtrosR!$C$3:$C66,$A63,OtrosR!$B$3:$B66,DC$1))</f>
        <v>#VALUE!</v>
      </c>
      <c r="DE63" s="95" t="str">
        <f t="shared" si="625"/>
        <v/>
      </c>
      <c r="DF63" s="96" t="str">
        <f t="array" ref="DF63">SUM(SUMIFS(INDIRECT($A$3) ,OtrosR!$C$3:$C66,$A63,OtrosR!$B$3:$B66,DF$1))</f>
        <v>#VALUE!</v>
      </c>
      <c r="DG63" s="16" t="str">
        <f t="array" ref="DG63">SUM(SUMIFS(INDIRECT($A$5) ,OtrosR!$C$3:$C66,$A63,OtrosR!$B$3:$B66,DF$1))</f>
        <v>#VALUE!</v>
      </c>
      <c r="DH63" s="98" t="str">
        <f t="shared" si="626"/>
        <v/>
      </c>
      <c r="DI63" s="93" t="str">
        <f t="array" ref="DI63">SUM(SUMIFS(INDIRECT($A$3) ,OtrosR!$C$3:$C66,$A63,OtrosR!$B$3:$B66,DI$1))</f>
        <v>#VALUE!</v>
      </c>
      <c r="DJ63" s="17" t="str">
        <f t="array" ref="DJ63">SUM(SUMIFS(INDIRECT($A$5) ,OtrosR!$C$3:$C66,$A63,OtrosR!$B$3:$B66,DI$1))</f>
        <v>#VALUE!</v>
      </c>
      <c r="DK63" s="95" t="str">
        <f t="shared" si="627"/>
        <v/>
      </c>
      <c r="DL63" s="96" t="str">
        <f t="array" ref="DL63">SUM(SUMIFS(INDIRECT($A$3) ,OtrosR!$C$3:$C66,$A63,OtrosR!$B$3:$B66,DL$1))</f>
        <v>#VALUE!</v>
      </c>
      <c r="DM63" s="16" t="str">
        <f t="array" ref="DM63">SUM(SUMIFS(INDIRECT($A$5) ,OtrosR!$C$3:$C66,$A63,OtrosR!$B$3:$B66,DL$1))</f>
        <v>#VALUE!</v>
      </c>
      <c r="DN63" s="98" t="str">
        <f t="shared" si="628"/>
        <v/>
      </c>
      <c r="DO63" s="93" t="str">
        <f t="array" ref="DO63">SUM(SUMIFS(INDIRECT($A$3) ,OtrosR!$C$3:$C66,$A63,OtrosR!$B$3:$B66,DO$1))</f>
        <v>#VALUE!</v>
      </c>
      <c r="DP63" s="17" t="str">
        <f t="array" ref="DP63">SUM(SUMIFS(INDIRECT($A$5) ,OtrosR!$C$3:$C66,$A63,OtrosR!$B$3:$B66,DO$1))</f>
        <v>#VALUE!</v>
      </c>
      <c r="DQ63" s="95" t="str">
        <f t="shared" si="629"/>
        <v/>
      </c>
      <c r="DR63" s="96" t="str">
        <f t="array" ref="DR63">SUM(SUMIFS(INDIRECT($A$3) ,OtrosR!$C$3:$C66,$A63,OtrosR!$B$3:$B66,DR$1))</f>
        <v>#VALUE!</v>
      </c>
      <c r="DS63" s="16" t="str">
        <f t="array" ref="DS63">SUM(SUMIFS(INDIRECT($A$5) ,OtrosR!$C$3:$C66,$A63,OtrosR!$B$3:$B66,DR$1))</f>
        <v>#VALUE!</v>
      </c>
      <c r="DT63" s="98" t="str">
        <f t="shared" si="630"/>
        <v/>
      </c>
      <c r="DU63" s="93" t="str">
        <f t="array" ref="DU63">SUM(SUMIFS(INDIRECT($A$3) ,OtrosR!$C$3:$C66,$A63,OtrosR!$B$3:$B66,DU$1))</f>
        <v>#VALUE!</v>
      </c>
      <c r="DV63" s="17" t="str">
        <f t="array" ref="DV63">SUM(SUMIFS(INDIRECT($A$5) ,OtrosR!$C$3:$C66,$A63,OtrosR!$B$3:$B66,DU$1))</f>
        <v>#VALUE!</v>
      </c>
      <c r="DW63" s="95" t="str">
        <f t="shared" si="631"/>
        <v/>
      </c>
      <c r="DX63" s="96" t="str">
        <f t="array" ref="DX63">SUM(SUMIFS(INDIRECT($A$3) ,OtrosR!$C$3:$C66,$A63,OtrosR!$B$3:$B66,DX$1))</f>
        <v>#VALUE!</v>
      </c>
      <c r="DY63" s="16" t="str">
        <f t="array" ref="DY63">SUM(SUMIFS(INDIRECT($A$5) ,OtrosR!$C$3:$C66,$A63,OtrosR!$B$3:$B66,DX$1))</f>
        <v>#VALUE!</v>
      </c>
      <c r="DZ63" s="98" t="str">
        <f t="shared" si="632"/>
        <v/>
      </c>
      <c r="EA63" s="93" t="str">
        <f t="array" ref="EA63">SUM(SUMIFS(INDIRECT($A$3) ,OtrosR!$C$3:$C66,$A63,OtrosR!$B$3:$B66,EA$1))</f>
        <v>#VALUE!</v>
      </c>
      <c r="EB63" s="17" t="str">
        <f t="array" ref="EB63">SUM(SUMIFS(INDIRECT($A$5) ,OtrosR!$C$3:$C66,$A63,OtrosR!$B$3:$B66,EA$1))</f>
        <v>#VALUE!</v>
      </c>
      <c r="EC63" s="95" t="str">
        <f t="shared" si="633"/>
        <v/>
      </c>
      <c r="ED63" s="96" t="str">
        <f t="array" ref="ED63">SUM(SUMIFS(INDIRECT($A$3) ,OtrosR!$C$3:$C66,$A63,OtrosR!$B$3:$B66,ED$1))</f>
        <v>#VALUE!</v>
      </c>
      <c r="EE63" s="16" t="str">
        <f t="array" ref="EE63">SUM(SUMIFS(INDIRECT($A$5) ,OtrosR!$C$3:$C66,$A63,OtrosR!$B$3:$B66,ED$1))</f>
        <v>#VALUE!</v>
      </c>
      <c r="EF63" s="98" t="str">
        <f t="shared" si="634"/>
        <v/>
      </c>
      <c r="EG63" s="93" t="str">
        <f t="array" ref="EG63">SUM(SUMIFS(INDIRECT($A$3) ,OtrosR!$C$3:$C66,$A63,OtrosR!$B$3:$B66,EG$1))</f>
        <v>#VALUE!</v>
      </c>
      <c r="EH63" s="17" t="str">
        <f t="array" ref="EH63">SUM(SUMIFS(INDIRECT($A$5) ,OtrosR!$C$3:$C66,$A63,OtrosR!$B$3:$B66,EG$1))</f>
        <v>#VALUE!</v>
      </c>
      <c r="EI63" s="95" t="str">
        <f t="shared" si="635"/>
        <v/>
      </c>
      <c r="EJ63" s="96" t="str">
        <f t="array" ref="EJ63">SUM(SUMIFS(INDIRECT($A$3) ,OtrosR!$C$3:$C66,$A63,OtrosR!$B$3:$B66,EJ$1))</f>
        <v>#VALUE!</v>
      </c>
      <c r="EK63" s="16" t="str">
        <f t="array" ref="EK63">SUM(SUMIFS(INDIRECT($A$5) ,OtrosR!$C$3:$C66,$A63,OtrosR!$B$3:$B66,EJ$1))</f>
        <v>#VALUE!</v>
      </c>
      <c r="EL63" s="98" t="str">
        <f t="shared" si="636"/>
        <v/>
      </c>
      <c r="EM63" s="93" t="str">
        <f t="array" ref="EM63">SUM(SUMIFS(INDIRECT($A$3) ,OtrosR!$C$3:$C66,$A63,OtrosR!$B$3:$B66,EM$1))</f>
        <v>#VALUE!</v>
      </c>
      <c r="EN63" s="17" t="str">
        <f t="array" ref="EN63">SUM(SUMIFS(INDIRECT($A$5) ,OtrosR!$C$3:$C66,$A63,OtrosR!$B$3:$B66,EM$1))</f>
        <v>#VALUE!</v>
      </c>
      <c r="EO63" s="95" t="str">
        <f t="shared" si="637"/>
        <v/>
      </c>
      <c r="EP63" s="96" t="str">
        <f t="array" ref="EP63">SUM(SUMIFS(INDIRECT($A$3) ,OtrosR!$C$3:$C66,$A63,OtrosR!$B$3:$B66,EP$1))</f>
        <v>#VALUE!</v>
      </c>
      <c r="EQ63" s="16" t="str">
        <f t="array" ref="EQ63">SUM(SUMIFS(INDIRECT($A$5) ,OtrosR!$C$3:$C66,$A63,OtrosR!$B$3:$B66,EP$1))</f>
        <v>#VALUE!</v>
      </c>
      <c r="ER63" s="98" t="str">
        <f t="shared" si="638"/>
        <v/>
      </c>
      <c r="ES63" s="93" t="str">
        <f t="array" ref="ES63">SUM(SUMIFS(INDIRECT($A$3) ,OtrosR!$C$3:$C66,$A63,OtrosR!$B$3:$B66,ES$1))</f>
        <v>#VALUE!</v>
      </c>
      <c r="ET63" s="17" t="str">
        <f t="array" ref="ET63">SUM(SUMIFS(INDIRECT($A$5) ,OtrosR!$C$3:$C66,$A63,OtrosR!$B$3:$B66,ES$1))</f>
        <v>#VALUE!</v>
      </c>
      <c r="EU63" s="95" t="str">
        <f t="shared" si="639"/>
        <v/>
      </c>
      <c r="EV63" s="96" t="str">
        <f t="array" ref="EV63">SUM(SUMIFS(INDIRECT($A$3) ,OtrosR!$C$3:$C66,$A63,OtrosR!$B$3:$B66,EV$1))</f>
        <v>#VALUE!</v>
      </c>
      <c r="EW63" s="16" t="str">
        <f t="array" ref="EW63">SUM(SUMIFS(INDIRECT($A$5) ,OtrosR!$C$3:$C66,$A63,OtrosR!$B$3:$B66,EV$1))</f>
        <v>#VALUE!</v>
      </c>
      <c r="EX63" s="98" t="str">
        <f t="shared" si="640"/>
        <v/>
      </c>
      <c r="EY63" s="93" t="str">
        <f t="array" ref="EY63">SUM(SUMIFS(INDIRECT($A$3) ,OtrosR!$C$3:$C66,$A63,OtrosR!$B$3:$B66,EY$1))</f>
        <v>#VALUE!</v>
      </c>
      <c r="EZ63" s="17" t="str">
        <f t="array" ref="EZ63">SUM(SUMIFS(INDIRECT($A$5) ,OtrosR!$C$3:$C66,$A63,OtrosR!$B$3:$B66,EY$1))</f>
        <v>#VALUE!</v>
      </c>
      <c r="FA63" s="95" t="str">
        <f t="shared" si="641"/>
        <v/>
      </c>
      <c r="FB63" s="96" t="str">
        <f t="array" ref="FB63">SUM(SUMIFS(INDIRECT($A$3) ,OtrosR!$C$3:$C66,$A63,OtrosR!$B$3:$B66,FB$1))</f>
        <v>#VALUE!</v>
      </c>
      <c r="FC63" s="16" t="str">
        <f t="array" ref="FC63">SUM(SUMIFS(INDIRECT($A$5) ,OtrosR!$C$3:$C66,$A63,OtrosR!$B$3:$B66,FB$1))</f>
        <v>#VALUE!</v>
      </c>
      <c r="FD63" s="98" t="str">
        <f t="shared" si="642"/>
        <v/>
      </c>
      <c r="FE63" s="93" t="str">
        <f t="array" ref="FE63">SUM(SUMIFS(INDIRECT($A$3) ,OtrosR!$C$3:$C66,$A63,OtrosR!$B$3:$B66,FE$1))</f>
        <v>#VALUE!</v>
      </c>
      <c r="FF63" s="17" t="str">
        <f t="array" ref="FF63">SUM(SUMIFS(INDIRECT($A$5) ,OtrosR!$C$3:$C66,$A63,OtrosR!$B$3:$B66,FE$1))</f>
        <v>#VALUE!</v>
      </c>
      <c r="FG63" s="95" t="str">
        <f t="shared" si="643"/>
        <v/>
      </c>
      <c r="FH63" s="96" t="str">
        <f t="array" ref="FH63">SUM(SUMIFS(INDIRECT($A$3) ,OtrosR!$C$3:$C66,$A63,OtrosR!$B$3:$B66,FH$1))</f>
        <v>#VALUE!</v>
      </c>
      <c r="FI63" s="16" t="str">
        <f t="array" ref="FI63">SUM(SUMIFS(INDIRECT($A$5) ,OtrosR!$C$3:$C66,$A63,OtrosR!$B$3:$B66,FH$1))</f>
        <v>#VALUE!</v>
      </c>
      <c r="FJ63" s="98" t="str">
        <f t="shared" si="644"/>
        <v/>
      </c>
    </row>
    <row r="64" ht="15.75" hidden="1" customHeight="1">
      <c r="A64" s="5" t="str">
        <f>Menus!Q9</f>
        <v/>
      </c>
      <c r="B64" s="16" t="str">
        <f t="shared" si="590"/>
        <v>#VALUE!</v>
      </c>
      <c r="C64" s="16" t="str">
        <f t="shared" si="591"/>
        <v>#VALUE!</v>
      </c>
      <c r="D64" s="16" t="str">
        <f t="shared" si="645"/>
        <v>#VALUE!</v>
      </c>
      <c r="E64" s="109" t="str">
        <f t="array" ref="E64">SUM(SUMIFS(INDIRECT($A$3) ,OtrosR!$C$3:$C66,$A64,OtrosR!$B$3:$B66,E$1))</f>
        <v>#VALUE!</v>
      </c>
      <c r="F64" s="15" t="str">
        <f t="array" ref="F64">SUM(SUMIFS(INDIRECT($A$5) ,OtrosR!$C$3:$C66,$A64,OtrosR!$B$3:$B66,E$1))</f>
        <v>#VALUE!</v>
      </c>
      <c r="G64" s="89" t="str">
        <f t="shared" si="646"/>
        <v/>
      </c>
      <c r="H64" s="90" t="str">
        <f t="array" ref="H64">SUM(SUMIFS(INDIRECT($A$3) ,OtrosR!$C$3:$C66,$A64,OtrosR!$B$3:$B66,H$1))</f>
        <v>#VALUE!</v>
      </c>
      <c r="I64" s="55" t="str">
        <f t="array" ref="I64">SUM(SUMIFS(INDIRECT($A$5) ,OtrosR!$C$3:$C66,$A64,OtrosR!$B$3:$B66,H$1))</f>
        <v>#VALUE!</v>
      </c>
      <c r="J64" s="92" t="str">
        <f t="shared" si="592"/>
        <v/>
      </c>
      <c r="K64" s="93" t="str">
        <f t="array" ref="K64">SUM(SUMIFS(INDIRECT($A$3) ,OtrosR!$C$3:$C66,$A64,OtrosR!$B$3:$B66,K$1))</f>
        <v>#VALUE!</v>
      </c>
      <c r="L64" s="17" t="str">
        <f t="array" ref="L64">SUM(SUMIFS(INDIRECT($A$5) ,OtrosR!$C$3:$C66,$A64,OtrosR!$B$3:$B66,K$1))</f>
        <v>#VALUE!</v>
      </c>
      <c r="M64" s="95" t="str">
        <f t="shared" si="593"/>
        <v/>
      </c>
      <c r="N64" s="96" t="str">
        <f t="array" ref="N64">SUM(SUMIFS(INDIRECT($A$3) ,OtrosR!$C$3:$C66,$A64,OtrosR!$B$3:$B66,N$1))</f>
        <v>#VALUE!</v>
      </c>
      <c r="O64" s="16" t="str">
        <f t="array" ref="O64">SUM(SUMIFS(INDIRECT($A$5) ,OtrosR!$C$3:$C66,$A64,OtrosR!$B$3:$B66,N$1))</f>
        <v>#VALUE!</v>
      </c>
      <c r="P64" s="98" t="str">
        <f t="shared" si="594"/>
        <v/>
      </c>
      <c r="Q64" s="93" t="str">
        <f t="array" ref="Q64">SUM(SUMIFS(INDIRECT($A$3) ,OtrosR!$C$3:$C66,$A64,OtrosR!$B$3:$B66,Q$1))</f>
        <v>#VALUE!</v>
      </c>
      <c r="R64" s="17" t="str">
        <f t="array" ref="R64">SUM(SUMIFS(INDIRECT($A$5) ,OtrosR!$C$3:$C66,$A64,OtrosR!$B$3:$B66,Q$1))</f>
        <v>#VALUE!</v>
      </c>
      <c r="S64" s="95" t="str">
        <f t="shared" si="595"/>
        <v/>
      </c>
      <c r="T64" s="96" t="str">
        <f t="array" ref="T64">SUM(SUMIFS(INDIRECT($A$3) ,OtrosR!$C$3:$C66,$A64,OtrosR!$B$3:$B66,T$1))</f>
        <v>#VALUE!</v>
      </c>
      <c r="U64" s="16" t="str">
        <f t="array" ref="U64">SUM(SUMIFS(INDIRECT($A$5) ,OtrosR!$C$3:$C66,$A64,OtrosR!$B$3:$B66,T$1))</f>
        <v>#VALUE!</v>
      </c>
      <c r="V64" s="98" t="str">
        <f t="shared" si="596"/>
        <v/>
      </c>
      <c r="W64" s="93" t="str">
        <f t="array" ref="W64">SUM(SUMIFS(INDIRECT($A$3) ,OtrosR!$C$3:$C66,$A64,OtrosR!$B$3:$B66,W$1))</f>
        <v>#VALUE!</v>
      </c>
      <c r="X64" s="17" t="str">
        <f t="array" ref="X64">SUM(SUMIFS(INDIRECT($A$5) ,OtrosR!$C$3:$C66,$A64,OtrosR!$B$3:$B66,W$1))</f>
        <v>#VALUE!</v>
      </c>
      <c r="Y64" s="95" t="str">
        <f t="shared" si="597"/>
        <v/>
      </c>
      <c r="Z64" s="96" t="str">
        <f t="array" ref="Z64">SUM(SUMIFS(INDIRECT($A$3) ,OtrosR!$C$3:$C66,$A64,OtrosR!$B$3:$B66,Z$1))</f>
        <v>#VALUE!</v>
      </c>
      <c r="AA64" s="16" t="str">
        <f t="array" ref="AA64">SUM(SUMIFS(INDIRECT($A$5) ,OtrosR!$C$3:$C66,$A64,OtrosR!$B$3:$B66,Z$1))</f>
        <v>#VALUE!</v>
      </c>
      <c r="AB64" s="98" t="str">
        <f t="shared" si="598"/>
        <v/>
      </c>
      <c r="AC64" s="93" t="str">
        <f t="array" ref="AC64">SUM(SUMIFS(INDIRECT($A$3) ,OtrosR!$C$3:$C66,$A64,OtrosR!$B$3:$B66,AC$1))</f>
        <v>#VALUE!</v>
      </c>
      <c r="AD64" s="17" t="str">
        <f t="array" ref="AD64">SUM(SUMIFS(INDIRECT($A$5) ,OtrosR!$C$3:$C66,$A64,OtrosR!$B$3:$B66,AC$1))</f>
        <v>#VALUE!</v>
      </c>
      <c r="AE64" s="95" t="str">
        <f t="shared" si="599"/>
        <v/>
      </c>
      <c r="AF64" s="96" t="str">
        <f t="array" ref="AF64">SUM(SUMIFS(INDIRECT($A$3) ,OtrosR!$C$3:$C66,$A64,OtrosR!$B$3:$B66,AF$1))</f>
        <v>#VALUE!</v>
      </c>
      <c r="AG64" s="16" t="str">
        <f t="array" ref="AG64">SUM(SUMIFS(INDIRECT($A$5) ,OtrosR!$C$3:$C66,$A64,OtrosR!$B$3:$B66,AF$1))</f>
        <v>#VALUE!</v>
      </c>
      <c r="AH64" s="98" t="str">
        <f t="shared" si="600"/>
        <v/>
      </c>
      <c r="AI64" s="93" t="str">
        <f t="array" ref="AI64">SUM(SUMIFS(INDIRECT($A$3) ,OtrosR!$C$3:$C66,$A64,OtrosR!$B$3:$B66,AI$1))</f>
        <v>#VALUE!</v>
      </c>
      <c r="AJ64" s="17" t="str">
        <f t="array" ref="AJ64">SUM(SUMIFS(INDIRECT($A$5) ,OtrosR!$C$3:$C66,$A64,OtrosR!$B$3:$B66,AI$1))</f>
        <v>#VALUE!</v>
      </c>
      <c r="AK64" s="95" t="str">
        <f t="shared" si="601"/>
        <v/>
      </c>
      <c r="AL64" s="96" t="str">
        <f t="array" ref="AL64">SUM(SUMIFS(INDIRECT($A$3) ,OtrosR!$C$3:$C66,$A64,OtrosR!$B$3:$B66,AL$1))</f>
        <v>#VALUE!</v>
      </c>
      <c r="AM64" s="16" t="str">
        <f t="array" ref="AM64">SUM(SUMIFS(INDIRECT($A$5) ,OtrosR!$C$3:$C66,$A64,OtrosR!$B$3:$B66,AL$1))</f>
        <v>#VALUE!</v>
      </c>
      <c r="AN64" s="98" t="str">
        <f t="shared" si="602"/>
        <v/>
      </c>
      <c r="AO64" s="93" t="str">
        <f t="array" ref="AO64">SUM(SUMIFS(INDIRECT($A$3) ,OtrosR!$C$3:$C66,$A64,OtrosR!$B$3:$B66,AO$1))</f>
        <v>#VALUE!</v>
      </c>
      <c r="AP64" s="17" t="str">
        <f t="array" ref="AP64">SUM(SUMIFS(INDIRECT($A$5) ,OtrosR!$C$3:$C66,$A64,OtrosR!$B$3:$B66,AO$1))</f>
        <v>#VALUE!</v>
      </c>
      <c r="AQ64" s="95" t="str">
        <f t="shared" si="603"/>
        <v/>
      </c>
      <c r="AR64" s="96" t="str">
        <f t="array" ref="AR64">SUM(SUMIFS(INDIRECT($A$3) ,OtrosR!$C$3:$C66,$A64,OtrosR!$B$3:$B66,AR$1))</f>
        <v>#VALUE!</v>
      </c>
      <c r="AS64" s="16" t="str">
        <f t="array" ref="AS64">SUM(SUMIFS(INDIRECT($A$5) ,OtrosR!$C$3:$C66,$A64,OtrosR!$B$3:$B66,AR$1))</f>
        <v>#VALUE!</v>
      </c>
      <c r="AT64" s="98" t="str">
        <f t="shared" si="604"/>
        <v/>
      </c>
      <c r="AU64" s="93" t="str">
        <f t="array" ref="AU64">SUM(SUMIFS(INDIRECT($A$3) ,OtrosR!$C$3:$C66,$A64,OtrosR!$B$3:$B66,AU$1))</f>
        <v>#VALUE!</v>
      </c>
      <c r="AV64" s="17" t="str">
        <f t="array" ref="AV64">SUM(SUMIFS(INDIRECT($A$5) ,OtrosR!$C$3:$C66,$A64,OtrosR!$B$3:$B66,AU$1))</f>
        <v>#VALUE!</v>
      </c>
      <c r="AW64" s="95" t="str">
        <f t="shared" si="605"/>
        <v/>
      </c>
      <c r="AX64" s="96" t="str">
        <f t="array" ref="AX64">SUM(SUMIFS(INDIRECT($A$3) ,OtrosR!$C$3:$C66,$A64,OtrosR!$B$3:$B66,AX$1))</f>
        <v>#VALUE!</v>
      </c>
      <c r="AY64" s="16" t="str">
        <f t="array" ref="AY64">SUM(SUMIFS(INDIRECT($A$5) ,OtrosR!$C$3:$C66,$A64,OtrosR!$B$3:$B66,AX$1))</f>
        <v>#VALUE!</v>
      </c>
      <c r="AZ64" s="98" t="str">
        <f t="shared" si="606"/>
        <v/>
      </c>
      <c r="BA64" s="93" t="str">
        <f t="array" ref="BA64">SUM(SUMIFS(INDIRECT($A$3) ,OtrosR!$C$3:$C66,$A64,OtrosR!$B$3:$B66,BA$1))</f>
        <v>#VALUE!</v>
      </c>
      <c r="BB64" s="17" t="str">
        <f t="array" ref="BB64">SUM(SUMIFS(INDIRECT($A$5) ,OtrosR!$C$3:$C66,$A64,OtrosR!$B$3:$B66,BA$1))</f>
        <v>#VALUE!</v>
      </c>
      <c r="BC64" s="95" t="str">
        <f t="shared" si="607"/>
        <v/>
      </c>
      <c r="BD64" s="96" t="str">
        <f t="array" ref="BD64">SUM(SUMIFS(INDIRECT($A$3) ,OtrosR!$C$3:$C66,$A64,OtrosR!$B$3:$B66,BD$1))</f>
        <v>#VALUE!</v>
      </c>
      <c r="BE64" s="16" t="str">
        <f t="array" ref="BE64">SUM(SUMIFS(INDIRECT($A$5) ,OtrosR!$C$3:$C66,$A64,OtrosR!$B$3:$B66,BD$1))</f>
        <v>#VALUE!</v>
      </c>
      <c r="BF64" s="98" t="str">
        <f t="shared" si="608"/>
        <v/>
      </c>
      <c r="BG64" s="93" t="str">
        <f t="array" ref="BG64">SUM(SUMIFS(INDIRECT($A$3) ,OtrosR!$C$3:$C66,$A64,OtrosR!$B$3:$B66,BG$1))</f>
        <v>#VALUE!</v>
      </c>
      <c r="BH64" s="17" t="str">
        <f t="array" ref="BH64">SUM(SUMIFS(INDIRECT($A$5) ,OtrosR!$C$3:$C66,$A64,OtrosR!$B$3:$B66,BG$1))</f>
        <v>#VALUE!</v>
      </c>
      <c r="BI64" s="95" t="str">
        <f t="shared" si="609"/>
        <v/>
      </c>
      <c r="BJ64" s="96" t="str">
        <f t="array" ref="BJ64">SUM(SUMIFS(INDIRECT($A$3) ,OtrosR!$C$3:$C66,$A64,OtrosR!$B$3:$B66,BJ$1))</f>
        <v>#VALUE!</v>
      </c>
      <c r="BK64" s="16" t="str">
        <f t="array" ref="BK64">SUM(SUMIFS(INDIRECT($A$5) ,OtrosR!$C$3:$C66,$A64,OtrosR!$B$3:$B66,BJ$1))</f>
        <v>#VALUE!</v>
      </c>
      <c r="BL64" s="98" t="str">
        <f t="shared" si="610"/>
        <v/>
      </c>
      <c r="BM64" s="93" t="str">
        <f t="array" ref="BM64">SUM(SUMIFS(INDIRECT($A$3) ,OtrosR!$C$3:$C66,$A64,OtrosR!$B$3:$B66,BM$1))</f>
        <v>#VALUE!</v>
      </c>
      <c r="BN64" s="17" t="str">
        <f t="array" ref="BN64">SUM(SUMIFS(INDIRECT($A$5) ,OtrosR!$C$3:$C66,$A64,OtrosR!$B$3:$B66,BM$1))</f>
        <v>#VALUE!</v>
      </c>
      <c r="BO64" s="95" t="str">
        <f t="shared" si="611"/>
        <v/>
      </c>
      <c r="BP64" s="96" t="str">
        <f t="array" ref="BP64">SUM(SUMIFS(INDIRECT($A$3) ,OtrosR!$C$3:$C66,$A64,OtrosR!$B$3:$B66,BP$1))</f>
        <v>#VALUE!</v>
      </c>
      <c r="BQ64" s="16" t="str">
        <f t="array" ref="BQ64">SUM(SUMIFS(INDIRECT($A$5) ,OtrosR!$C$3:$C66,$A64,OtrosR!$B$3:$B66,BP$1))</f>
        <v>#VALUE!</v>
      </c>
      <c r="BR64" s="98" t="str">
        <f t="shared" si="612"/>
        <v/>
      </c>
      <c r="BS64" s="93" t="str">
        <f t="array" ref="BS64">SUM(SUMIFS(INDIRECT($A$3) ,OtrosR!$C$3:$C66,$A64,OtrosR!$B$3:$B66,BS$1))</f>
        <v>#VALUE!</v>
      </c>
      <c r="BT64" s="17" t="str">
        <f t="array" ref="BT64">SUM(SUMIFS(INDIRECT($A$5) ,OtrosR!$C$3:$C66,$A64,OtrosR!$B$3:$B66,BS$1))</f>
        <v>#VALUE!</v>
      </c>
      <c r="BU64" s="95" t="str">
        <f t="shared" si="613"/>
        <v/>
      </c>
      <c r="BV64" s="96" t="str">
        <f t="array" ref="BV64">SUM(SUMIFS(INDIRECT($A$3) ,OtrosR!$C$3:$C66,$A64,OtrosR!$B$3:$B66,BV$1))</f>
        <v>#VALUE!</v>
      </c>
      <c r="BW64" s="16" t="str">
        <f t="array" ref="BW64">SUM(SUMIFS(INDIRECT($A$5) ,OtrosR!$C$3:$C66,$A64,OtrosR!$B$3:$B66,BV$1))</f>
        <v>#VALUE!</v>
      </c>
      <c r="BX64" s="98" t="str">
        <f t="shared" si="614"/>
        <v/>
      </c>
      <c r="BY64" s="93" t="str">
        <f t="array" ref="BY64">SUM(SUMIFS(INDIRECT($A$3) ,OtrosR!$C$3:$C66,$A64,OtrosR!$B$3:$B66,BY$1))</f>
        <v>#VALUE!</v>
      </c>
      <c r="BZ64" s="17" t="str">
        <f t="array" ref="BZ64">SUM(SUMIFS(INDIRECT($A$5) ,OtrosR!$C$3:$C66,$A64,OtrosR!$B$3:$B66,BY$1))</f>
        <v>#VALUE!</v>
      </c>
      <c r="CA64" s="95" t="str">
        <f t="shared" si="615"/>
        <v/>
      </c>
      <c r="CB64" s="96" t="str">
        <f t="array" ref="CB64">SUM(SUMIFS(INDIRECT($A$3) ,OtrosR!$C$3:$C66,$A64,OtrosR!$B$3:$B66,CB$1))</f>
        <v>#VALUE!</v>
      </c>
      <c r="CC64" s="16" t="str">
        <f t="array" ref="CC64">SUM(SUMIFS(INDIRECT($A$5) ,OtrosR!$C$3:$C66,$A64,OtrosR!$B$3:$B66,CB$1))</f>
        <v>#VALUE!</v>
      </c>
      <c r="CD64" s="98" t="str">
        <f t="shared" si="616"/>
        <v/>
      </c>
      <c r="CE64" s="93" t="str">
        <f t="array" ref="CE64">SUM(SUMIFS(INDIRECT($A$3) ,OtrosR!$C$3:$C66,$A64,OtrosR!$B$3:$B66,CE$1))</f>
        <v>#VALUE!</v>
      </c>
      <c r="CF64" s="17" t="str">
        <f t="array" ref="CF64">SUM(SUMIFS(INDIRECT($A$5) ,OtrosR!$C$3:$C66,$A64,OtrosR!$B$3:$B66,CE$1))</f>
        <v>#VALUE!</v>
      </c>
      <c r="CG64" s="95" t="str">
        <f t="shared" si="617"/>
        <v/>
      </c>
      <c r="CH64" s="96" t="str">
        <f t="array" ref="CH64">SUM(SUMIFS(INDIRECT($A$3) ,OtrosR!$C$3:$C66,$A64,OtrosR!$B$3:$B66,CH$1))</f>
        <v>#VALUE!</v>
      </c>
      <c r="CI64" s="16" t="str">
        <f t="array" ref="CI64">SUM(SUMIFS(INDIRECT($A$5) ,OtrosR!$C$3:$C66,$A64,OtrosR!$B$3:$B66,CH$1))</f>
        <v>#VALUE!</v>
      </c>
      <c r="CJ64" s="98" t="str">
        <f t="shared" si="618"/>
        <v/>
      </c>
      <c r="CK64" s="93" t="str">
        <f t="array" ref="CK64">SUM(SUMIFS(INDIRECT($A$3) ,OtrosR!$C$3:$C66,$A64,OtrosR!$B$3:$B66,CK$1))</f>
        <v>#VALUE!</v>
      </c>
      <c r="CL64" s="17" t="str">
        <f t="array" ref="CL64">SUM(SUMIFS(INDIRECT($A$5) ,OtrosR!$C$3:$C66,$A64,OtrosR!$B$3:$B66,CK$1))</f>
        <v>#VALUE!</v>
      </c>
      <c r="CM64" s="95" t="str">
        <f t="shared" si="619"/>
        <v/>
      </c>
      <c r="CN64" s="96" t="str">
        <f t="array" ref="CN64">SUM(SUMIFS(INDIRECT($A$3) ,OtrosR!$C$3:$C66,$A64,OtrosR!$B$3:$B66,CN$1))</f>
        <v>#VALUE!</v>
      </c>
      <c r="CO64" s="16" t="str">
        <f t="array" ref="CO64">SUM(SUMIFS(INDIRECT($A$5) ,OtrosR!$C$3:$C66,$A64,OtrosR!$B$3:$B66,CN$1))</f>
        <v>#VALUE!</v>
      </c>
      <c r="CP64" s="98" t="str">
        <f t="shared" si="620"/>
        <v/>
      </c>
      <c r="CQ64" s="93" t="str">
        <f t="array" ref="CQ64">SUM(SUMIFS(INDIRECT($A$3) ,OtrosR!$C$3:$C66,$A64,OtrosR!$B$3:$B66,CQ$1))</f>
        <v>#VALUE!</v>
      </c>
      <c r="CR64" s="17" t="str">
        <f t="array" ref="CR64">SUM(SUMIFS(INDIRECT($A$5) ,OtrosR!$C$3:$C66,$A64,OtrosR!$B$3:$B66,CQ$1))</f>
        <v>#VALUE!</v>
      </c>
      <c r="CS64" s="95" t="str">
        <f t="shared" si="621"/>
        <v/>
      </c>
      <c r="CT64" s="96" t="str">
        <f t="array" ref="CT64">SUM(SUMIFS(INDIRECT($A$3) ,OtrosR!$C$3:$C66,$A64,OtrosR!$B$3:$B66,CT$1))</f>
        <v>#VALUE!</v>
      </c>
      <c r="CU64" s="16" t="str">
        <f t="array" ref="CU64">SUM(SUMIFS(INDIRECT($A$5) ,OtrosR!$C$3:$C66,$A64,OtrosR!$B$3:$B66,CT$1))</f>
        <v>#VALUE!</v>
      </c>
      <c r="CV64" s="98" t="str">
        <f t="shared" si="622"/>
        <v/>
      </c>
      <c r="CW64" s="93" t="str">
        <f t="array" ref="CW64">SUM(SUMIFS(INDIRECT($A$3) ,OtrosR!$C$3:$C66,$A64,OtrosR!$B$3:$B66,CW$1))</f>
        <v>#VALUE!</v>
      </c>
      <c r="CX64" s="17" t="str">
        <f t="array" ref="CX64">SUM(SUMIFS(INDIRECT($A$5) ,OtrosR!$C$3:$C66,$A64,OtrosR!$B$3:$B66,CW$1))</f>
        <v>#VALUE!</v>
      </c>
      <c r="CY64" s="95" t="str">
        <f t="shared" si="623"/>
        <v/>
      </c>
      <c r="CZ64" s="96" t="str">
        <f t="array" ref="CZ64">SUM(SUMIFS(INDIRECT($A$3) ,OtrosR!$C$3:$C66,$A64,OtrosR!$B$3:$B66,CZ$1))</f>
        <v>#VALUE!</v>
      </c>
      <c r="DA64" s="16" t="str">
        <f t="array" ref="DA64">SUM(SUMIFS(INDIRECT($A$5) ,OtrosR!$C$3:$C66,$A64,OtrosR!$B$3:$B66,CZ$1))</f>
        <v>#VALUE!</v>
      </c>
      <c r="DB64" s="98" t="str">
        <f t="shared" si="624"/>
        <v/>
      </c>
      <c r="DC64" s="93" t="str">
        <f t="array" ref="DC64">SUM(SUMIFS(INDIRECT($A$3) ,OtrosR!$C$3:$C66,$A64,OtrosR!$B$3:$B66,DC$1))</f>
        <v>#VALUE!</v>
      </c>
      <c r="DD64" s="17" t="str">
        <f t="array" ref="DD64">SUM(SUMIFS(INDIRECT($A$5) ,OtrosR!$C$3:$C66,$A64,OtrosR!$B$3:$B66,DC$1))</f>
        <v>#VALUE!</v>
      </c>
      <c r="DE64" s="95" t="str">
        <f t="shared" si="625"/>
        <v/>
      </c>
      <c r="DF64" s="96" t="str">
        <f t="array" ref="DF64">SUM(SUMIFS(INDIRECT($A$3) ,OtrosR!$C$3:$C66,$A64,OtrosR!$B$3:$B66,DF$1))</f>
        <v>#VALUE!</v>
      </c>
      <c r="DG64" s="16" t="str">
        <f t="array" ref="DG64">SUM(SUMIFS(INDIRECT($A$5) ,OtrosR!$C$3:$C66,$A64,OtrosR!$B$3:$B66,DF$1))</f>
        <v>#VALUE!</v>
      </c>
      <c r="DH64" s="98" t="str">
        <f t="shared" si="626"/>
        <v/>
      </c>
      <c r="DI64" s="93" t="str">
        <f t="array" ref="DI64">SUM(SUMIFS(INDIRECT($A$3) ,OtrosR!$C$3:$C66,$A64,OtrosR!$B$3:$B66,DI$1))</f>
        <v>#VALUE!</v>
      </c>
      <c r="DJ64" s="17" t="str">
        <f t="array" ref="DJ64">SUM(SUMIFS(INDIRECT($A$5) ,OtrosR!$C$3:$C66,$A64,OtrosR!$B$3:$B66,DI$1))</f>
        <v>#VALUE!</v>
      </c>
      <c r="DK64" s="95" t="str">
        <f t="shared" si="627"/>
        <v/>
      </c>
      <c r="DL64" s="96" t="str">
        <f t="array" ref="DL64">SUM(SUMIFS(INDIRECT($A$3) ,OtrosR!$C$3:$C66,$A64,OtrosR!$B$3:$B66,DL$1))</f>
        <v>#VALUE!</v>
      </c>
      <c r="DM64" s="16" t="str">
        <f t="array" ref="DM64">SUM(SUMIFS(INDIRECT($A$5) ,OtrosR!$C$3:$C66,$A64,OtrosR!$B$3:$B66,DL$1))</f>
        <v>#VALUE!</v>
      </c>
      <c r="DN64" s="98" t="str">
        <f t="shared" si="628"/>
        <v/>
      </c>
      <c r="DO64" s="93" t="str">
        <f t="array" ref="DO64">SUM(SUMIFS(INDIRECT($A$3) ,OtrosR!$C$3:$C66,$A64,OtrosR!$B$3:$B66,DO$1))</f>
        <v>#VALUE!</v>
      </c>
      <c r="DP64" s="17" t="str">
        <f t="array" ref="DP64">SUM(SUMIFS(INDIRECT($A$5) ,OtrosR!$C$3:$C66,$A64,OtrosR!$B$3:$B66,DO$1))</f>
        <v>#VALUE!</v>
      </c>
      <c r="DQ64" s="95" t="str">
        <f t="shared" si="629"/>
        <v/>
      </c>
      <c r="DR64" s="96" t="str">
        <f t="array" ref="DR64">SUM(SUMIFS(INDIRECT($A$3) ,OtrosR!$C$3:$C66,$A64,OtrosR!$B$3:$B66,DR$1))</f>
        <v>#VALUE!</v>
      </c>
      <c r="DS64" s="16" t="str">
        <f t="array" ref="DS64">SUM(SUMIFS(INDIRECT($A$5) ,OtrosR!$C$3:$C66,$A64,OtrosR!$B$3:$B66,DR$1))</f>
        <v>#VALUE!</v>
      </c>
      <c r="DT64" s="98" t="str">
        <f t="shared" si="630"/>
        <v/>
      </c>
      <c r="DU64" s="93" t="str">
        <f t="array" ref="DU64">SUM(SUMIFS(INDIRECT($A$3) ,OtrosR!$C$3:$C66,$A64,OtrosR!$B$3:$B66,DU$1))</f>
        <v>#VALUE!</v>
      </c>
      <c r="DV64" s="17" t="str">
        <f t="array" ref="DV64">SUM(SUMIFS(INDIRECT($A$5) ,OtrosR!$C$3:$C66,$A64,OtrosR!$B$3:$B66,DU$1))</f>
        <v>#VALUE!</v>
      </c>
      <c r="DW64" s="95" t="str">
        <f t="shared" si="631"/>
        <v/>
      </c>
      <c r="DX64" s="96" t="str">
        <f t="array" ref="DX64">SUM(SUMIFS(INDIRECT($A$3) ,OtrosR!$C$3:$C66,$A64,OtrosR!$B$3:$B66,DX$1))</f>
        <v>#VALUE!</v>
      </c>
      <c r="DY64" s="16" t="str">
        <f t="array" ref="DY64">SUM(SUMIFS(INDIRECT($A$5) ,OtrosR!$C$3:$C66,$A64,OtrosR!$B$3:$B66,DX$1))</f>
        <v>#VALUE!</v>
      </c>
      <c r="DZ64" s="98" t="str">
        <f t="shared" si="632"/>
        <v/>
      </c>
      <c r="EA64" s="93" t="str">
        <f t="array" ref="EA64">SUM(SUMIFS(INDIRECT($A$3) ,OtrosR!$C$3:$C66,$A64,OtrosR!$B$3:$B66,EA$1))</f>
        <v>#VALUE!</v>
      </c>
      <c r="EB64" s="17" t="str">
        <f t="array" ref="EB64">SUM(SUMIFS(INDIRECT($A$5) ,OtrosR!$C$3:$C66,$A64,OtrosR!$B$3:$B66,EA$1))</f>
        <v>#VALUE!</v>
      </c>
      <c r="EC64" s="95" t="str">
        <f t="shared" si="633"/>
        <v/>
      </c>
      <c r="ED64" s="96" t="str">
        <f t="array" ref="ED64">SUM(SUMIFS(INDIRECT($A$3) ,OtrosR!$C$3:$C66,$A64,OtrosR!$B$3:$B66,ED$1))</f>
        <v>#VALUE!</v>
      </c>
      <c r="EE64" s="16" t="str">
        <f t="array" ref="EE64">SUM(SUMIFS(INDIRECT($A$5) ,OtrosR!$C$3:$C66,$A64,OtrosR!$B$3:$B66,ED$1))</f>
        <v>#VALUE!</v>
      </c>
      <c r="EF64" s="98" t="str">
        <f t="shared" si="634"/>
        <v/>
      </c>
      <c r="EG64" s="93" t="str">
        <f t="array" ref="EG64">SUM(SUMIFS(INDIRECT($A$3) ,OtrosR!$C$3:$C66,$A64,OtrosR!$B$3:$B66,EG$1))</f>
        <v>#VALUE!</v>
      </c>
      <c r="EH64" s="17" t="str">
        <f t="array" ref="EH64">SUM(SUMIFS(INDIRECT($A$5) ,OtrosR!$C$3:$C66,$A64,OtrosR!$B$3:$B66,EG$1))</f>
        <v>#VALUE!</v>
      </c>
      <c r="EI64" s="95" t="str">
        <f t="shared" si="635"/>
        <v/>
      </c>
      <c r="EJ64" s="96" t="str">
        <f t="array" ref="EJ64">SUM(SUMIFS(INDIRECT($A$3) ,OtrosR!$C$3:$C66,$A64,OtrosR!$B$3:$B66,EJ$1))</f>
        <v>#VALUE!</v>
      </c>
      <c r="EK64" s="16" t="str">
        <f t="array" ref="EK64">SUM(SUMIFS(INDIRECT($A$5) ,OtrosR!$C$3:$C66,$A64,OtrosR!$B$3:$B66,EJ$1))</f>
        <v>#VALUE!</v>
      </c>
      <c r="EL64" s="98" t="str">
        <f t="shared" si="636"/>
        <v/>
      </c>
      <c r="EM64" s="93" t="str">
        <f t="array" ref="EM64">SUM(SUMIFS(INDIRECT($A$3) ,OtrosR!$C$3:$C66,$A64,OtrosR!$B$3:$B66,EM$1))</f>
        <v>#VALUE!</v>
      </c>
      <c r="EN64" s="17" t="str">
        <f t="array" ref="EN64">SUM(SUMIFS(INDIRECT($A$5) ,OtrosR!$C$3:$C66,$A64,OtrosR!$B$3:$B66,EM$1))</f>
        <v>#VALUE!</v>
      </c>
      <c r="EO64" s="95" t="str">
        <f t="shared" si="637"/>
        <v/>
      </c>
      <c r="EP64" s="96" t="str">
        <f t="array" ref="EP64">SUM(SUMIFS(INDIRECT($A$3) ,OtrosR!$C$3:$C66,$A64,OtrosR!$B$3:$B66,EP$1))</f>
        <v>#VALUE!</v>
      </c>
      <c r="EQ64" s="16" t="str">
        <f t="array" ref="EQ64">SUM(SUMIFS(INDIRECT($A$5) ,OtrosR!$C$3:$C66,$A64,OtrosR!$B$3:$B66,EP$1))</f>
        <v>#VALUE!</v>
      </c>
      <c r="ER64" s="98" t="str">
        <f t="shared" si="638"/>
        <v/>
      </c>
      <c r="ES64" s="93" t="str">
        <f t="array" ref="ES64">SUM(SUMIFS(INDIRECT($A$3) ,OtrosR!$C$3:$C66,$A64,OtrosR!$B$3:$B66,ES$1))</f>
        <v>#VALUE!</v>
      </c>
      <c r="ET64" s="17" t="str">
        <f t="array" ref="ET64">SUM(SUMIFS(INDIRECT($A$5) ,OtrosR!$C$3:$C66,$A64,OtrosR!$B$3:$B66,ES$1))</f>
        <v>#VALUE!</v>
      </c>
      <c r="EU64" s="95" t="str">
        <f t="shared" si="639"/>
        <v/>
      </c>
      <c r="EV64" s="96" t="str">
        <f t="array" ref="EV64">SUM(SUMIFS(INDIRECT($A$3) ,OtrosR!$C$3:$C66,$A64,OtrosR!$B$3:$B66,EV$1))</f>
        <v>#VALUE!</v>
      </c>
      <c r="EW64" s="16" t="str">
        <f t="array" ref="EW64">SUM(SUMIFS(INDIRECT($A$5) ,OtrosR!$C$3:$C66,$A64,OtrosR!$B$3:$B66,EV$1))</f>
        <v>#VALUE!</v>
      </c>
      <c r="EX64" s="98" t="str">
        <f t="shared" si="640"/>
        <v/>
      </c>
      <c r="EY64" s="93" t="str">
        <f t="array" ref="EY64">SUM(SUMIFS(INDIRECT($A$3) ,OtrosR!$C$3:$C66,$A64,OtrosR!$B$3:$B66,EY$1))</f>
        <v>#VALUE!</v>
      </c>
      <c r="EZ64" s="17" t="str">
        <f t="array" ref="EZ64">SUM(SUMIFS(INDIRECT($A$5) ,OtrosR!$C$3:$C66,$A64,OtrosR!$B$3:$B66,EY$1))</f>
        <v>#VALUE!</v>
      </c>
      <c r="FA64" s="95" t="str">
        <f t="shared" si="641"/>
        <v/>
      </c>
      <c r="FB64" s="96" t="str">
        <f t="array" ref="FB64">SUM(SUMIFS(INDIRECT($A$3) ,OtrosR!$C$3:$C66,$A64,OtrosR!$B$3:$B66,FB$1))</f>
        <v>#VALUE!</v>
      </c>
      <c r="FC64" s="16" t="str">
        <f t="array" ref="FC64">SUM(SUMIFS(INDIRECT($A$5) ,OtrosR!$C$3:$C66,$A64,OtrosR!$B$3:$B66,FB$1))</f>
        <v>#VALUE!</v>
      </c>
      <c r="FD64" s="98" t="str">
        <f t="shared" si="642"/>
        <v/>
      </c>
      <c r="FE64" s="93" t="str">
        <f t="array" ref="FE64">SUM(SUMIFS(INDIRECT($A$3) ,OtrosR!$C$3:$C66,$A64,OtrosR!$B$3:$B66,FE$1))</f>
        <v>#VALUE!</v>
      </c>
      <c r="FF64" s="17" t="str">
        <f t="array" ref="FF64">SUM(SUMIFS(INDIRECT($A$5) ,OtrosR!$C$3:$C66,$A64,OtrosR!$B$3:$B66,FE$1))</f>
        <v>#VALUE!</v>
      </c>
      <c r="FG64" s="95" t="str">
        <f t="shared" si="643"/>
        <v/>
      </c>
      <c r="FH64" s="96" t="str">
        <f t="array" ref="FH64">SUM(SUMIFS(INDIRECT($A$3) ,OtrosR!$C$3:$C66,$A64,OtrosR!$B$3:$B66,FH$1))</f>
        <v>#VALUE!</v>
      </c>
      <c r="FI64" s="16" t="str">
        <f t="array" ref="FI64">SUM(SUMIFS(INDIRECT($A$5) ,OtrosR!$C$3:$C66,$A64,OtrosR!$B$3:$B66,FH$1))</f>
        <v>#VALUE!</v>
      </c>
      <c r="FJ64" s="98" t="str">
        <f t="shared" si="644"/>
        <v/>
      </c>
    </row>
    <row r="65" ht="15.75" hidden="1" customHeight="1">
      <c r="A65" s="5" t="str">
        <f>Menus!Q10</f>
        <v/>
      </c>
      <c r="B65" s="16" t="str">
        <f t="shared" si="590"/>
        <v>#VALUE!</v>
      </c>
      <c r="C65" s="16" t="str">
        <f t="shared" si="591"/>
        <v>#VALUE!</v>
      </c>
      <c r="D65" s="16" t="str">
        <f t="shared" si="645"/>
        <v>#VALUE!</v>
      </c>
      <c r="E65" s="109" t="str">
        <f t="array" ref="E65">SUM(SUMIFS(INDIRECT($A$3) ,OtrosR!$C$3:$C66,$A65,OtrosR!$B$3:$B66,E$1))</f>
        <v>#VALUE!</v>
      </c>
      <c r="F65" s="15" t="str">
        <f t="array" ref="F65">SUM(SUMIFS(INDIRECT($A$5) ,OtrosR!$C$3:$C66,$A65,OtrosR!$B$3:$B66,E$1))</f>
        <v>#VALUE!</v>
      </c>
      <c r="G65" s="89" t="str">
        <f t="shared" si="646"/>
        <v/>
      </c>
      <c r="H65" s="90" t="str">
        <f t="array" ref="H65">SUM(SUMIFS(INDIRECT($A$3) ,OtrosR!$C$3:$C66,$A65,OtrosR!$B$3:$B66,H$1))</f>
        <v>#VALUE!</v>
      </c>
      <c r="I65" s="55" t="str">
        <f t="array" ref="I65">SUM(SUMIFS(INDIRECT($A$5) ,OtrosR!$C$3:$C66,$A65,OtrosR!$B$3:$B66,H$1))</f>
        <v>#VALUE!</v>
      </c>
      <c r="J65" s="92" t="str">
        <f t="shared" si="592"/>
        <v/>
      </c>
      <c r="K65" s="93" t="str">
        <f t="array" ref="K65">SUM(SUMIFS(INDIRECT($A$3) ,OtrosR!$C$3:$C66,$A65,OtrosR!$B$3:$B66,K$1))</f>
        <v>#VALUE!</v>
      </c>
      <c r="L65" s="17" t="str">
        <f t="array" ref="L65">SUM(SUMIFS(INDIRECT($A$5) ,OtrosR!$C$3:$C66,$A65,OtrosR!$B$3:$B66,K$1))</f>
        <v>#VALUE!</v>
      </c>
      <c r="M65" s="95" t="str">
        <f t="shared" si="593"/>
        <v/>
      </c>
      <c r="N65" s="96" t="str">
        <f t="array" ref="N65">SUM(SUMIFS(INDIRECT($A$3) ,OtrosR!$C$3:$C66,$A65,OtrosR!$B$3:$B66,N$1))</f>
        <v>#VALUE!</v>
      </c>
      <c r="O65" s="16" t="str">
        <f t="array" ref="O65">SUM(SUMIFS(INDIRECT($A$5) ,OtrosR!$C$3:$C66,$A65,OtrosR!$B$3:$B66,N$1))</f>
        <v>#VALUE!</v>
      </c>
      <c r="P65" s="98" t="str">
        <f t="shared" si="594"/>
        <v/>
      </c>
      <c r="Q65" s="93" t="str">
        <f t="array" ref="Q65">SUM(SUMIFS(INDIRECT($A$3) ,OtrosR!$C$3:$C66,$A65,OtrosR!$B$3:$B66,Q$1))</f>
        <v>#VALUE!</v>
      </c>
      <c r="R65" s="17" t="str">
        <f t="array" ref="R65">SUM(SUMIFS(INDIRECT($A$5) ,OtrosR!$C$3:$C66,$A65,OtrosR!$B$3:$B66,Q$1))</f>
        <v>#VALUE!</v>
      </c>
      <c r="S65" s="95" t="str">
        <f t="shared" si="595"/>
        <v/>
      </c>
      <c r="T65" s="96" t="str">
        <f t="array" ref="T65">SUM(SUMIFS(INDIRECT($A$3) ,OtrosR!$C$3:$C66,$A65,OtrosR!$B$3:$B66,T$1))</f>
        <v>#VALUE!</v>
      </c>
      <c r="U65" s="16" t="str">
        <f t="array" ref="U65">SUM(SUMIFS(INDIRECT($A$5) ,OtrosR!$C$3:$C66,$A65,OtrosR!$B$3:$B66,T$1))</f>
        <v>#VALUE!</v>
      </c>
      <c r="V65" s="98" t="str">
        <f t="shared" si="596"/>
        <v/>
      </c>
      <c r="W65" s="93" t="str">
        <f t="array" ref="W65">SUM(SUMIFS(INDIRECT($A$3) ,OtrosR!$C$3:$C66,$A65,OtrosR!$B$3:$B66,W$1))</f>
        <v>#VALUE!</v>
      </c>
      <c r="X65" s="17" t="str">
        <f t="array" ref="X65">SUM(SUMIFS(INDIRECT($A$5) ,OtrosR!$C$3:$C66,$A65,OtrosR!$B$3:$B66,W$1))</f>
        <v>#VALUE!</v>
      </c>
      <c r="Y65" s="95" t="str">
        <f t="shared" si="597"/>
        <v/>
      </c>
      <c r="Z65" s="96" t="str">
        <f t="array" ref="Z65">SUM(SUMIFS(INDIRECT($A$3) ,OtrosR!$C$3:$C66,$A65,OtrosR!$B$3:$B66,Z$1))</f>
        <v>#VALUE!</v>
      </c>
      <c r="AA65" s="16" t="str">
        <f t="array" ref="AA65">SUM(SUMIFS(INDIRECT($A$5) ,OtrosR!$C$3:$C66,$A65,OtrosR!$B$3:$B66,Z$1))</f>
        <v>#VALUE!</v>
      </c>
      <c r="AB65" s="98" t="str">
        <f t="shared" si="598"/>
        <v/>
      </c>
      <c r="AC65" s="93" t="str">
        <f t="array" ref="AC65">SUM(SUMIFS(INDIRECT($A$3) ,OtrosR!$C$3:$C66,$A65,OtrosR!$B$3:$B66,AC$1))</f>
        <v>#VALUE!</v>
      </c>
      <c r="AD65" s="17" t="str">
        <f t="array" ref="AD65">SUM(SUMIFS(INDIRECT($A$5) ,OtrosR!$C$3:$C66,$A65,OtrosR!$B$3:$B66,AC$1))</f>
        <v>#VALUE!</v>
      </c>
      <c r="AE65" s="95" t="str">
        <f t="shared" si="599"/>
        <v/>
      </c>
      <c r="AF65" s="96" t="str">
        <f t="array" ref="AF65">SUM(SUMIFS(INDIRECT($A$3) ,OtrosR!$C$3:$C66,$A65,OtrosR!$B$3:$B66,AF$1))</f>
        <v>#VALUE!</v>
      </c>
      <c r="AG65" s="16" t="str">
        <f t="array" ref="AG65">SUM(SUMIFS(INDIRECT($A$5) ,OtrosR!$C$3:$C66,$A65,OtrosR!$B$3:$B66,AF$1))</f>
        <v>#VALUE!</v>
      </c>
      <c r="AH65" s="98" t="str">
        <f t="shared" si="600"/>
        <v/>
      </c>
      <c r="AI65" s="93" t="str">
        <f t="array" ref="AI65">SUM(SUMIFS(INDIRECT($A$3) ,OtrosR!$C$3:$C66,$A65,OtrosR!$B$3:$B66,AI$1))</f>
        <v>#VALUE!</v>
      </c>
      <c r="AJ65" s="17" t="str">
        <f t="array" ref="AJ65">SUM(SUMIFS(INDIRECT($A$5) ,OtrosR!$C$3:$C66,$A65,OtrosR!$B$3:$B66,AI$1))</f>
        <v>#VALUE!</v>
      </c>
      <c r="AK65" s="95" t="str">
        <f t="shared" si="601"/>
        <v/>
      </c>
      <c r="AL65" s="96" t="str">
        <f t="array" ref="AL65">SUM(SUMIFS(INDIRECT($A$3) ,OtrosR!$C$3:$C66,$A65,OtrosR!$B$3:$B66,AL$1))</f>
        <v>#VALUE!</v>
      </c>
      <c r="AM65" s="16" t="str">
        <f t="array" ref="AM65">SUM(SUMIFS(INDIRECT($A$5) ,OtrosR!$C$3:$C66,$A65,OtrosR!$B$3:$B66,AL$1))</f>
        <v>#VALUE!</v>
      </c>
      <c r="AN65" s="98" t="str">
        <f t="shared" si="602"/>
        <v/>
      </c>
      <c r="AO65" s="93" t="str">
        <f t="array" ref="AO65">SUM(SUMIFS(INDIRECT($A$3) ,OtrosR!$C$3:$C66,$A65,OtrosR!$B$3:$B66,AO$1))</f>
        <v>#VALUE!</v>
      </c>
      <c r="AP65" s="17" t="str">
        <f t="array" ref="AP65">SUM(SUMIFS(INDIRECT($A$5) ,OtrosR!$C$3:$C66,$A65,OtrosR!$B$3:$B66,AO$1))</f>
        <v>#VALUE!</v>
      </c>
      <c r="AQ65" s="95" t="str">
        <f t="shared" si="603"/>
        <v/>
      </c>
      <c r="AR65" s="96" t="str">
        <f t="array" ref="AR65">SUM(SUMIFS(INDIRECT($A$3) ,OtrosR!$C$3:$C66,$A65,OtrosR!$B$3:$B66,AR$1))</f>
        <v>#VALUE!</v>
      </c>
      <c r="AS65" s="16" t="str">
        <f t="array" ref="AS65">SUM(SUMIFS(INDIRECT($A$5) ,OtrosR!$C$3:$C66,$A65,OtrosR!$B$3:$B66,AR$1))</f>
        <v>#VALUE!</v>
      </c>
      <c r="AT65" s="98" t="str">
        <f t="shared" si="604"/>
        <v/>
      </c>
      <c r="AU65" s="93" t="str">
        <f t="array" ref="AU65">SUM(SUMIFS(INDIRECT($A$3) ,OtrosR!$C$3:$C66,$A65,OtrosR!$B$3:$B66,AU$1))</f>
        <v>#VALUE!</v>
      </c>
      <c r="AV65" s="17" t="str">
        <f t="array" ref="AV65">SUM(SUMIFS(INDIRECT($A$5) ,OtrosR!$C$3:$C66,$A65,OtrosR!$B$3:$B66,AU$1))</f>
        <v>#VALUE!</v>
      </c>
      <c r="AW65" s="95" t="str">
        <f t="shared" si="605"/>
        <v/>
      </c>
      <c r="AX65" s="96" t="str">
        <f t="array" ref="AX65">SUM(SUMIFS(INDIRECT($A$3) ,OtrosR!$C$3:$C66,$A65,OtrosR!$B$3:$B66,AX$1))</f>
        <v>#VALUE!</v>
      </c>
      <c r="AY65" s="16" t="str">
        <f t="array" ref="AY65">SUM(SUMIFS(INDIRECT($A$5) ,OtrosR!$C$3:$C66,$A65,OtrosR!$B$3:$B66,AX$1))</f>
        <v>#VALUE!</v>
      </c>
      <c r="AZ65" s="98" t="str">
        <f t="shared" si="606"/>
        <v/>
      </c>
      <c r="BA65" s="93" t="str">
        <f t="array" ref="BA65">SUM(SUMIFS(INDIRECT($A$3) ,OtrosR!$C$3:$C66,$A65,OtrosR!$B$3:$B66,BA$1))</f>
        <v>#VALUE!</v>
      </c>
      <c r="BB65" s="17" t="str">
        <f t="array" ref="BB65">SUM(SUMIFS(INDIRECT($A$5) ,OtrosR!$C$3:$C66,$A65,OtrosR!$B$3:$B66,BA$1))</f>
        <v>#VALUE!</v>
      </c>
      <c r="BC65" s="95" t="str">
        <f t="shared" si="607"/>
        <v/>
      </c>
      <c r="BD65" s="96" t="str">
        <f t="array" ref="BD65">SUM(SUMIFS(INDIRECT($A$3) ,OtrosR!$C$3:$C66,$A65,OtrosR!$B$3:$B66,BD$1))</f>
        <v>#VALUE!</v>
      </c>
      <c r="BE65" s="16" t="str">
        <f t="array" ref="BE65">SUM(SUMIFS(INDIRECT($A$5) ,OtrosR!$C$3:$C66,$A65,OtrosR!$B$3:$B66,BD$1))</f>
        <v>#VALUE!</v>
      </c>
      <c r="BF65" s="98" t="str">
        <f t="shared" si="608"/>
        <v/>
      </c>
      <c r="BG65" s="93" t="str">
        <f t="array" ref="BG65">SUM(SUMIFS(INDIRECT($A$3) ,OtrosR!$C$3:$C66,$A65,OtrosR!$B$3:$B66,BG$1))</f>
        <v>#VALUE!</v>
      </c>
      <c r="BH65" s="17" t="str">
        <f t="array" ref="BH65">SUM(SUMIFS(INDIRECT($A$5) ,OtrosR!$C$3:$C66,$A65,OtrosR!$B$3:$B66,BG$1))</f>
        <v>#VALUE!</v>
      </c>
      <c r="BI65" s="95" t="str">
        <f t="shared" si="609"/>
        <v/>
      </c>
      <c r="BJ65" s="96" t="str">
        <f t="array" ref="BJ65">SUM(SUMIFS(INDIRECT($A$3) ,OtrosR!$C$3:$C66,$A65,OtrosR!$B$3:$B66,BJ$1))</f>
        <v>#VALUE!</v>
      </c>
      <c r="BK65" s="16" t="str">
        <f t="array" ref="BK65">SUM(SUMIFS(INDIRECT($A$5) ,OtrosR!$C$3:$C66,$A65,OtrosR!$B$3:$B66,BJ$1))</f>
        <v>#VALUE!</v>
      </c>
      <c r="BL65" s="98" t="str">
        <f t="shared" si="610"/>
        <v/>
      </c>
      <c r="BM65" s="93" t="str">
        <f t="array" ref="BM65">SUM(SUMIFS(INDIRECT($A$3) ,OtrosR!$C$3:$C66,$A65,OtrosR!$B$3:$B66,BM$1))</f>
        <v>#VALUE!</v>
      </c>
      <c r="BN65" s="17" t="str">
        <f t="array" ref="BN65">SUM(SUMIFS(INDIRECT($A$5) ,OtrosR!$C$3:$C66,$A65,OtrosR!$B$3:$B66,BM$1))</f>
        <v>#VALUE!</v>
      </c>
      <c r="BO65" s="95" t="str">
        <f t="shared" si="611"/>
        <v/>
      </c>
      <c r="BP65" s="96" t="str">
        <f t="array" ref="BP65">SUM(SUMIFS(INDIRECT($A$3) ,OtrosR!$C$3:$C66,$A65,OtrosR!$B$3:$B66,BP$1))</f>
        <v>#VALUE!</v>
      </c>
      <c r="BQ65" s="16" t="str">
        <f t="array" ref="BQ65">SUM(SUMIFS(INDIRECT($A$5) ,OtrosR!$C$3:$C66,$A65,OtrosR!$B$3:$B66,BP$1))</f>
        <v>#VALUE!</v>
      </c>
      <c r="BR65" s="98" t="str">
        <f t="shared" si="612"/>
        <v/>
      </c>
      <c r="BS65" s="93" t="str">
        <f t="array" ref="BS65">SUM(SUMIFS(INDIRECT($A$3) ,OtrosR!$C$3:$C66,$A65,OtrosR!$B$3:$B66,BS$1))</f>
        <v>#VALUE!</v>
      </c>
      <c r="BT65" s="17" t="str">
        <f t="array" ref="BT65">SUM(SUMIFS(INDIRECT($A$5) ,OtrosR!$C$3:$C66,$A65,OtrosR!$B$3:$B66,BS$1))</f>
        <v>#VALUE!</v>
      </c>
      <c r="BU65" s="95" t="str">
        <f t="shared" si="613"/>
        <v/>
      </c>
      <c r="BV65" s="96" t="str">
        <f t="array" ref="BV65">SUM(SUMIFS(INDIRECT($A$3) ,OtrosR!$C$3:$C66,$A65,OtrosR!$B$3:$B66,BV$1))</f>
        <v>#VALUE!</v>
      </c>
      <c r="BW65" s="16" t="str">
        <f t="array" ref="BW65">SUM(SUMIFS(INDIRECT($A$5) ,OtrosR!$C$3:$C66,$A65,OtrosR!$B$3:$B66,BV$1))</f>
        <v>#VALUE!</v>
      </c>
      <c r="BX65" s="98" t="str">
        <f t="shared" si="614"/>
        <v/>
      </c>
      <c r="BY65" s="93" t="str">
        <f t="array" ref="BY65">SUM(SUMIFS(INDIRECT($A$3) ,OtrosR!$C$3:$C66,$A65,OtrosR!$B$3:$B66,BY$1))</f>
        <v>#VALUE!</v>
      </c>
      <c r="BZ65" s="17" t="str">
        <f t="array" ref="BZ65">SUM(SUMIFS(INDIRECT($A$5) ,OtrosR!$C$3:$C66,$A65,OtrosR!$B$3:$B66,BY$1))</f>
        <v>#VALUE!</v>
      </c>
      <c r="CA65" s="95" t="str">
        <f t="shared" si="615"/>
        <v/>
      </c>
      <c r="CB65" s="96" t="str">
        <f t="array" ref="CB65">SUM(SUMIFS(INDIRECT($A$3) ,OtrosR!$C$3:$C66,$A65,OtrosR!$B$3:$B66,CB$1))</f>
        <v>#VALUE!</v>
      </c>
      <c r="CC65" s="16" t="str">
        <f t="array" ref="CC65">SUM(SUMIFS(INDIRECT($A$5) ,OtrosR!$C$3:$C66,$A65,OtrosR!$B$3:$B66,CB$1))</f>
        <v>#VALUE!</v>
      </c>
      <c r="CD65" s="98" t="str">
        <f t="shared" si="616"/>
        <v/>
      </c>
      <c r="CE65" s="93" t="str">
        <f t="array" ref="CE65">SUM(SUMIFS(INDIRECT($A$3) ,OtrosR!$C$3:$C66,$A65,OtrosR!$B$3:$B66,CE$1))</f>
        <v>#VALUE!</v>
      </c>
      <c r="CF65" s="17" t="str">
        <f t="array" ref="CF65">SUM(SUMIFS(INDIRECT($A$5) ,OtrosR!$C$3:$C66,$A65,OtrosR!$B$3:$B66,CE$1))</f>
        <v>#VALUE!</v>
      </c>
      <c r="CG65" s="95" t="str">
        <f t="shared" si="617"/>
        <v/>
      </c>
      <c r="CH65" s="96" t="str">
        <f t="array" ref="CH65">SUM(SUMIFS(INDIRECT($A$3) ,OtrosR!$C$3:$C66,$A65,OtrosR!$B$3:$B66,CH$1))</f>
        <v>#VALUE!</v>
      </c>
      <c r="CI65" s="16" t="str">
        <f t="array" ref="CI65">SUM(SUMIFS(INDIRECT($A$5) ,OtrosR!$C$3:$C66,$A65,OtrosR!$B$3:$B66,CH$1))</f>
        <v>#VALUE!</v>
      </c>
      <c r="CJ65" s="98" t="str">
        <f t="shared" si="618"/>
        <v/>
      </c>
      <c r="CK65" s="93" t="str">
        <f t="array" ref="CK65">SUM(SUMIFS(INDIRECT($A$3) ,OtrosR!$C$3:$C66,$A65,OtrosR!$B$3:$B66,CK$1))</f>
        <v>#VALUE!</v>
      </c>
      <c r="CL65" s="17" t="str">
        <f t="array" ref="CL65">SUM(SUMIFS(INDIRECT($A$5) ,OtrosR!$C$3:$C66,$A65,OtrosR!$B$3:$B66,CK$1))</f>
        <v>#VALUE!</v>
      </c>
      <c r="CM65" s="95" t="str">
        <f t="shared" si="619"/>
        <v/>
      </c>
      <c r="CN65" s="96" t="str">
        <f t="array" ref="CN65">SUM(SUMIFS(INDIRECT($A$3) ,OtrosR!$C$3:$C66,$A65,OtrosR!$B$3:$B66,CN$1))</f>
        <v>#VALUE!</v>
      </c>
      <c r="CO65" s="16" t="str">
        <f t="array" ref="CO65">SUM(SUMIFS(INDIRECT($A$5) ,OtrosR!$C$3:$C66,$A65,OtrosR!$B$3:$B66,CN$1))</f>
        <v>#VALUE!</v>
      </c>
      <c r="CP65" s="98" t="str">
        <f t="shared" si="620"/>
        <v/>
      </c>
      <c r="CQ65" s="93" t="str">
        <f t="array" ref="CQ65">SUM(SUMIFS(INDIRECT($A$3) ,OtrosR!$C$3:$C66,$A65,OtrosR!$B$3:$B66,CQ$1))</f>
        <v>#VALUE!</v>
      </c>
      <c r="CR65" s="17" t="str">
        <f t="array" ref="CR65">SUM(SUMIFS(INDIRECT($A$5) ,OtrosR!$C$3:$C66,$A65,OtrosR!$B$3:$B66,CQ$1))</f>
        <v>#VALUE!</v>
      </c>
      <c r="CS65" s="95" t="str">
        <f t="shared" si="621"/>
        <v/>
      </c>
      <c r="CT65" s="96" t="str">
        <f t="array" ref="CT65">SUM(SUMIFS(INDIRECT($A$3) ,OtrosR!$C$3:$C66,$A65,OtrosR!$B$3:$B66,CT$1))</f>
        <v>#VALUE!</v>
      </c>
      <c r="CU65" s="16" t="str">
        <f t="array" ref="CU65">SUM(SUMIFS(INDIRECT($A$5) ,OtrosR!$C$3:$C66,$A65,OtrosR!$B$3:$B66,CT$1))</f>
        <v>#VALUE!</v>
      </c>
      <c r="CV65" s="98" t="str">
        <f t="shared" si="622"/>
        <v/>
      </c>
      <c r="CW65" s="93" t="str">
        <f t="array" ref="CW65">SUM(SUMIFS(INDIRECT($A$3) ,OtrosR!$C$3:$C66,$A65,OtrosR!$B$3:$B66,CW$1))</f>
        <v>#VALUE!</v>
      </c>
      <c r="CX65" s="17" t="str">
        <f t="array" ref="CX65">SUM(SUMIFS(INDIRECT($A$5) ,OtrosR!$C$3:$C66,$A65,OtrosR!$B$3:$B66,CW$1))</f>
        <v>#VALUE!</v>
      </c>
      <c r="CY65" s="95" t="str">
        <f t="shared" si="623"/>
        <v/>
      </c>
      <c r="CZ65" s="96" t="str">
        <f t="array" ref="CZ65">SUM(SUMIFS(INDIRECT($A$3) ,OtrosR!$C$3:$C66,$A65,OtrosR!$B$3:$B66,CZ$1))</f>
        <v>#VALUE!</v>
      </c>
      <c r="DA65" s="16" t="str">
        <f t="array" ref="DA65">SUM(SUMIFS(INDIRECT($A$5) ,OtrosR!$C$3:$C66,$A65,OtrosR!$B$3:$B66,CZ$1))</f>
        <v>#VALUE!</v>
      </c>
      <c r="DB65" s="98" t="str">
        <f t="shared" si="624"/>
        <v/>
      </c>
      <c r="DC65" s="93" t="str">
        <f t="array" ref="DC65">SUM(SUMIFS(INDIRECT($A$3) ,OtrosR!$C$3:$C66,$A65,OtrosR!$B$3:$B66,DC$1))</f>
        <v>#VALUE!</v>
      </c>
      <c r="DD65" s="17" t="str">
        <f t="array" ref="DD65">SUM(SUMIFS(INDIRECT($A$5) ,OtrosR!$C$3:$C66,$A65,OtrosR!$B$3:$B66,DC$1))</f>
        <v>#VALUE!</v>
      </c>
      <c r="DE65" s="95" t="str">
        <f t="shared" si="625"/>
        <v/>
      </c>
      <c r="DF65" s="96" t="str">
        <f t="array" ref="DF65">SUM(SUMIFS(INDIRECT($A$3) ,OtrosR!$C$3:$C66,$A65,OtrosR!$B$3:$B66,DF$1))</f>
        <v>#VALUE!</v>
      </c>
      <c r="DG65" s="16" t="str">
        <f t="array" ref="DG65">SUM(SUMIFS(INDIRECT($A$5) ,OtrosR!$C$3:$C66,$A65,OtrosR!$B$3:$B66,DF$1))</f>
        <v>#VALUE!</v>
      </c>
      <c r="DH65" s="98" t="str">
        <f t="shared" si="626"/>
        <v/>
      </c>
      <c r="DI65" s="93" t="str">
        <f t="array" ref="DI65">SUM(SUMIFS(INDIRECT($A$3) ,OtrosR!$C$3:$C66,$A65,OtrosR!$B$3:$B66,DI$1))</f>
        <v>#VALUE!</v>
      </c>
      <c r="DJ65" s="17" t="str">
        <f t="array" ref="DJ65">SUM(SUMIFS(INDIRECT($A$5) ,OtrosR!$C$3:$C66,$A65,OtrosR!$B$3:$B66,DI$1))</f>
        <v>#VALUE!</v>
      </c>
      <c r="DK65" s="95" t="str">
        <f t="shared" si="627"/>
        <v/>
      </c>
      <c r="DL65" s="96" t="str">
        <f t="array" ref="DL65">SUM(SUMIFS(INDIRECT($A$3) ,OtrosR!$C$3:$C66,$A65,OtrosR!$B$3:$B66,DL$1))</f>
        <v>#VALUE!</v>
      </c>
      <c r="DM65" s="16" t="str">
        <f t="array" ref="DM65">SUM(SUMIFS(INDIRECT($A$5) ,OtrosR!$C$3:$C66,$A65,OtrosR!$B$3:$B66,DL$1))</f>
        <v>#VALUE!</v>
      </c>
      <c r="DN65" s="98" t="str">
        <f t="shared" si="628"/>
        <v/>
      </c>
      <c r="DO65" s="93" t="str">
        <f t="array" ref="DO65">SUM(SUMIFS(INDIRECT($A$3) ,OtrosR!$C$3:$C66,$A65,OtrosR!$B$3:$B66,DO$1))</f>
        <v>#VALUE!</v>
      </c>
      <c r="DP65" s="17" t="str">
        <f t="array" ref="DP65">SUM(SUMIFS(INDIRECT($A$5) ,OtrosR!$C$3:$C66,$A65,OtrosR!$B$3:$B66,DO$1))</f>
        <v>#VALUE!</v>
      </c>
      <c r="DQ65" s="95" t="str">
        <f t="shared" si="629"/>
        <v/>
      </c>
      <c r="DR65" s="96" t="str">
        <f t="array" ref="DR65">SUM(SUMIFS(INDIRECT($A$3) ,OtrosR!$C$3:$C66,$A65,OtrosR!$B$3:$B66,DR$1))</f>
        <v>#VALUE!</v>
      </c>
      <c r="DS65" s="16" t="str">
        <f t="array" ref="DS65">SUM(SUMIFS(INDIRECT($A$5) ,OtrosR!$C$3:$C66,$A65,OtrosR!$B$3:$B66,DR$1))</f>
        <v>#VALUE!</v>
      </c>
      <c r="DT65" s="98" t="str">
        <f t="shared" si="630"/>
        <v/>
      </c>
      <c r="DU65" s="93" t="str">
        <f t="array" ref="DU65">SUM(SUMIFS(INDIRECT($A$3) ,OtrosR!$C$3:$C66,$A65,OtrosR!$B$3:$B66,DU$1))</f>
        <v>#VALUE!</v>
      </c>
      <c r="DV65" s="17" t="str">
        <f t="array" ref="DV65">SUM(SUMIFS(INDIRECT($A$5) ,OtrosR!$C$3:$C66,$A65,OtrosR!$B$3:$B66,DU$1))</f>
        <v>#VALUE!</v>
      </c>
      <c r="DW65" s="95" t="str">
        <f t="shared" si="631"/>
        <v/>
      </c>
      <c r="DX65" s="96" t="str">
        <f t="array" ref="DX65">SUM(SUMIFS(INDIRECT($A$3) ,OtrosR!$C$3:$C66,$A65,OtrosR!$B$3:$B66,DX$1))</f>
        <v>#VALUE!</v>
      </c>
      <c r="DY65" s="16" t="str">
        <f t="array" ref="DY65">SUM(SUMIFS(INDIRECT($A$5) ,OtrosR!$C$3:$C66,$A65,OtrosR!$B$3:$B66,DX$1))</f>
        <v>#VALUE!</v>
      </c>
      <c r="DZ65" s="98" t="str">
        <f t="shared" si="632"/>
        <v/>
      </c>
      <c r="EA65" s="93" t="str">
        <f t="array" ref="EA65">SUM(SUMIFS(INDIRECT($A$3) ,OtrosR!$C$3:$C66,$A65,OtrosR!$B$3:$B66,EA$1))</f>
        <v>#VALUE!</v>
      </c>
      <c r="EB65" s="17" t="str">
        <f t="array" ref="EB65">SUM(SUMIFS(INDIRECT($A$5) ,OtrosR!$C$3:$C66,$A65,OtrosR!$B$3:$B66,EA$1))</f>
        <v>#VALUE!</v>
      </c>
      <c r="EC65" s="95" t="str">
        <f t="shared" si="633"/>
        <v/>
      </c>
      <c r="ED65" s="96" t="str">
        <f t="array" ref="ED65">SUM(SUMIFS(INDIRECT($A$3) ,OtrosR!$C$3:$C66,$A65,OtrosR!$B$3:$B66,ED$1))</f>
        <v>#VALUE!</v>
      </c>
      <c r="EE65" s="16" t="str">
        <f t="array" ref="EE65">SUM(SUMIFS(INDIRECT($A$5) ,OtrosR!$C$3:$C66,$A65,OtrosR!$B$3:$B66,ED$1))</f>
        <v>#VALUE!</v>
      </c>
      <c r="EF65" s="98" t="str">
        <f t="shared" si="634"/>
        <v/>
      </c>
      <c r="EG65" s="93" t="str">
        <f t="array" ref="EG65">SUM(SUMIFS(INDIRECT($A$3) ,OtrosR!$C$3:$C66,$A65,OtrosR!$B$3:$B66,EG$1))</f>
        <v>#VALUE!</v>
      </c>
      <c r="EH65" s="17" t="str">
        <f t="array" ref="EH65">SUM(SUMIFS(INDIRECT($A$5) ,OtrosR!$C$3:$C66,$A65,OtrosR!$B$3:$B66,EG$1))</f>
        <v>#VALUE!</v>
      </c>
      <c r="EI65" s="95" t="str">
        <f t="shared" si="635"/>
        <v/>
      </c>
      <c r="EJ65" s="96" t="str">
        <f t="array" ref="EJ65">SUM(SUMIFS(INDIRECT($A$3) ,OtrosR!$C$3:$C66,$A65,OtrosR!$B$3:$B66,EJ$1))</f>
        <v>#VALUE!</v>
      </c>
      <c r="EK65" s="16" t="str">
        <f t="array" ref="EK65">SUM(SUMIFS(INDIRECT($A$5) ,OtrosR!$C$3:$C66,$A65,OtrosR!$B$3:$B66,EJ$1))</f>
        <v>#VALUE!</v>
      </c>
      <c r="EL65" s="98" t="str">
        <f t="shared" si="636"/>
        <v/>
      </c>
      <c r="EM65" s="93" t="str">
        <f t="array" ref="EM65">SUM(SUMIFS(INDIRECT($A$3) ,OtrosR!$C$3:$C66,$A65,OtrosR!$B$3:$B66,EM$1))</f>
        <v>#VALUE!</v>
      </c>
      <c r="EN65" s="17" t="str">
        <f t="array" ref="EN65">SUM(SUMIFS(INDIRECT($A$5) ,OtrosR!$C$3:$C66,$A65,OtrosR!$B$3:$B66,EM$1))</f>
        <v>#VALUE!</v>
      </c>
      <c r="EO65" s="95" t="str">
        <f t="shared" si="637"/>
        <v/>
      </c>
      <c r="EP65" s="96" t="str">
        <f t="array" ref="EP65">SUM(SUMIFS(INDIRECT($A$3) ,OtrosR!$C$3:$C66,$A65,OtrosR!$B$3:$B66,EP$1))</f>
        <v>#VALUE!</v>
      </c>
      <c r="EQ65" s="16" t="str">
        <f t="array" ref="EQ65">SUM(SUMIFS(INDIRECT($A$5) ,OtrosR!$C$3:$C66,$A65,OtrosR!$B$3:$B66,EP$1))</f>
        <v>#VALUE!</v>
      </c>
      <c r="ER65" s="98" t="str">
        <f t="shared" si="638"/>
        <v/>
      </c>
      <c r="ES65" s="93" t="str">
        <f t="array" ref="ES65">SUM(SUMIFS(INDIRECT($A$3) ,OtrosR!$C$3:$C66,$A65,OtrosR!$B$3:$B66,ES$1))</f>
        <v>#VALUE!</v>
      </c>
      <c r="ET65" s="17" t="str">
        <f t="array" ref="ET65">SUM(SUMIFS(INDIRECT($A$5) ,OtrosR!$C$3:$C66,$A65,OtrosR!$B$3:$B66,ES$1))</f>
        <v>#VALUE!</v>
      </c>
      <c r="EU65" s="95" t="str">
        <f t="shared" si="639"/>
        <v/>
      </c>
      <c r="EV65" s="96" t="str">
        <f t="array" ref="EV65">SUM(SUMIFS(INDIRECT($A$3) ,OtrosR!$C$3:$C66,$A65,OtrosR!$B$3:$B66,EV$1))</f>
        <v>#VALUE!</v>
      </c>
      <c r="EW65" s="16" t="str">
        <f t="array" ref="EW65">SUM(SUMIFS(INDIRECT($A$5) ,OtrosR!$C$3:$C66,$A65,OtrosR!$B$3:$B66,EV$1))</f>
        <v>#VALUE!</v>
      </c>
      <c r="EX65" s="98" t="str">
        <f t="shared" si="640"/>
        <v/>
      </c>
      <c r="EY65" s="93" t="str">
        <f t="array" ref="EY65">SUM(SUMIFS(INDIRECT($A$3) ,OtrosR!$C$3:$C66,$A65,OtrosR!$B$3:$B66,EY$1))</f>
        <v>#VALUE!</v>
      </c>
      <c r="EZ65" s="17" t="str">
        <f t="array" ref="EZ65">SUM(SUMIFS(INDIRECT($A$5) ,OtrosR!$C$3:$C66,$A65,OtrosR!$B$3:$B66,EY$1))</f>
        <v>#VALUE!</v>
      </c>
      <c r="FA65" s="95" t="str">
        <f t="shared" si="641"/>
        <v/>
      </c>
      <c r="FB65" s="96" t="str">
        <f t="array" ref="FB65">SUM(SUMIFS(INDIRECT($A$3) ,OtrosR!$C$3:$C66,$A65,OtrosR!$B$3:$B66,FB$1))</f>
        <v>#VALUE!</v>
      </c>
      <c r="FC65" s="16" t="str">
        <f t="array" ref="FC65">SUM(SUMIFS(INDIRECT($A$5) ,OtrosR!$C$3:$C66,$A65,OtrosR!$B$3:$B66,FB$1))</f>
        <v>#VALUE!</v>
      </c>
      <c r="FD65" s="98" t="str">
        <f t="shared" si="642"/>
        <v/>
      </c>
      <c r="FE65" s="93" t="str">
        <f t="array" ref="FE65">SUM(SUMIFS(INDIRECT($A$3) ,OtrosR!$C$3:$C66,$A65,OtrosR!$B$3:$B66,FE$1))</f>
        <v>#VALUE!</v>
      </c>
      <c r="FF65" s="17" t="str">
        <f t="array" ref="FF65">SUM(SUMIFS(INDIRECT($A$5) ,OtrosR!$C$3:$C66,$A65,OtrosR!$B$3:$B66,FE$1))</f>
        <v>#VALUE!</v>
      </c>
      <c r="FG65" s="95" t="str">
        <f t="shared" si="643"/>
        <v/>
      </c>
      <c r="FH65" s="96" t="str">
        <f t="array" ref="FH65">SUM(SUMIFS(INDIRECT($A$3) ,OtrosR!$C$3:$C66,$A65,OtrosR!$B$3:$B66,FH$1))</f>
        <v>#VALUE!</v>
      </c>
      <c r="FI65" s="16" t="str">
        <f t="array" ref="FI65">SUM(SUMIFS(INDIRECT($A$5) ,OtrosR!$C$3:$C66,$A65,OtrosR!$B$3:$B66,FH$1))</f>
        <v>#VALUE!</v>
      </c>
      <c r="FJ65" s="98" t="str">
        <f t="shared" si="644"/>
        <v/>
      </c>
    </row>
    <row r="66" ht="15.75" hidden="1" customHeight="1">
      <c r="A66" s="5" t="str">
        <f>Menus!Q11</f>
        <v/>
      </c>
      <c r="B66" s="16" t="str">
        <f t="shared" si="590"/>
        <v>#VALUE!</v>
      </c>
      <c r="C66" s="16" t="str">
        <f t="shared" si="591"/>
        <v>#VALUE!</v>
      </c>
      <c r="D66" s="16" t="str">
        <f t="shared" si="645"/>
        <v>#VALUE!</v>
      </c>
      <c r="E66" s="109" t="str">
        <f t="array" ref="E66">SUM(SUMIFS(INDIRECT($A$3) ,OtrosR!$C$3:$C66,$A66,OtrosR!$B$3:$B66,E$1))</f>
        <v>#VALUE!</v>
      </c>
      <c r="F66" s="15" t="str">
        <f t="array" ref="F66">SUM(SUMIFS(INDIRECT($A$5) ,OtrosR!$C$3:$C66,$A66,OtrosR!$B$3:$B66,E$1))</f>
        <v>#VALUE!</v>
      </c>
      <c r="G66" s="89" t="str">
        <f t="shared" si="646"/>
        <v/>
      </c>
      <c r="H66" s="90" t="str">
        <f t="array" ref="H66">SUM(SUMIFS(INDIRECT($A$3) ,OtrosR!$C$3:$C66,$A66,OtrosR!$B$3:$B66,H$1))</f>
        <v>#VALUE!</v>
      </c>
      <c r="I66" s="55" t="str">
        <f t="array" ref="I66">SUM(SUMIFS(INDIRECT($A$5) ,OtrosR!$C$3:$C66,$A66,OtrosR!$B$3:$B66,H$1))</f>
        <v>#VALUE!</v>
      </c>
      <c r="J66" s="92" t="str">
        <f t="shared" si="592"/>
        <v/>
      </c>
      <c r="K66" s="93" t="str">
        <f t="array" ref="K66">SUM(SUMIFS(INDIRECT($A$3) ,OtrosR!$C$3:$C66,$A66,OtrosR!$B$3:$B66,K$1))</f>
        <v>#VALUE!</v>
      </c>
      <c r="L66" s="17" t="str">
        <f t="array" ref="L66">SUM(SUMIFS(INDIRECT($A$5) ,OtrosR!$C$3:$C66,$A66,OtrosR!$B$3:$B66,K$1))</f>
        <v>#VALUE!</v>
      </c>
      <c r="M66" s="95" t="str">
        <f t="shared" si="593"/>
        <v/>
      </c>
      <c r="N66" s="96" t="str">
        <f t="array" ref="N66">SUM(SUMIFS(INDIRECT($A$3) ,OtrosR!$C$3:$C66,$A66,OtrosR!$B$3:$B66,N$1))</f>
        <v>#VALUE!</v>
      </c>
      <c r="O66" s="16" t="str">
        <f t="array" ref="O66">SUM(SUMIFS(INDIRECT($A$5) ,OtrosR!$C$3:$C66,$A66,OtrosR!$B$3:$B66,N$1))</f>
        <v>#VALUE!</v>
      </c>
      <c r="P66" s="98" t="str">
        <f t="shared" si="594"/>
        <v/>
      </c>
      <c r="Q66" s="93" t="str">
        <f t="array" ref="Q66">SUM(SUMIFS(INDIRECT($A$3) ,OtrosR!$C$3:$C66,$A66,OtrosR!$B$3:$B66,Q$1))</f>
        <v>#VALUE!</v>
      </c>
      <c r="R66" s="17" t="str">
        <f t="array" ref="R66">SUM(SUMIFS(INDIRECT($A$5) ,OtrosR!$C$3:$C66,$A66,OtrosR!$B$3:$B66,Q$1))</f>
        <v>#VALUE!</v>
      </c>
      <c r="S66" s="95" t="str">
        <f t="shared" si="595"/>
        <v/>
      </c>
      <c r="T66" s="96" t="str">
        <f t="array" ref="T66">SUM(SUMIFS(INDIRECT($A$3) ,OtrosR!$C$3:$C66,$A66,OtrosR!$B$3:$B66,T$1))</f>
        <v>#VALUE!</v>
      </c>
      <c r="U66" s="16" t="str">
        <f t="array" ref="U66">SUM(SUMIFS(INDIRECT($A$5) ,OtrosR!$C$3:$C66,$A66,OtrosR!$B$3:$B66,T$1))</f>
        <v>#VALUE!</v>
      </c>
      <c r="V66" s="98" t="str">
        <f t="shared" si="596"/>
        <v/>
      </c>
      <c r="W66" s="93" t="str">
        <f t="array" ref="W66">SUM(SUMIFS(INDIRECT($A$3) ,OtrosR!$C$3:$C66,$A66,OtrosR!$B$3:$B66,W$1))</f>
        <v>#VALUE!</v>
      </c>
      <c r="X66" s="17" t="str">
        <f t="array" ref="X66">SUM(SUMIFS(INDIRECT($A$5) ,OtrosR!$C$3:$C66,$A66,OtrosR!$B$3:$B66,W$1))</f>
        <v>#VALUE!</v>
      </c>
      <c r="Y66" s="95" t="str">
        <f t="shared" si="597"/>
        <v/>
      </c>
      <c r="Z66" s="96" t="str">
        <f t="array" ref="Z66">SUM(SUMIFS(INDIRECT($A$3) ,OtrosR!$C$3:$C66,$A66,OtrosR!$B$3:$B66,Z$1))</f>
        <v>#VALUE!</v>
      </c>
      <c r="AA66" s="16" t="str">
        <f t="array" ref="AA66">SUM(SUMIFS(INDIRECT($A$5) ,OtrosR!$C$3:$C66,$A66,OtrosR!$B$3:$B66,Z$1))</f>
        <v>#VALUE!</v>
      </c>
      <c r="AB66" s="98" t="str">
        <f t="shared" si="598"/>
        <v/>
      </c>
      <c r="AC66" s="93" t="str">
        <f t="array" ref="AC66">SUM(SUMIFS(INDIRECT($A$3) ,OtrosR!$C$3:$C66,$A66,OtrosR!$B$3:$B66,AC$1))</f>
        <v>#VALUE!</v>
      </c>
      <c r="AD66" s="17" t="str">
        <f t="array" ref="AD66">SUM(SUMIFS(INDIRECT($A$5) ,OtrosR!$C$3:$C66,$A66,OtrosR!$B$3:$B66,AC$1))</f>
        <v>#VALUE!</v>
      </c>
      <c r="AE66" s="95" t="str">
        <f t="shared" si="599"/>
        <v/>
      </c>
      <c r="AF66" s="96" t="str">
        <f t="array" ref="AF66">SUM(SUMIFS(INDIRECT($A$3) ,OtrosR!$C$3:$C66,$A66,OtrosR!$B$3:$B66,AF$1))</f>
        <v>#VALUE!</v>
      </c>
      <c r="AG66" s="16" t="str">
        <f t="array" ref="AG66">SUM(SUMIFS(INDIRECT($A$5) ,OtrosR!$C$3:$C66,$A66,OtrosR!$B$3:$B66,AF$1))</f>
        <v>#VALUE!</v>
      </c>
      <c r="AH66" s="98" t="str">
        <f t="shared" si="600"/>
        <v/>
      </c>
      <c r="AI66" s="93" t="str">
        <f t="array" ref="AI66">SUM(SUMIFS(INDIRECT($A$3) ,OtrosR!$C$3:$C66,$A66,OtrosR!$B$3:$B66,AI$1))</f>
        <v>#VALUE!</v>
      </c>
      <c r="AJ66" s="17" t="str">
        <f t="array" ref="AJ66">SUM(SUMIFS(INDIRECT($A$5) ,OtrosR!$C$3:$C66,$A66,OtrosR!$B$3:$B66,AI$1))</f>
        <v>#VALUE!</v>
      </c>
      <c r="AK66" s="95" t="str">
        <f t="shared" si="601"/>
        <v/>
      </c>
      <c r="AL66" s="96" t="str">
        <f t="array" ref="AL66">SUM(SUMIFS(INDIRECT($A$3) ,OtrosR!$C$3:$C66,$A66,OtrosR!$B$3:$B66,AL$1))</f>
        <v>#VALUE!</v>
      </c>
      <c r="AM66" s="16" t="str">
        <f t="array" ref="AM66">SUM(SUMIFS(INDIRECT($A$5) ,OtrosR!$C$3:$C66,$A66,OtrosR!$B$3:$B66,AL$1))</f>
        <v>#VALUE!</v>
      </c>
      <c r="AN66" s="98" t="str">
        <f t="shared" si="602"/>
        <v/>
      </c>
      <c r="AO66" s="93" t="str">
        <f t="array" ref="AO66">SUM(SUMIFS(INDIRECT($A$3) ,OtrosR!$C$3:$C66,$A66,OtrosR!$B$3:$B66,AO$1))</f>
        <v>#VALUE!</v>
      </c>
      <c r="AP66" s="17" t="str">
        <f t="array" ref="AP66">SUM(SUMIFS(INDIRECT($A$5) ,OtrosR!$C$3:$C66,$A66,OtrosR!$B$3:$B66,AO$1))</f>
        <v>#VALUE!</v>
      </c>
      <c r="AQ66" s="95" t="str">
        <f t="shared" si="603"/>
        <v/>
      </c>
      <c r="AR66" s="96" t="str">
        <f t="array" ref="AR66">SUM(SUMIFS(INDIRECT($A$3) ,OtrosR!$C$3:$C66,$A66,OtrosR!$B$3:$B66,AR$1))</f>
        <v>#VALUE!</v>
      </c>
      <c r="AS66" s="16" t="str">
        <f t="array" ref="AS66">SUM(SUMIFS(INDIRECT($A$5) ,OtrosR!$C$3:$C66,$A66,OtrosR!$B$3:$B66,AR$1))</f>
        <v>#VALUE!</v>
      </c>
      <c r="AT66" s="98" t="str">
        <f t="shared" si="604"/>
        <v/>
      </c>
      <c r="AU66" s="93" t="str">
        <f t="array" ref="AU66">SUM(SUMIFS(INDIRECT($A$3) ,OtrosR!$C$3:$C66,$A66,OtrosR!$B$3:$B66,AU$1))</f>
        <v>#VALUE!</v>
      </c>
      <c r="AV66" s="17" t="str">
        <f t="array" ref="AV66">SUM(SUMIFS(INDIRECT($A$5) ,OtrosR!$C$3:$C66,$A66,OtrosR!$B$3:$B66,AU$1))</f>
        <v>#VALUE!</v>
      </c>
      <c r="AW66" s="95" t="str">
        <f t="shared" si="605"/>
        <v/>
      </c>
      <c r="AX66" s="96" t="str">
        <f t="array" ref="AX66">SUM(SUMIFS(INDIRECT($A$3) ,OtrosR!$C$3:$C66,$A66,OtrosR!$B$3:$B66,AX$1))</f>
        <v>#VALUE!</v>
      </c>
      <c r="AY66" s="16" t="str">
        <f t="array" ref="AY66">SUM(SUMIFS(INDIRECT($A$5) ,OtrosR!$C$3:$C66,$A66,OtrosR!$B$3:$B66,AX$1))</f>
        <v>#VALUE!</v>
      </c>
      <c r="AZ66" s="98" t="str">
        <f t="shared" si="606"/>
        <v/>
      </c>
      <c r="BA66" s="93" t="str">
        <f t="array" ref="BA66">SUM(SUMIFS(INDIRECT($A$3) ,OtrosR!$C$3:$C66,$A66,OtrosR!$B$3:$B66,BA$1))</f>
        <v>#VALUE!</v>
      </c>
      <c r="BB66" s="17" t="str">
        <f t="array" ref="BB66">SUM(SUMIFS(INDIRECT($A$5) ,OtrosR!$C$3:$C66,$A66,OtrosR!$B$3:$B66,BA$1))</f>
        <v>#VALUE!</v>
      </c>
      <c r="BC66" s="95" t="str">
        <f t="shared" si="607"/>
        <v/>
      </c>
      <c r="BD66" s="96" t="str">
        <f t="array" ref="BD66">SUM(SUMIFS(INDIRECT($A$3) ,OtrosR!$C$3:$C66,$A66,OtrosR!$B$3:$B66,BD$1))</f>
        <v>#VALUE!</v>
      </c>
      <c r="BE66" s="16" t="str">
        <f t="array" ref="BE66">SUM(SUMIFS(INDIRECT($A$5) ,OtrosR!$C$3:$C66,$A66,OtrosR!$B$3:$B66,BD$1))</f>
        <v>#VALUE!</v>
      </c>
      <c r="BF66" s="98" t="str">
        <f t="shared" si="608"/>
        <v/>
      </c>
      <c r="BG66" s="93" t="str">
        <f t="array" ref="BG66">SUM(SUMIFS(INDIRECT($A$3) ,OtrosR!$C$3:$C66,$A66,OtrosR!$B$3:$B66,BG$1))</f>
        <v>#VALUE!</v>
      </c>
      <c r="BH66" s="17" t="str">
        <f t="array" ref="BH66">SUM(SUMIFS(INDIRECT($A$5) ,OtrosR!$C$3:$C66,$A66,OtrosR!$B$3:$B66,BG$1))</f>
        <v>#VALUE!</v>
      </c>
      <c r="BI66" s="95" t="str">
        <f t="shared" si="609"/>
        <v/>
      </c>
      <c r="BJ66" s="96" t="str">
        <f t="array" ref="BJ66">SUM(SUMIFS(INDIRECT($A$3) ,OtrosR!$C$3:$C66,$A66,OtrosR!$B$3:$B66,BJ$1))</f>
        <v>#VALUE!</v>
      </c>
      <c r="BK66" s="16" t="str">
        <f t="array" ref="BK66">SUM(SUMIFS(INDIRECT($A$5) ,OtrosR!$C$3:$C66,$A66,OtrosR!$B$3:$B66,BJ$1))</f>
        <v>#VALUE!</v>
      </c>
      <c r="BL66" s="98" t="str">
        <f t="shared" si="610"/>
        <v/>
      </c>
      <c r="BM66" s="93" t="str">
        <f t="array" ref="BM66">SUM(SUMIFS(INDIRECT($A$3) ,OtrosR!$C$3:$C66,$A66,OtrosR!$B$3:$B66,BM$1))</f>
        <v>#VALUE!</v>
      </c>
      <c r="BN66" s="17" t="str">
        <f t="array" ref="BN66">SUM(SUMIFS(INDIRECT($A$5) ,OtrosR!$C$3:$C66,$A66,OtrosR!$B$3:$B66,BM$1))</f>
        <v>#VALUE!</v>
      </c>
      <c r="BO66" s="95" t="str">
        <f t="shared" si="611"/>
        <v/>
      </c>
      <c r="BP66" s="96" t="str">
        <f t="array" ref="BP66">SUM(SUMIFS(INDIRECT($A$3) ,OtrosR!$C$3:$C66,$A66,OtrosR!$B$3:$B66,BP$1))</f>
        <v>#VALUE!</v>
      </c>
      <c r="BQ66" s="16" t="str">
        <f t="array" ref="BQ66">SUM(SUMIFS(INDIRECT($A$5) ,OtrosR!$C$3:$C66,$A66,OtrosR!$B$3:$B66,BP$1))</f>
        <v>#VALUE!</v>
      </c>
      <c r="BR66" s="98" t="str">
        <f t="shared" si="612"/>
        <v/>
      </c>
      <c r="BS66" s="93" t="str">
        <f t="array" ref="BS66">SUM(SUMIFS(INDIRECT($A$3) ,OtrosR!$C$3:$C66,$A66,OtrosR!$B$3:$B66,BS$1))</f>
        <v>#VALUE!</v>
      </c>
      <c r="BT66" s="17" t="str">
        <f t="array" ref="BT66">SUM(SUMIFS(INDIRECT($A$5) ,OtrosR!$C$3:$C66,$A66,OtrosR!$B$3:$B66,BS$1))</f>
        <v>#VALUE!</v>
      </c>
      <c r="BU66" s="95" t="str">
        <f t="shared" si="613"/>
        <v/>
      </c>
      <c r="BV66" s="96" t="str">
        <f t="array" ref="BV66">SUM(SUMIFS(INDIRECT($A$3) ,OtrosR!$C$3:$C66,$A66,OtrosR!$B$3:$B66,BV$1))</f>
        <v>#VALUE!</v>
      </c>
      <c r="BW66" s="16" t="str">
        <f t="array" ref="BW66">SUM(SUMIFS(INDIRECT($A$5) ,OtrosR!$C$3:$C66,$A66,OtrosR!$B$3:$B66,BV$1))</f>
        <v>#VALUE!</v>
      </c>
      <c r="BX66" s="98" t="str">
        <f t="shared" si="614"/>
        <v/>
      </c>
      <c r="BY66" s="93" t="str">
        <f t="array" ref="BY66">SUM(SUMIFS(INDIRECT($A$3) ,OtrosR!$C$3:$C66,$A66,OtrosR!$B$3:$B66,BY$1))</f>
        <v>#VALUE!</v>
      </c>
      <c r="BZ66" s="17" t="str">
        <f t="array" ref="BZ66">SUM(SUMIFS(INDIRECT($A$5) ,OtrosR!$C$3:$C66,$A66,OtrosR!$B$3:$B66,BY$1))</f>
        <v>#VALUE!</v>
      </c>
      <c r="CA66" s="95" t="str">
        <f t="shared" si="615"/>
        <v/>
      </c>
      <c r="CB66" s="96" t="str">
        <f t="array" ref="CB66">SUM(SUMIFS(INDIRECT($A$3) ,OtrosR!$C$3:$C66,$A66,OtrosR!$B$3:$B66,CB$1))</f>
        <v>#VALUE!</v>
      </c>
      <c r="CC66" s="16" t="str">
        <f t="array" ref="CC66">SUM(SUMIFS(INDIRECT($A$5) ,OtrosR!$C$3:$C66,$A66,OtrosR!$B$3:$B66,CB$1))</f>
        <v>#VALUE!</v>
      </c>
      <c r="CD66" s="98" t="str">
        <f t="shared" si="616"/>
        <v/>
      </c>
      <c r="CE66" s="93" t="str">
        <f t="array" ref="CE66">SUM(SUMIFS(INDIRECT($A$3) ,OtrosR!$C$3:$C66,$A66,OtrosR!$B$3:$B66,CE$1))</f>
        <v>#VALUE!</v>
      </c>
      <c r="CF66" s="17" t="str">
        <f t="array" ref="CF66">SUM(SUMIFS(INDIRECT($A$5) ,OtrosR!$C$3:$C66,$A66,OtrosR!$B$3:$B66,CE$1))</f>
        <v>#VALUE!</v>
      </c>
      <c r="CG66" s="95" t="str">
        <f t="shared" si="617"/>
        <v/>
      </c>
      <c r="CH66" s="96" t="str">
        <f t="array" ref="CH66">SUM(SUMIFS(INDIRECT($A$3) ,OtrosR!$C$3:$C66,$A66,OtrosR!$B$3:$B66,CH$1))</f>
        <v>#VALUE!</v>
      </c>
      <c r="CI66" s="16" t="str">
        <f t="array" ref="CI66">SUM(SUMIFS(INDIRECT($A$5) ,OtrosR!$C$3:$C66,$A66,OtrosR!$B$3:$B66,CH$1))</f>
        <v>#VALUE!</v>
      </c>
      <c r="CJ66" s="98" t="str">
        <f t="shared" si="618"/>
        <v/>
      </c>
      <c r="CK66" s="93" t="str">
        <f t="array" ref="CK66">SUM(SUMIFS(INDIRECT($A$3) ,OtrosR!$C$3:$C66,$A66,OtrosR!$B$3:$B66,CK$1))</f>
        <v>#VALUE!</v>
      </c>
      <c r="CL66" s="17" t="str">
        <f t="array" ref="CL66">SUM(SUMIFS(INDIRECT($A$5) ,OtrosR!$C$3:$C66,$A66,OtrosR!$B$3:$B66,CK$1))</f>
        <v>#VALUE!</v>
      </c>
      <c r="CM66" s="95" t="str">
        <f t="shared" si="619"/>
        <v/>
      </c>
      <c r="CN66" s="96" t="str">
        <f t="array" ref="CN66">SUM(SUMIFS(INDIRECT($A$3) ,OtrosR!$C$3:$C66,$A66,OtrosR!$B$3:$B66,CN$1))</f>
        <v>#VALUE!</v>
      </c>
      <c r="CO66" s="16" t="str">
        <f t="array" ref="CO66">SUM(SUMIFS(INDIRECT($A$5) ,OtrosR!$C$3:$C66,$A66,OtrosR!$B$3:$B66,CN$1))</f>
        <v>#VALUE!</v>
      </c>
      <c r="CP66" s="98" t="str">
        <f t="shared" si="620"/>
        <v/>
      </c>
      <c r="CQ66" s="93" t="str">
        <f t="array" ref="CQ66">SUM(SUMIFS(INDIRECT($A$3) ,OtrosR!$C$3:$C66,$A66,OtrosR!$B$3:$B66,CQ$1))</f>
        <v>#VALUE!</v>
      </c>
      <c r="CR66" s="17" t="str">
        <f t="array" ref="CR66">SUM(SUMIFS(INDIRECT($A$5) ,OtrosR!$C$3:$C66,$A66,OtrosR!$B$3:$B66,CQ$1))</f>
        <v>#VALUE!</v>
      </c>
      <c r="CS66" s="95" t="str">
        <f t="shared" si="621"/>
        <v/>
      </c>
      <c r="CT66" s="96" t="str">
        <f t="array" ref="CT66">SUM(SUMIFS(INDIRECT($A$3) ,OtrosR!$C$3:$C66,$A66,OtrosR!$B$3:$B66,CT$1))</f>
        <v>#VALUE!</v>
      </c>
      <c r="CU66" s="16" t="str">
        <f t="array" ref="CU66">SUM(SUMIFS(INDIRECT($A$5) ,OtrosR!$C$3:$C66,$A66,OtrosR!$B$3:$B66,CT$1))</f>
        <v>#VALUE!</v>
      </c>
      <c r="CV66" s="98" t="str">
        <f t="shared" si="622"/>
        <v/>
      </c>
      <c r="CW66" s="93" t="str">
        <f t="array" ref="CW66">SUM(SUMIFS(INDIRECT($A$3) ,OtrosR!$C$3:$C66,$A66,OtrosR!$B$3:$B66,CW$1))</f>
        <v>#VALUE!</v>
      </c>
      <c r="CX66" s="17" t="str">
        <f t="array" ref="CX66">SUM(SUMIFS(INDIRECT($A$5) ,OtrosR!$C$3:$C66,$A66,OtrosR!$B$3:$B66,CW$1))</f>
        <v>#VALUE!</v>
      </c>
      <c r="CY66" s="95" t="str">
        <f t="shared" si="623"/>
        <v/>
      </c>
      <c r="CZ66" s="96" t="str">
        <f t="array" ref="CZ66">SUM(SUMIFS(INDIRECT($A$3) ,OtrosR!$C$3:$C66,$A66,OtrosR!$B$3:$B66,CZ$1))</f>
        <v>#VALUE!</v>
      </c>
      <c r="DA66" s="16" t="str">
        <f t="array" ref="DA66">SUM(SUMIFS(INDIRECT($A$5) ,OtrosR!$C$3:$C66,$A66,OtrosR!$B$3:$B66,CZ$1))</f>
        <v>#VALUE!</v>
      </c>
      <c r="DB66" s="98" t="str">
        <f t="shared" si="624"/>
        <v/>
      </c>
      <c r="DC66" s="93" t="str">
        <f t="array" ref="DC66">SUM(SUMIFS(INDIRECT($A$3) ,OtrosR!$C$3:$C66,$A66,OtrosR!$B$3:$B66,DC$1))</f>
        <v>#VALUE!</v>
      </c>
      <c r="DD66" s="17" t="str">
        <f t="array" ref="DD66">SUM(SUMIFS(INDIRECT($A$5) ,OtrosR!$C$3:$C66,$A66,OtrosR!$B$3:$B66,DC$1))</f>
        <v>#VALUE!</v>
      </c>
      <c r="DE66" s="95" t="str">
        <f t="shared" si="625"/>
        <v/>
      </c>
      <c r="DF66" s="96" t="str">
        <f t="array" ref="DF66">SUM(SUMIFS(INDIRECT($A$3) ,OtrosR!$C$3:$C66,$A66,OtrosR!$B$3:$B66,DF$1))</f>
        <v>#VALUE!</v>
      </c>
      <c r="DG66" s="16" t="str">
        <f t="array" ref="DG66">SUM(SUMIFS(INDIRECT($A$5) ,OtrosR!$C$3:$C66,$A66,OtrosR!$B$3:$B66,DF$1))</f>
        <v>#VALUE!</v>
      </c>
      <c r="DH66" s="98" t="str">
        <f t="shared" si="626"/>
        <v/>
      </c>
      <c r="DI66" s="93" t="str">
        <f t="array" ref="DI66">SUM(SUMIFS(INDIRECT($A$3) ,OtrosR!$C$3:$C66,$A66,OtrosR!$B$3:$B66,DI$1))</f>
        <v>#VALUE!</v>
      </c>
      <c r="DJ66" s="17" t="str">
        <f t="array" ref="DJ66">SUM(SUMIFS(INDIRECT($A$5) ,OtrosR!$C$3:$C66,$A66,OtrosR!$B$3:$B66,DI$1))</f>
        <v>#VALUE!</v>
      </c>
      <c r="DK66" s="95" t="str">
        <f t="shared" si="627"/>
        <v/>
      </c>
      <c r="DL66" s="96" t="str">
        <f t="array" ref="DL66">SUM(SUMIFS(INDIRECT($A$3) ,OtrosR!$C$3:$C66,$A66,OtrosR!$B$3:$B66,DL$1))</f>
        <v>#VALUE!</v>
      </c>
      <c r="DM66" s="16" t="str">
        <f t="array" ref="DM66">SUM(SUMIFS(INDIRECT($A$5) ,OtrosR!$C$3:$C66,$A66,OtrosR!$B$3:$B66,DL$1))</f>
        <v>#VALUE!</v>
      </c>
      <c r="DN66" s="98" t="str">
        <f t="shared" si="628"/>
        <v/>
      </c>
      <c r="DO66" s="93" t="str">
        <f t="array" ref="DO66">SUM(SUMIFS(INDIRECT($A$3) ,OtrosR!$C$3:$C66,$A66,OtrosR!$B$3:$B66,DO$1))</f>
        <v>#VALUE!</v>
      </c>
      <c r="DP66" s="17" t="str">
        <f t="array" ref="DP66">SUM(SUMIFS(INDIRECT($A$5) ,OtrosR!$C$3:$C66,$A66,OtrosR!$B$3:$B66,DO$1))</f>
        <v>#VALUE!</v>
      </c>
      <c r="DQ66" s="95" t="str">
        <f t="shared" si="629"/>
        <v/>
      </c>
      <c r="DR66" s="96" t="str">
        <f t="array" ref="DR66">SUM(SUMIFS(INDIRECT($A$3) ,OtrosR!$C$3:$C66,$A66,OtrosR!$B$3:$B66,DR$1))</f>
        <v>#VALUE!</v>
      </c>
      <c r="DS66" s="16" t="str">
        <f t="array" ref="DS66">SUM(SUMIFS(INDIRECT($A$5) ,OtrosR!$C$3:$C66,$A66,OtrosR!$B$3:$B66,DR$1))</f>
        <v>#VALUE!</v>
      </c>
      <c r="DT66" s="98" t="str">
        <f t="shared" si="630"/>
        <v/>
      </c>
      <c r="DU66" s="93" t="str">
        <f t="array" ref="DU66">SUM(SUMIFS(INDIRECT($A$3) ,OtrosR!$C$3:$C66,$A66,OtrosR!$B$3:$B66,DU$1))</f>
        <v>#VALUE!</v>
      </c>
      <c r="DV66" s="17" t="str">
        <f t="array" ref="DV66">SUM(SUMIFS(INDIRECT($A$5) ,OtrosR!$C$3:$C66,$A66,OtrosR!$B$3:$B66,DU$1))</f>
        <v>#VALUE!</v>
      </c>
      <c r="DW66" s="95" t="str">
        <f t="shared" si="631"/>
        <v/>
      </c>
      <c r="DX66" s="96" t="str">
        <f t="array" ref="DX66">SUM(SUMIFS(INDIRECT($A$3) ,OtrosR!$C$3:$C66,$A66,OtrosR!$B$3:$B66,DX$1))</f>
        <v>#VALUE!</v>
      </c>
      <c r="DY66" s="16" t="str">
        <f t="array" ref="DY66">SUM(SUMIFS(INDIRECT($A$5) ,OtrosR!$C$3:$C66,$A66,OtrosR!$B$3:$B66,DX$1))</f>
        <v>#VALUE!</v>
      </c>
      <c r="DZ66" s="98" t="str">
        <f t="shared" si="632"/>
        <v/>
      </c>
      <c r="EA66" s="93" t="str">
        <f t="array" ref="EA66">SUM(SUMIFS(INDIRECT($A$3) ,OtrosR!$C$3:$C66,$A66,OtrosR!$B$3:$B66,EA$1))</f>
        <v>#VALUE!</v>
      </c>
      <c r="EB66" s="17" t="str">
        <f t="array" ref="EB66">SUM(SUMIFS(INDIRECT($A$5) ,OtrosR!$C$3:$C66,$A66,OtrosR!$B$3:$B66,EA$1))</f>
        <v>#VALUE!</v>
      </c>
      <c r="EC66" s="95" t="str">
        <f t="shared" si="633"/>
        <v/>
      </c>
      <c r="ED66" s="96" t="str">
        <f t="array" ref="ED66">SUM(SUMIFS(INDIRECT($A$3) ,OtrosR!$C$3:$C66,$A66,OtrosR!$B$3:$B66,ED$1))</f>
        <v>#VALUE!</v>
      </c>
      <c r="EE66" s="16" t="str">
        <f t="array" ref="EE66">SUM(SUMIFS(INDIRECT($A$5) ,OtrosR!$C$3:$C66,$A66,OtrosR!$B$3:$B66,ED$1))</f>
        <v>#VALUE!</v>
      </c>
      <c r="EF66" s="98" t="str">
        <f t="shared" si="634"/>
        <v/>
      </c>
      <c r="EG66" s="93" t="str">
        <f t="array" ref="EG66">SUM(SUMIFS(INDIRECT($A$3) ,OtrosR!$C$3:$C66,$A66,OtrosR!$B$3:$B66,EG$1))</f>
        <v>#VALUE!</v>
      </c>
      <c r="EH66" s="17" t="str">
        <f t="array" ref="EH66">SUM(SUMIFS(INDIRECT($A$5) ,OtrosR!$C$3:$C66,$A66,OtrosR!$B$3:$B66,EG$1))</f>
        <v>#VALUE!</v>
      </c>
      <c r="EI66" s="95" t="str">
        <f t="shared" si="635"/>
        <v/>
      </c>
      <c r="EJ66" s="96" t="str">
        <f t="array" ref="EJ66">SUM(SUMIFS(INDIRECT($A$3) ,OtrosR!$C$3:$C66,$A66,OtrosR!$B$3:$B66,EJ$1))</f>
        <v>#VALUE!</v>
      </c>
      <c r="EK66" s="16" t="str">
        <f t="array" ref="EK66">SUM(SUMIFS(INDIRECT($A$5) ,OtrosR!$C$3:$C66,$A66,OtrosR!$B$3:$B66,EJ$1))</f>
        <v>#VALUE!</v>
      </c>
      <c r="EL66" s="98" t="str">
        <f t="shared" si="636"/>
        <v/>
      </c>
      <c r="EM66" s="93" t="str">
        <f t="array" ref="EM66">SUM(SUMIFS(INDIRECT($A$3) ,OtrosR!$C$3:$C66,$A66,OtrosR!$B$3:$B66,EM$1))</f>
        <v>#VALUE!</v>
      </c>
      <c r="EN66" s="17" t="str">
        <f t="array" ref="EN66">SUM(SUMIFS(INDIRECT($A$5) ,OtrosR!$C$3:$C66,$A66,OtrosR!$B$3:$B66,EM$1))</f>
        <v>#VALUE!</v>
      </c>
      <c r="EO66" s="95" t="str">
        <f t="shared" si="637"/>
        <v/>
      </c>
      <c r="EP66" s="96" t="str">
        <f t="array" ref="EP66">SUM(SUMIFS(INDIRECT($A$3) ,OtrosR!$C$3:$C66,$A66,OtrosR!$B$3:$B66,EP$1))</f>
        <v>#VALUE!</v>
      </c>
      <c r="EQ66" s="16" t="str">
        <f t="array" ref="EQ66">SUM(SUMIFS(INDIRECT($A$5) ,OtrosR!$C$3:$C66,$A66,OtrosR!$B$3:$B66,EP$1))</f>
        <v>#VALUE!</v>
      </c>
      <c r="ER66" s="98" t="str">
        <f t="shared" si="638"/>
        <v/>
      </c>
      <c r="ES66" s="93" t="str">
        <f t="array" ref="ES66">SUM(SUMIFS(INDIRECT($A$3) ,OtrosR!$C$3:$C66,$A66,OtrosR!$B$3:$B66,ES$1))</f>
        <v>#VALUE!</v>
      </c>
      <c r="ET66" s="17" t="str">
        <f t="array" ref="ET66">SUM(SUMIFS(INDIRECT($A$5) ,OtrosR!$C$3:$C66,$A66,OtrosR!$B$3:$B66,ES$1))</f>
        <v>#VALUE!</v>
      </c>
      <c r="EU66" s="95" t="str">
        <f t="shared" si="639"/>
        <v/>
      </c>
      <c r="EV66" s="96" t="str">
        <f t="array" ref="EV66">SUM(SUMIFS(INDIRECT($A$3) ,OtrosR!$C$3:$C66,$A66,OtrosR!$B$3:$B66,EV$1))</f>
        <v>#VALUE!</v>
      </c>
      <c r="EW66" s="16" t="str">
        <f t="array" ref="EW66">SUM(SUMIFS(INDIRECT($A$5) ,OtrosR!$C$3:$C66,$A66,OtrosR!$B$3:$B66,EV$1))</f>
        <v>#VALUE!</v>
      </c>
      <c r="EX66" s="98" t="str">
        <f t="shared" si="640"/>
        <v/>
      </c>
      <c r="EY66" s="93" t="str">
        <f t="array" ref="EY66">SUM(SUMIFS(INDIRECT($A$3) ,OtrosR!$C$3:$C66,$A66,OtrosR!$B$3:$B66,EY$1))</f>
        <v>#VALUE!</v>
      </c>
      <c r="EZ66" s="17" t="str">
        <f t="array" ref="EZ66">SUM(SUMIFS(INDIRECT($A$5) ,OtrosR!$C$3:$C66,$A66,OtrosR!$B$3:$B66,EY$1))</f>
        <v>#VALUE!</v>
      </c>
      <c r="FA66" s="95" t="str">
        <f t="shared" si="641"/>
        <v/>
      </c>
      <c r="FB66" s="96" t="str">
        <f t="array" ref="FB66">SUM(SUMIFS(INDIRECT($A$3) ,OtrosR!$C$3:$C66,$A66,OtrosR!$B$3:$B66,FB$1))</f>
        <v>#VALUE!</v>
      </c>
      <c r="FC66" s="16" t="str">
        <f t="array" ref="FC66">SUM(SUMIFS(INDIRECT($A$5) ,OtrosR!$C$3:$C66,$A66,OtrosR!$B$3:$B66,FB$1))</f>
        <v>#VALUE!</v>
      </c>
      <c r="FD66" s="98" t="str">
        <f t="shared" si="642"/>
        <v/>
      </c>
      <c r="FE66" s="93" t="str">
        <f t="array" ref="FE66">SUM(SUMIFS(INDIRECT($A$3) ,OtrosR!$C$3:$C66,$A66,OtrosR!$B$3:$B66,FE$1))</f>
        <v>#VALUE!</v>
      </c>
      <c r="FF66" s="17" t="str">
        <f t="array" ref="FF66">SUM(SUMIFS(INDIRECT($A$5) ,OtrosR!$C$3:$C66,$A66,OtrosR!$B$3:$B66,FE$1))</f>
        <v>#VALUE!</v>
      </c>
      <c r="FG66" s="95" t="str">
        <f t="shared" si="643"/>
        <v/>
      </c>
      <c r="FH66" s="96" t="str">
        <f t="array" ref="FH66">SUM(SUMIFS(INDIRECT($A$3) ,OtrosR!$C$3:$C66,$A66,OtrosR!$B$3:$B66,FH$1))</f>
        <v>#VALUE!</v>
      </c>
      <c r="FI66" s="16" t="str">
        <f t="array" ref="FI66">SUM(SUMIFS(INDIRECT($A$5) ,OtrosR!$C$3:$C66,$A66,OtrosR!$B$3:$B66,FH$1))</f>
        <v>#VALUE!</v>
      </c>
      <c r="FJ66" s="98" t="str">
        <f t="shared" si="644"/>
        <v/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V1:EX1"/>
    <mergeCell ref="EY1:FA1"/>
    <mergeCell ref="FB1:FD1"/>
    <mergeCell ref="FE1:FG1"/>
    <mergeCell ref="FH1:FJ1"/>
    <mergeCell ref="EA1:EC1"/>
    <mergeCell ref="ED1:EF1"/>
    <mergeCell ref="EG1:EI1"/>
    <mergeCell ref="EJ1:EL1"/>
    <mergeCell ref="EM1:EO1"/>
    <mergeCell ref="EP1:ER1"/>
    <mergeCell ref="ES1:EU1"/>
  </mergeCells>
  <conditionalFormatting sqref="C1 C3 D1:D50 D52:D55 D57:D66 G2 G4:G50 G52:G55 G57:G66 J2 J4:J50 J52:J55 J57:J66 M2 M4:M50 M52:M55 M57:M66 P2 P4:P50 P52:P55 P57:P66 S2 S4:S50 S52:S55 S57:S66 V2 V4:V50 V52:V55 V57:V66 Y2 Y4:Y50 Y52:Y55 Y57:Y66 AB2 AB4:AB50 AB52:AB55 AB57:AB66 AE2 AE4:AE50 AE52:AE55 AE57:AE66 AH2 AH4:AH50 AH52:AH55 AH57:AH66 AK2 AK4:AK50 AK52:AK55 AK57:AK66 AN2 AN4:AN50 AN52:AN55 AN57:AN66 AQ2 AQ4:AQ50 AQ52:AQ55 AQ57:AQ66 AT2 AT4:AT50 AT52:AT55 AT57:AT66 AW2 AW4:AW50 AW52:AW55 AW57:AW66 AZ2 AZ4:AZ50 AZ52:AZ55 AZ57:AZ66 BC2 BC4:BC50 BC52:BC55 BC57:BC66 BF2 BF4:BF50 BF52:BF55 BF57:BF66 BI2 BI4:BI50 BI52:BI55 BI57:BI66 BL2 BL4:BL50 BL52:BL55 BL57:BL66 BO2 BO4:BO50 BO52:BO55 BO57:BO66 BR2 BR4:BR50 BR52:BR55 BR57:BR66 BU2 BU4:BU50 BU52:BU55 BU57:BU66 BX2 BX4:BX50 BX52:BX55 BX57:BX66 CA2 CA4:CA50 CA52:CA55 CA57:CA66 CD2 CD4:CD50 CD52:CD55 CD57:CD66 CG2 CG4:CG50 CG52:CG55 CG57:CG66 CJ2 CJ4:CJ50 CJ52:CJ55 CJ57:CJ66 CM2 CM4:CM50 CM52:CM55 CM57:CM66 CP2 CP4:CP50 CP52:CP55 CP57:CP66 CS2 CS4:CS50 CS52:CS55 CS57:CS66 CV2 CV4:CV50 CV52:CV55 CV57:CV66 CY2:CY50 CY52:CY55 CY57:CY66 DB2:DB50 DB52:DB55 DB57:DB66 DE2:DE50 DE52:DE55 DE57:DE66 DH2:DH50 DH52:DH55 DH57:DH66 DK2:DK50 DK52:DK55 DK57:DK66 DN2:DN66 DQ2:DQ66 DT2:DT50 DT52:DT55 DT57:DT66 DW2:DW50 DW52:DW55 DW57:DW66 DZ2:DZ50 DZ52:DZ55 DZ57:DZ66 EC2:EC50 EC52:EC55 EC57:EC66 EF2:EF50 EF52:EF55 EF57:EF66 EI2:EI50 EI52:EI55 EI57:EI66 EL2:EL50 EL52:EL55 EL57:EL66 EO2:EO50 EO52:EO55 EO57:EO66 ER2:ER50 ER52:ER55 ER57:ER66 EU2:EU50 EU52:EU55 EU57:EU66 EX2:EX50 EX52:EX55 EX57:EX66 FA2:FA50 FA52:FA55 FA57:FA66 FD2:FD50 FD52:FD55 FD57:FD66 FG2:FG50 FG52:FG55 FG57:FG66 FJ2:FJ50 FJ52:FJ55 FJ57:FJ66">
    <cfRule type="cellIs" dxfId="0" priority="1" operator="greaterThanOrEqual">
      <formula>0</formula>
    </cfRule>
  </conditionalFormatting>
  <conditionalFormatting sqref="C1 C3 D1:D50 D52:D55 D57:D66 G2 G4:G50 G52:G55 G57:G66 J2 J4:J50 J52:J55 J57:J66 M2 M4:M50 M52:M55 M57:M66 P2 P4:P50 P52:P55 P57:P66 S2 S4:S50 S52:S55 S57:S66 V2 V4:V50 V52:V55 V57:V66 Y2 Y4:Y50 Y52:Y55 Y57:Y66 AB2 AB4:AB50 AB52:AB55 AB57:AB66 AE2 AE4:AE50 AE52:AE55 AE57:AE66 AH2 AH4:AH50 AH52:AH55 AH57:AH66 AK2 AK4:AK50 AK52:AK55 AK57:AK66 AN2 AN4:AN50 AN52:AN55 AN57:AN66 AQ2 AQ4:AQ50 AQ52:AQ55 AQ57:AQ66 AT2 AT4:AT50 AT52:AT55 AT57:AT66 AW2 AW4:AW50 AW52:AW55 AW57:AW66 AZ2 AZ4:AZ50 AZ52:AZ55 AZ57:AZ66 BC2 BC4:BC50 BC52:BC55 BC57:BC66 BF2 BF4:BF50 BF52:BF55 BF57:BF66 BI2 BI4:BI50 BI52:BI55 BI57:BI66 BL2 BL4:BL50 BL52:BL55 BL57:BL66 BO2 BO4:BO50 BO52:BO55 BO57:BO66 BR2 BR4:BR50 BR52:BR55 BR57:BR66 BU2 BU4:BU50 BU52:BU55 BU57:BU66 BX2 BX4:BX50 BX52:BX55 BX57:BX66 CA2 CA4:CA50 CA52:CA55 CA57:CA66 CD2 CD4:CD50 CD52:CD55 CD57:CD66 CG2 CG4:CG50 CG52:CG55 CG57:CG66 CJ2 CJ4:CJ50 CJ52:CJ55 CJ57:CJ66 CM2 CM4:CM50 CM52:CM55 CM57:CM66 CP2 CP4:CP50 CP52:CP55 CP57:CP66 CS2 CS4:CS50 CS52:CS55 CS57:CS66 CV2 CV4:CV50 CV52:CV55 CV57:CV66 CY2:CY50 CY52:CY55 CY57:CY66 DB2:DB50 DB52:DB55 DB57:DB66 DE2:DE50 DE52:DE55 DE57:DE66 DH2:DH50 DH52:DH55 DH57:DH66 DK2:DK50 DK52:DK55 DK57:DK66 DN2:DN66 DQ2:DQ66 DT2:DT50 DT52:DT55 DT57:DT66 DW2:DW50 DW52:DW55 DW57:DW66 DZ2:DZ50 DZ52:DZ55 DZ57:DZ66 EC2:EC50 EC52:EC55 EC57:EC66 EF2:EF50 EF52:EF55 EF57:EF66 EI2:EI50 EI52:EI55 EI57:EI66 EL2:EL50 EL52:EL55 EL57:EL66 EO2:EO50 EO52:EO55 EO57:EO66 ER2:ER50 ER52:ER55 ER57:ER66 EU2:EU50 EU52:EU55 EU57:EU66 EX2:EX50 EX52:EX55 EX57:EX66 FA2:FA50 FA52:FA55 FA57:FA66 FD2:FD50 FD52:FD55 FD57:FD66 FG2:FG50 FG52:FG55 FG57:FG66 FJ2:FJ50 FJ52:FJ55 FJ57:FJ66">
    <cfRule type="cellIs" dxfId="1" priority="2" operator="lessThan">
      <formula>0</formula>
    </cfRule>
  </conditionalFormatting>
  <dataValidations>
    <dataValidation type="list" allowBlank="1" showErrorMessage="1" sqref="E1">
      <formula1>Menus!$A$2:$A66</formula1>
    </dataValidation>
    <dataValidation type="list" allowBlank="1" showErrorMessage="1" sqref="A1:A2">
      <formula1>Menus!$E$2:$E66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5"/>
    <col customWidth="1" min="2" max="2" width="13.75"/>
    <col customWidth="1" min="3" max="8" width="12.63"/>
    <col customWidth="1" min="9" max="9" width="7.88"/>
    <col customWidth="1" min="10" max="10" width="11.88"/>
    <col customWidth="1" min="11" max="11" width="8.63"/>
    <col customWidth="1" min="12" max="12" width="11.38"/>
    <col customWidth="1" min="13" max="13" width="10.63"/>
    <col customWidth="1" min="14" max="14" width="13.75"/>
    <col customWidth="1" min="15" max="15" width="8.88"/>
  </cols>
  <sheetData>
    <row r="1" ht="15.75" customHeight="1">
      <c r="A1" s="34" t="s">
        <v>28</v>
      </c>
      <c r="B1" s="35" t="s">
        <v>2</v>
      </c>
      <c r="C1" s="35" t="s">
        <v>3</v>
      </c>
      <c r="D1" s="35" t="s">
        <v>4</v>
      </c>
      <c r="E1" s="35" t="s">
        <v>5</v>
      </c>
      <c r="F1" s="35" t="s">
        <v>6</v>
      </c>
      <c r="G1" s="35" t="s">
        <v>7</v>
      </c>
      <c r="H1" s="35" t="s">
        <v>8</v>
      </c>
      <c r="I1" s="35" t="s">
        <v>9</v>
      </c>
      <c r="J1" s="35" t="s">
        <v>10</v>
      </c>
      <c r="K1" s="35" t="s">
        <v>11</v>
      </c>
      <c r="L1" s="35" t="s">
        <v>12</v>
      </c>
      <c r="M1" s="35" t="s">
        <v>13</v>
      </c>
      <c r="N1" s="34" t="s">
        <v>29</v>
      </c>
      <c r="O1" s="34" t="s">
        <v>30</v>
      </c>
    </row>
    <row r="2" ht="15.75" customHeight="1">
      <c r="A2" s="110" t="s">
        <v>31</v>
      </c>
      <c r="B2" s="15">
        <v>275461.29</v>
      </c>
      <c r="C2" s="15">
        <v>280558.8</v>
      </c>
      <c r="D2" s="15">
        <v>311883.68</v>
      </c>
      <c r="E2" s="15">
        <v>301670.11</v>
      </c>
      <c r="F2" s="15">
        <v>318990.43</v>
      </c>
      <c r="G2" s="15">
        <v>278286.87</v>
      </c>
      <c r="H2" s="15">
        <v>309371.74</v>
      </c>
      <c r="I2" s="15" t="str">
        <f t="shared" ref="I2:M2" si="1">IFERROR(
  LET(
    hoja,       LEFT(I$1,3)&amp;"R",
    fila,       MATCH( RIGHT($A2, LEN($A2)),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" s="15" t="str">
        <f t="shared" si="1"/>
        <v/>
      </c>
      <c r="K2" s="15" t="str">
        <f t="shared" si="1"/>
        <v/>
      </c>
      <c r="L2" s="15" t="str">
        <f t="shared" si="1"/>
        <v/>
      </c>
      <c r="M2" s="15" t="str">
        <f t="shared" si="1"/>
        <v/>
      </c>
      <c r="N2" s="111">
        <f t="shared" ref="N2:N31" si="3">SUM(B2:M2)</f>
        <v>2076222.92</v>
      </c>
      <c r="O2" s="112">
        <f t="shared" ref="O2:O31" si="4">N2/$N$32</f>
        <v>0.2634242348</v>
      </c>
    </row>
    <row r="3" ht="15.75" customHeight="1">
      <c r="A3" s="110" t="s">
        <v>32</v>
      </c>
      <c r="B3" s="15">
        <v>12453.41</v>
      </c>
      <c r="C3" s="15">
        <v>14295.6</v>
      </c>
      <c r="D3" s="15">
        <v>17675.62</v>
      </c>
      <c r="E3" s="15">
        <v>15575.45</v>
      </c>
      <c r="F3" s="15">
        <v>53559.63</v>
      </c>
      <c r="G3" s="15">
        <v>34827.44</v>
      </c>
      <c r="H3" s="15">
        <v>32694.08</v>
      </c>
      <c r="I3" s="15" t="str">
        <f t="shared" ref="I3:M3" si="2">IFERROR(
  LET(
    hoja,       LEFT(I$1,3)&amp;"R",
    fila,       MATCH( RIGHT($A3, LEN($A3)),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3" s="15" t="str">
        <f t="shared" si="2"/>
        <v/>
      </c>
      <c r="K3" s="15" t="str">
        <f t="shared" si="2"/>
        <v/>
      </c>
      <c r="L3" s="15" t="str">
        <f t="shared" si="2"/>
        <v/>
      </c>
      <c r="M3" s="15" t="str">
        <f t="shared" si="2"/>
        <v/>
      </c>
      <c r="N3" s="111">
        <f t="shared" si="3"/>
        <v>181081.23</v>
      </c>
      <c r="O3" s="112">
        <f t="shared" si="4"/>
        <v>0.02297498211</v>
      </c>
    </row>
    <row r="4" ht="15.75" customHeight="1">
      <c r="A4" s="110" t="s">
        <v>33</v>
      </c>
      <c r="B4" s="15">
        <v>13193.04</v>
      </c>
      <c r="C4" s="15">
        <v>14388.41</v>
      </c>
      <c r="D4" s="15">
        <v>12960.92</v>
      </c>
      <c r="E4" s="15">
        <v>15924.03</v>
      </c>
      <c r="F4" s="15">
        <v>14350.46</v>
      </c>
      <c r="G4" s="15">
        <v>15922.26</v>
      </c>
      <c r="H4" s="15">
        <v>13812.68</v>
      </c>
      <c r="I4" s="15" t="str">
        <f t="shared" ref="I4:M4" si="5">IFERROR(
  LET(
    hoja,       LEFT(I$1,3)&amp;"R",
    fila,       MATCH( RIGHT($A4, LEN($A4)),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4" s="15" t="str">
        <f t="shared" si="5"/>
        <v/>
      </c>
      <c r="K4" s="15" t="str">
        <f t="shared" si="5"/>
        <v/>
      </c>
      <c r="L4" s="15" t="str">
        <f t="shared" si="5"/>
        <v/>
      </c>
      <c r="M4" s="15" t="str">
        <f t="shared" si="5"/>
        <v/>
      </c>
      <c r="N4" s="111">
        <f t="shared" si="3"/>
        <v>100551.8</v>
      </c>
      <c r="O4" s="112">
        <f t="shared" si="4"/>
        <v>0.0127576768</v>
      </c>
    </row>
    <row r="5" ht="15.75" customHeight="1">
      <c r="A5" s="110" t="s">
        <v>34</v>
      </c>
      <c r="B5" s="15">
        <v>7499.76</v>
      </c>
      <c r="C5" s="15">
        <v>8855.2</v>
      </c>
      <c r="D5" s="15">
        <v>7267.12</v>
      </c>
      <c r="E5" s="15">
        <v>8980.28</v>
      </c>
      <c r="F5" s="15">
        <v>8025.53</v>
      </c>
      <c r="G5" s="15">
        <v>8957.57</v>
      </c>
      <c r="H5" s="15">
        <v>20425.72</v>
      </c>
      <c r="I5" s="15" t="str">
        <f t="shared" ref="I5:M5" si="6">IFERROR(
  LET(
    hoja,       LEFT(I$1,3)&amp;"R",
    fila,       MATCH( RIGHT($A5, LEN($A5)),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5" s="15" t="str">
        <f t="shared" si="6"/>
        <v/>
      </c>
      <c r="K5" s="15" t="str">
        <f t="shared" si="6"/>
        <v/>
      </c>
      <c r="L5" s="15" t="str">
        <f t="shared" si="6"/>
        <v/>
      </c>
      <c r="M5" s="15" t="str">
        <f t="shared" si="6"/>
        <v/>
      </c>
      <c r="N5" s="111">
        <f t="shared" si="3"/>
        <v>70011.18</v>
      </c>
      <c r="O5" s="112">
        <f t="shared" si="4"/>
        <v>0.008882784858</v>
      </c>
    </row>
    <row r="6" ht="15.75" customHeight="1">
      <c r="A6" s="113" t="s">
        <v>35</v>
      </c>
      <c r="B6" s="15">
        <v>10261.34</v>
      </c>
      <c r="C6" s="15">
        <v>11197.76</v>
      </c>
      <c r="D6" s="15">
        <v>8490.16</v>
      </c>
      <c r="E6" s="15">
        <v>8714.11</v>
      </c>
      <c r="F6" s="15">
        <v>9112.21</v>
      </c>
      <c r="G6" s="15">
        <v>8483.05</v>
      </c>
      <c r="H6" s="15">
        <v>8288.03</v>
      </c>
      <c r="I6" s="15" t="str">
        <f t="shared" ref="I6:M6" si="7">IFERROR(
  LET(
    hoja,       LEFT(I$1,3)&amp;"R",
    fila,       MATCH( RIGHT($A6, LEN($A6)),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6" s="15" t="str">
        <f t="shared" si="7"/>
        <v/>
      </c>
      <c r="K6" s="15" t="str">
        <f t="shared" si="7"/>
        <v/>
      </c>
      <c r="L6" s="15" t="str">
        <f t="shared" si="7"/>
        <v/>
      </c>
      <c r="M6" s="15" t="str">
        <f t="shared" si="7"/>
        <v/>
      </c>
      <c r="N6" s="111">
        <f t="shared" si="3"/>
        <v>64546.66</v>
      </c>
      <c r="O6" s="112">
        <f t="shared" si="4"/>
        <v>0.008189464798</v>
      </c>
    </row>
    <row r="7" ht="15.75" customHeight="1">
      <c r="A7" s="110" t="s">
        <v>36</v>
      </c>
      <c r="B7" s="15">
        <v>1847.0</v>
      </c>
      <c r="C7" s="15">
        <v>1669.0</v>
      </c>
      <c r="D7" s="15">
        <v>1447.0</v>
      </c>
      <c r="E7" s="15">
        <v>1244.0</v>
      </c>
      <c r="F7" s="15">
        <v>1415.57</v>
      </c>
      <c r="G7" s="15">
        <v>2523.79</v>
      </c>
      <c r="H7" s="15">
        <v>1929.06</v>
      </c>
      <c r="I7" s="15" t="str">
        <f t="shared" ref="I7:M7" si="8">IFERROR(
  LET(
    hoja,       LEFT(I$1,3)&amp;"R",
    fila,       MATCH( RIGHT($A7, LEN($A7)),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7" s="15" t="str">
        <f t="shared" si="8"/>
        <v/>
      </c>
      <c r="K7" s="15" t="str">
        <f t="shared" si="8"/>
        <v/>
      </c>
      <c r="L7" s="15" t="str">
        <f t="shared" si="8"/>
        <v/>
      </c>
      <c r="M7" s="15" t="str">
        <f t="shared" si="8"/>
        <v/>
      </c>
      <c r="N7" s="111">
        <f t="shared" si="3"/>
        <v>12075.42</v>
      </c>
      <c r="O7" s="112">
        <f t="shared" si="4"/>
        <v>0.001532088988</v>
      </c>
    </row>
    <row r="8" ht="15.75" customHeight="1">
      <c r="A8" s="110" t="s">
        <v>37</v>
      </c>
      <c r="B8" s="15">
        <v>22066.0</v>
      </c>
      <c r="C8" s="15">
        <v>34256.0</v>
      </c>
      <c r="D8" s="15">
        <v>985.0</v>
      </c>
      <c r="E8" s="15">
        <v>417.0</v>
      </c>
      <c r="F8" s="15">
        <v>2407.8</v>
      </c>
      <c r="G8" s="15">
        <v>638.8</v>
      </c>
      <c r="H8" s="15">
        <v>0.0</v>
      </c>
      <c r="I8" s="15" t="str">
        <f t="shared" ref="I8:M8" si="9">IFERROR(
  LET(
    hoja,       LEFT(I$1,3)&amp;"R",
    fila,       MATCH( RIGHT($A8, LEN($A8)),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8" s="15" t="str">
        <f t="shared" si="9"/>
        <v/>
      </c>
      <c r="K8" s="15" t="str">
        <f t="shared" si="9"/>
        <v/>
      </c>
      <c r="L8" s="15" t="str">
        <f t="shared" si="9"/>
        <v/>
      </c>
      <c r="M8" s="15" t="str">
        <f t="shared" si="9"/>
        <v/>
      </c>
      <c r="N8" s="111">
        <f t="shared" si="3"/>
        <v>60770.6</v>
      </c>
      <c r="O8" s="112">
        <f t="shared" si="4"/>
        <v>0.007710370908</v>
      </c>
    </row>
    <row r="9" ht="15.75" customHeight="1">
      <c r="A9" s="110" t="s">
        <v>38</v>
      </c>
      <c r="B9" s="15" t="s">
        <v>39</v>
      </c>
      <c r="C9" s="15">
        <v>6210.0</v>
      </c>
      <c r="D9" s="15">
        <v>6660.0</v>
      </c>
      <c r="E9" s="15" t="s">
        <v>39</v>
      </c>
      <c r="F9" s="15" t="s">
        <v>39</v>
      </c>
      <c r="G9" s="15" t="s">
        <v>39</v>
      </c>
      <c r="H9" s="15">
        <v>0.0</v>
      </c>
      <c r="I9" s="15" t="str">
        <f t="shared" ref="I9:M9" si="10">IFERROR(
  LET(
    hoja,       LEFT(I$1,3)&amp;"R",
    fila,       MATCH( RIGHT($A9, LEN($A9)),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9" s="15" t="str">
        <f t="shared" si="10"/>
        <v/>
      </c>
      <c r="K9" s="15" t="str">
        <f t="shared" si="10"/>
        <v/>
      </c>
      <c r="L9" s="15" t="str">
        <f t="shared" si="10"/>
        <v/>
      </c>
      <c r="M9" s="15" t="str">
        <f t="shared" si="10"/>
        <v/>
      </c>
      <c r="N9" s="111">
        <f t="shared" si="3"/>
        <v>12870</v>
      </c>
      <c r="O9" s="112">
        <f t="shared" si="4"/>
        <v>0.001632902647</v>
      </c>
    </row>
    <row r="10" ht="15.75" customHeight="1">
      <c r="A10" s="110" t="s">
        <v>40</v>
      </c>
      <c r="B10" s="15">
        <v>1293.0</v>
      </c>
      <c r="C10" s="15" t="s">
        <v>39</v>
      </c>
      <c r="D10" s="15">
        <v>1293.0</v>
      </c>
      <c r="E10" s="15" t="s">
        <v>39</v>
      </c>
      <c r="F10" s="15" t="s">
        <v>39</v>
      </c>
      <c r="G10" s="15" t="s">
        <v>39</v>
      </c>
      <c r="H10" s="15">
        <v>1292.9</v>
      </c>
      <c r="I10" s="15" t="str">
        <f t="shared" ref="I10:M10" si="11">IFERROR(
  LET(
    hoja,       LEFT(I$1,3)&amp;"R",
    fila,       MATCH( RIGHT($A10, LEN($A10)),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0" s="15" t="str">
        <f t="shared" si="11"/>
        <v/>
      </c>
      <c r="K10" s="15" t="str">
        <f t="shared" si="11"/>
        <v/>
      </c>
      <c r="L10" s="15" t="str">
        <f t="shared" si="11"/>
        <v/>
      </c>
      <c r="M10" s="15" t="str">
        <f t="shared" si="11"/>
        <v/>
      </c>
      <c r="N10" s="111">
        <f t="shared" si="3"/>
        <v>3878.9</v>
      </c>
      <c r="O10" s="112">
        <f t="shared" si="4"/>
        <v>0.0004921418863</v>
      </c>
    </row>
    <row r="11" ht="15.75" customHeight="1">
      <c r="A11" s="110" t="s">
        <v>41</v>
      </c>
      <c r="B11" s="15">
        <v>687.94</v>
      </c>
      <c r="C11" s="15">
        <v>8062.12</v>
      </c>
      <c r="D11" s="15">
        <v>4314.67</v>
      </c>
      <c r="E11" s="15">
        <v>4881.91</v>
      </c>
      <c r="F11" s="15">
        <v>3180.2</v>
      </c>
      <c r="G11" s="15">
        <v>3747.44</v>
      </c>
      <c r="H11" s="15">
        <v>7150.91</v>
      </c>
      <c r="I11" s="15" t="str">
        <f t="shared" ref="I11:M11" si="12">IFERROR(
  LET(
    hoja,       LEFT(I$1,3)&amp;"R",
    fila,       MATCH( RIGHT($A11, LEN($A11)),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1" s="15" t="str">
        <f t="shared" si="12"/>
        <v/>
      </c>
      <c r="K11" s="15" t="str">
        <f t="shared" si="12"/>
        <v/>
      </c>
      <c r="L11" s="15" t="str">
        <f t="shared" si="12"/>
        <v/>
      </c>
      <c r="M11" s="15" t="str">
        <f t="shared" si="12"/>
        <v/>
      </c>
      <c r="N11" s="111">
        <f t="shared" si="3"/>
        <v>32025.19</v>
      </c>
      <c r="O11" s="112">
        <f t="shared" si="4"/>
        <v>0.004063249224</v>
      </c>
    </row>
    <row r="12" ht="15.75" customHeight="1">
      <c r="A12" s="110" t="s">
        <v>42</v>
      </c>
      <c r="B12" s="15">
        <v>187.52</v>
      </c>
      <c r="C12" s="15">
        <v>632.25</v>
      </c>
      <c r="D12" s="15">
        <v>2653.51</v>
      </c>
      <c r="E12" s="15">
        <v>3876.58</v>
      </c>
      <c r="F12" s="15">
        <v>285.1</v>
      </c>
      <c r="G12" s="15">
        <v>4402.73</v>
      </c>
      <c r="H12" s="15">
        <v>270.95</v>
      </c>
      <c r="I12" s="15" t="str">
        <f t="shared" ref="I12:M12" si="13">IFERROR(
  LET(
    hoja,       LEFT(I$1,3)&amp;"R",
    fila,       MATCH( RIGHT($A12, LEN($A12)),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2" s="15" t="str">
        <f t="shared" si="13"/>
        <v/>
      </c>
      <c r="K12" s="15" t="str">
        <f t="shared" si="13"/>
        <v/>
      </c>
      <c r="L12" s="15" t="str">
        <f t="shared" si="13"/>
        <v/>
      </c>
      <c r="M12" s="15" t="str">
        <f t="shared" si="13"/>
        <v/>
      </c>
      <c r="N12" s="111">
        <f t="shared" si="3"/>
        <v>12308.64</v>
      </c>
      <c r="O12" s="112">
        <f t="shared" si="4"/>
        <v>0.001561679164</v>
      </c>
    </row>
    <row r="13" ht="15.75" customHeight="1">
      <c r="A13" s="110" t="s">
        <v>43</v>
      </c>
      <c r="B13" s="15">
        <v>43426.74</v>
      </c>
      <c r="C13" s="15">
        <v>44837.98</v>
      </c>
      <c r="D13" s="15">
        <v>44837.96</v>
      </c>
      <c r="E13" s="15">
        <v>44837.96</v>
      </c>
      <c r="F13" s="15">
        <v>44837.96</v>
      </c>
      <c r="G13" s="15">
        <v>44837.96</v>
      </c>
      <c r="H13" s="15">
        <v>44837.96</v>
      </c>
      <c r="I13" s="15" t="str">
        <f t="shared" ref="I13:M13" si="14">IFERROR(
  LET(
    hoja,       LEFT(I$1,3)&amp;"R",
    fila,       MATCH( RIGHT($A13, LEN($A13)),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3" s="15" t="str">
        <f t="shared" si="14"/>
        <v/>
      </c>
      <c r="K13" s="15" t="str">
        <f t="shared" si="14"/>
        <v/>
      </c>
      <c r="L13" s="15" t="str">
        <f t="shared" si="14"/>
        <v/>
      </c>
      <c r="M13" s="15" t="str">
        <f t="shared" si="14"/>
        <v/>
      </c>
      <c r="N13" s="111">
        <f t="shared" si="3"/>
        <v>312454.52</v>
      </c>
      <c r="O13" s="112">
        <f t="shared" si="4"/>
        <v>0.03964318669</v>
      </c>
    </row>
    <row r="14" ht="15.75" customHeight="1">
      <c r="A14" s="110" t="s">
        <v>44</v>
      </c>
      <c r="B14" s="15" t="s">
        <v>39</v>
      </c>
      <c r="C14" s="15" t="s">
        <v>39</v>
      </c>
      <c r="D14" s="15">
        <v>0.0</v>
      </c>
      <c r="E14" s="15" t="s">
        <v>39</v>
      </c>
      <c r="F14" s="15" t="s">
        <v>39</v>
      </c>
      <c r="G14" s="15" t="s">
        <v>39</v>
      </c>
      <c r="H14" s="15">
        <v>0.0</v>
      </c>
      <c r="I14" s="15" t="str">
        <f t="shared" ref="I14:M14" si="15">IFERROR(
  LET(
    hoja,       LEFT(I$1,3)&amp;"R",
    fila,       MATCH( RIGHT($A14, LEN($A14)),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4" s="15" t="str">
        <f t="shared" si="15"/>
        <v/>
      </c>
      <c r="K14" s="15" t="str">
        <f t="shared" si="15"/>
        <v/>
      </c>
      <c r="L14" s="15" t="str">
        <f t="shared" si="15"/>
        <v/>
      </c>
      <c r="M14" s="15" t="str">
        <f t="shared" si="15"/>
        <v/>
      </c>
      <c r="N14" s="111">
        <f t="shared" si="3"/>
        <v>0</v>
      </c>
      <c r="O14" s="112">
        <f t="shared" si="4"/>
        <v>0</v>
      </c>
    </row>
    <row r="15" ht="15.75" customHeight="1">
      <c r="A15" s="110" t="s">
        <v>45</v>
      </c>
      <c r="B15" s="15" t="s">
        <v>39</v>
      </c>
      <c r="C15" s="15" t="s">
        <v>39</v>
      </c>
      <c r="D15" s="15">
        <v>0.0</v>
      </c>
      <c r="E15" s="15">
        <v>2100.0</v>
      </c>
      <c r="F15" s="15">
        <v>4088.66</v>
      </c>
      <c r="G15" s="15">
        <v>2100.0</v>
      </c>
      <c r="H15" s="15">
        <v>2100.0</v>
      </c>
      <c r="I15" s="15" t="str">
        <f t="shared" ref="I15:M15" si="16">IFERROR(
  LET(
    hoja,       LEFT(I$1,3)&amp;"R",
    fila,       MATCH( RIGHT($A15, LEN($A15)),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5" s="15" t="str">
        <f t="shared" si="16"/>
        <v/>
      </c>
      <c r="K15" s="15" t="str">
        <f t="shared" si="16"/>
        <v/>
      </c>
      <c r="L15" s="15" t="str">
        <f t="shared" si="16"/>
        <v/>
      </c>
      <c r="M15" s="15" t="str">
        <f t="shared" si="16"/>
        <v/>
      </c>
      <c r="N15" s="111">
        <f t="shared" si="3"/>
        <v>10388.66</v>
      </c>
      <c r="O15" s="112">
        <f t="shared" si="4"/>
        <v>0.001318078509</v>
      </c>
    </row>
    <row r="16" ht="15.75" customHeight="1">
      <c r="A16" s="110" t="s">
        <v>46</v>
      </c>
      <c r="B16" s="15">
        <v>220.58</v>
      </c>
      <c r="C16" s="15">
        <v>12945.0</v>
      </c>
      <c r="D16" s="15">
        <v>441.16</v>
      </c>
      <c r="E16" s="15">
        <v>12722.53</v>
      </c>
      <c r="F16" s="15">
        <v>220.58</v>
      </c>
      <c r="G16" s="15" t="s">
        <v>39</v>
      </c>
      <c r="H16" s="15">
        <v>441.16</v>
      </c>
      <c r="I16" s="15" t="str">
        <f t="shared" ref="I16:M16" si="17">IFERROR(
  LET(
    hoja,       LEFT(I$1,3)&amp;"R",
    fila,       MATCH( RIGHT($A16, LEN($A16)),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6" s="15" t="str">
        <f t="shared" si="17"/>
        <v/>
      </c>
      <c r="K16" s="15" t="str">
        <f t="shared" si="17"/>
        <v/>
      </c>
      <c r="L16" s="15" t="str">
        <f t="shared" si="17"/>
        <v/>
      </c>
      <c r="M16" s="15" t="str">
        <f t="shared" si="17"/>
        <v/>
      </c>
      <c r="N16" s="111">
        <f t="shared" si="3"/>
        <v>26991.01</v>
      </c>
      <c r="O16" s="112">
        <f t="shared" si="4"/>
        <v>0.003424529267</v>
      </c>
    </row>
    <row r="17" ht="15.75" customHeight="1">
      <c r="A17" s="110" t="s">
        <v>47</v>
      </c>
      <c r="B17" s="15" t="s">
        <v>39</v>
      </c>
      <c r="C17" s="15">
        <v>1600.0</v>
      </c>
      <c r="D17" s="15">
        <v>0.0</v>
      </c>
      <c r="E17" s="15" t="s">
        <v>39</v>
      </c>
      <c r="F17" s="15" t="s">
        <v>39</v>
      </c>
      <c r="G17" s="15" t="s">
        <v>39</v>
      </c>
      <c r="H17" s="15">
        <v>0.0</v>
      </c>
      <c r="I17" s="15" t="str">
        <f t="shared" ref="I17:M17" si="18">IFERROR(
  LET(
    hoja,       LEFT(I$1,3)&amp;"R",
    fila,       MATCH( RIGHT($A17, LEN($A17)),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7" s="15" t="str">
        <f t="shared" si="18"/>
        <v/>
      </c>
      <c r="K17" s="15" t="str">
        <f t="shared" si="18"/>
        <v/>
      </c>
      <c r="L17" s="15" t="str">
        <f t="shared" si="18"/>
        <v/>
      </c>
      <c r="M17" s="15" t="str">
        <f t="shared" si="18"/>
        <v/>
      </c>
      <c r="N17" s="111">
        <f t="shared" si="3"/>
        <v>1600</v>
      </c>
      <c r="O17" s="112">
        <f t="shared" si="4"/>
        <v>0.0002030026601</v>
      </c>
    </row>
    <row r="18" ht="15.75" customHeight="1">
      <c r="A18" s="110" t="s">
        <v>48</v>
      </c>
      <c r="B18" s="15">
        <v>18703.14</v>
      </c>
      <c r="C18" s="15">
        <v>18703.14</v>
      </c>
      <c r="D18" s="15">
        <v>18703.14</v>
      </c>
      <c r="E18" s="15">
        <v>18703.14</v>
      </c>
      <c r="F18" s="15">
        <v>18703.14</v>
      </c>
      <c r="G18" s="15">
        <v>18703.14</v>
      </c>
      <c r="H18" s="15">
        <v>18703.14</v>
      </c>
      <c r="I18" s="15" t="str">
        <f t="shared" ref="I18:M18" si="19">IFERROR(
  LET(
    hoja,       LEFT(I$1,3)&amp;"R",
    fila,       MATCH( RIGHT($A18, LEN($A18)),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8" s="15" t="str">
        <f t="shared" si="19"/>
        <v/>
      </c>
      <c r="K18" s="15" t="str">
        <f t="shared" si="19"/>
        <v/>
      </c>
      <c r="L18" s="15" t="str">
        <f t="shared" si="19"/>
        <v/>
      </c>
      <c r="M18" s="15" t="str">
        <f t="shared" si="19"/>
        <v/>
      </c>
      <c r="N18" s="111">
        <f t="shared" si="3"/>
        <v>130921.98</v>
      </c>
      <c r="O18" s="112">
        <f t="shared" si="4"/>
        <v>0.01661094387</v>
      </c>
    </row>
    <row r="19" ht="15.75" customHeight="1">
      <c r="A19" s="110" t="s">
        <v>49</v>
      </c>
      <c r="B19" s="15" t="s">
        <v>39</v>
      </c>
      <c r="C19" s="15" t="s">
        <v>39</v>
      </c>
      <c r="D19" s="15">
        <v>0.0</v>
      </c>
      <c r="E19" s="15" t="s">
        <v>39</v>
      </c>
      <c r="F19" s="15" t="s">
        <v>39</v>
      </c>
      <c r="G19" s="15" t="s">
        <v>39</v>
      </c>
      <c r="H19" s="15">
        <v>0.0</v>
      </c>
      <c r="I19" s="15" t="str">
        <f t="shared" ref="I19:M19" si="20">IFERROR(
  LET(
    hoja,       LEFT(I$1,3)&amp;"R",
    fila,       MATCH( RIGHT($A19, LEN($A19)),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19" s="15" t="str">
        <f t="shared" si="20"/>
        <v/>
      </c>
      <c r="K19" s="15" t="str">
        <f t="shared" si="20"/>
        <v/>
      </c>
      <c r="L19" s="15" t="str">
        <f t="shared" si="20"/>
        <v/>
      </c>
      <c r="M19" s="15" t="str">
        <f t="shared" si="20"/>
        <v/>
      </c>
      <c r="N19" s="111">
        <f t="shared" si="3"/>
        <v>0</v>
      </c>
      <c r="O19" s="112">
        <f t="shared" si="4"/>
        <v>0</v>
      </c>
    </row>
    <row r="20" ht="15.75" customHeight="1">
      <c r="A20" s="110" t="s">
        <v>50</v>
      </c>
      <c r="B20" s="15">
        <v>5000.0</v>
      </c>
      <c r="C20" s="15">
        <v>15000.0</v>
      </c>
      <c r="D20" s="15">
        <v>5000.0</v>
      </c>
      <c r="E20" s="15">
        <v>5000.0</v>
      </c>
      <c r="F20" s="15">
        <v>5000.0</v>
      </c>
      <c r="G20" s="15">
        <v>5000.0</v>
      </c>
      <c r="H20" s="15">
        <v>5000.0</v>
      </c>
      <c r="I20" s="15" t="str">
        <f t="shared" ref="I20:M20" si="21">IFERROR(
  LET(
    hoja,       LEFT(I$1,3)&amp;"R",
    fila,       MATCH( RIGHT($A20, LEN($A20)),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0" s="15" t="str">
        <f t="shared" si="21"/>
        <v/>
      </c>
      <c r="K20" s="15" t="str">
        <f t="shared" si="21"/>
        <v/>
      </c>
      <c r="L20" s="15" t="str">
        <f t="shared" si="21"/>
        <v/>
      </c>
      <c r="M20" s="15" t="str">
        <f t="shared" si="21"/>
        <v/>
      </c>
      <c r="N20" s="111">
        <f t="shared" si="3"/>
        <v>45000</v>
      </c>
      <c r="O20" s="112">
        <f t="shared" si="4"/>
        <v>0.005709449814</v>
      </c>
    </row>
    <row r="21" ht="15.75" customHeight="1">
      <c r="A21" s="110" t="s">
        <v>51</v>
      </c>
      <c r="B21" s="15">
        <v>12677.54</v>
      </c>
      <c r="C21" s="15">
        <v>18400.0</v>
      </c>
      <c r="D21" s="15">
        <v>0.0</v>
      </c>
      <c r="E21" s="15" t="s">
        <v>39</v>
      </c>
      <c r="F21" s="15" t="s">
        <v>39</v>
      </c>
      <c r="G21" s="15">
        <v>8837.78</v>
      </c>
      <c r="H21" s="15">
        <v>0.0</v>
      </c>
      <c r="I21" s="15" t="str">
        <f t="shared" ref="I21:M21" si="22">IFERROR(
  LET(
    hoja,       LEFT(I$1,3)&amp;"R",
    fila,       MATCH( RIGHT($A21, LEN($A21)),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1" s="15" t="str">
        <f t="shared" si="22"/>
        <v/>
      </c>
      <c r="K21" s="15" t="str">
        <f t="shared" si="22"/>
        <v/>
      </c>
      <c r="L21" s="15" t="str">
        <f t="shared" si="22"/>
        <v/>
      </c>
      <c r="M21" s="15" t="str">
        <f t="shared" si="22"/>
        <v/>
      </c>
      <c r="N21" s="111">
        <f t="shared" si="3"/>
        <v>39915.32</v>
      </c>
      <c r="O21" s="112">
        <f t="shared" si="4"/>
        <v>0.005064322585</v>
      </c>
    </row>
    <row r="22" ht="15.75" customHeight="1">
      <c r="A22" s="110" t="s">
        <v>52</v>
      </c>
      <c r="B22" s="15" t="s">
        <v>39</v>
      </c>
      <c r="C22" s="15" t="s">
        <v>39</v>
      </c>
      <c r="D22" s="15">
        <v>0.0</v>
      </c>
      <c r="E22" s="15" t="s">
        <v>39</v>
      </c>
      <c r="F22" s="15" t="s">
        <v>39</v>
      </c>
      <c r="G22" s="15" t="s">
        <v>39</v>
      </c>
      <c r="H22" s="15">
        <v>0.0</v>
      </c>
      <c r="I22" s="15" t="str">
        <f t="shared" ref="I22:M22" si="23">IFERROR(
  LET(
    hoja,       LEFT(I$1,3)&amp;"R",
    fila,       MATCH( RIGHT($A22, LEN($A22)),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2" s="15" t="str">
        <f t="shared" si="23"/>
        <v/>
      </c>
      <c r="K22" s="15" t="str">
        <f t="shared" si="23"/>
        <v/>
      </c>
      <c r="L22" s="15" t="str">
        <f t="shared" si="23"/>
        <v/>
      </c>
      <c r="M22" s="15" t="str">
        <f t="shared" si="23"/>
        <v/>
      </c>
      <c r="N22" s="111">
        <f t="shared" si="3"/>
        <v>0</v>
      </c>
      <c r="O22" s="112">
        <f t="shared" si="4"/>
        <v>0</v>
      </c>
    </row>
    <row r="23" ht="15.75" customHeight="1">
      <c r="A23" s="110" t="s">
        <v>53</v>
      </c>
      <c r="B23" s="15" t="s">
        <v>39</v>
      </c>
      <c r="C23" s="15" t="s">
        <v>39</v>
      </c>
      <c r="D23" s="15">
        <v>0.0</v>
      </c>
      <c r="E23" s="15" t="s">
        <v>39</v>
      </c>
      <c r="F23" s="15" t="s">
        <v>39</v>
      </c>
      <c r="G23" s="15" t="s">
        <v>39</v>
      </c>
      <c r="H23" s="15">
        <v>0.0</v>
      </c>
      <c r="I23" s="15" t="str">
        <f t="shared" ref="I23:M23" si="24">IFERROR(
  LET(
    hoja,       LEFT(I$1,3)&amp;"R",
    fila,       MATCH( RIGHT($A23, LEN($A23)),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3" s="15" t="str">
        <f t="shared" si="24"/>
        <v/>
      </c>
      <c r="K23" s="15" t="str">
        <f t="shared" si="24"/>
        <v/>
      </c>
      <c r="L23" s="15" t="str">
        <f t="shared" si="24"/>
        <v/>
      </c>
      <c r="M23" s="15" t="str">
        <f t="shared" si="24"/>
        <v/>
      </c>
      <c r="N23" s="111">
        <f t="shared" si="3"/>
        <v>0</v>
      </c>
      <c r="O23" s="112">
        <f t="shared" si="4"/>
        <v>0</v>
      </c>
    </row>
    <row r="24" ht="15.75" customHeight="1">
      <c r="A24" s="110" t="s">
        <v>54</v>
      </c>
      <c r="B24" s="15">
        <v>18400.0</v>
      </c>
      <c r="C24" s="15" t="s">
        <v>39</v>
      </c>
      <c r="D24" s="15">
        <v>18400.0</v>
      </c>
      <c r="E24" s="15">
        <v>18400.0</v>
      </c>
      <c r="F24" s="15">
        <v>18400.0</v>
      </c>
      <c r="G24" s="15">
        <v>18400.0</v>
      </c>
      <c r="H24" s="15">
        <v>18400.0</v>
      </c>
      <c r="I24" s="15" t="str">
        <f t="shared" ref="I24:M24" si="25">IFERROR(
  LET(
    hoja,       LEFT(I$1,3)&amp;"R",
    fila,       MATCH( RIGHT($A24, LEN($A24)),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4" s="15" t="str">
        <f t="shared" si="25"/>
        <v/>
      </c>
      <c r="K24" s="15" t="str">
        <f t="shared" si="25"/>
        <v/>
      </c>
      <c r="L24" s="15" t="str">
        <f t="shared" si="25"/>
        <v/>
      </c>
      <c r="M24" s="15" t="str">
        <f t="shared" si="25"/>
        <v/>
      </c>
      <c r="N24" s="111">
        <f t="shared" si="3"/>
        <v>110400</v>
      </c>
      <c r="O24" s="112">
        <f t="shared" si="4"/>
        <v>0.01400718354</v>
      </c>
    </row>
    <row r="25" ht="15.75" customHeight="1">
      <c r="A25" s="110" t="s">
        <v>55</v>
      </c>
      <c r="B25" s="15" t="s">
        <v>39</v>
      </c>
      <c r="C25" s="15" t="s">
        <v>39</v>
      </c>
      <c r="D25" s="15">
        <v>0.0</v>
      </c>
      <c r="E25" s="15" t="s">
        <v>39</v>
      </c>
      <c r="F25" s="15" t="s">
        <v>39</v>
      </c>
      <c r="G25" s="15" t="s">
        <v>39</v>
      </c>
      <c r="H25" s="15">
        <v>0.0</v>
      </c>
      <c r="I25" s="15" t="str">
        <f t="shared" ref="I25:M25" si="26">IFERROR(
  LET(
    hoja,       LEFT(I$1,3)&amp;"R",
    fila,       MATCH( RIGHT($A25, LEN($A25)),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5" s="15" t="str">
        <f t="shared" si="26"/>
        <v/>
      </c>
      <c r="K25" s="15" t="str">
        <f t="shared" si="26"/>
        <v/>
      </c>
      <c r="L25" s="15" t="str">
        <f t="shared" si="26"/>
        <v/>
      </c>
      <c r="M25" s="15" t="str">
        <f t="shared" si="26"/>
        <v/>
      </c>
      <c r="N25" s="111">
        <f t="shared" si="3"/>
        <v>0</v>
      </c>
      <c r="O25" s="112">
        <f t="shared" si="4"/>
        <v>0</v>
      </c>
    </row>
    <row r="26" ht="15.75" customHeight="1">
      <c r="A26" s="110" t="s">
        <v>56</v>
      </c>
      <c r="B26" s="15">
        <v>2676.73</v>
      </c>
      <c r="C26" s="15">
        <v>3200.0</v>
      </c>
      <c r="D26" s="15">
        <v>0.0</v>
      </c>
      <c r="E26" s="15" t="s">
        <v>39</v>
      </c>
      <c r="F26" s="15" t="s">
        <v>39</v>
      </c>
      <c r="G26" s="15" t="s">
        <v>39</v>
      </c>
      <c r="H26" s="15">
        <v>5054.47</v>
      </c>
      <c r="I26" s="15" t="str">
        <f t="shared" ref="I26:M26" si="27">IFERROR(
  LET(
    hoja,       LEFT(I$1,3)&amp;"R",
    fila,       MATCH( RIGHT($A26, LEN($A26)),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6" s="15" t="str">
        <f t="shared" si="27"/>
        <v/>
      </c>
      <c r="K26" s="15" t="str">
        <f t="shared" si="27"/>
        <v/>
      </c>
      <c r="L26" s="15" t="str">
        <f t="shared" si="27"/>
        <v/>
      </c>
      <c r="M26" s="15" t="str">
        <f t="shared" si="27"/>
        <v/>
      </c>
      <c r="N26" s="111">
        <f t="shared" si="3"/>
        <v>10931.2</v>
      </c>
      <c r="O26" s="112">
        <f t="shared" si="4"/>
        <v>0.001386914173</v>
      </c>
    </row>
    <row r="27" ht="15.75" customHeight="1">
      <c r="A27" s="110" t="s">
        <v>57</v>
      </c>
      <c r="B27" s="15">
        <v>540000.0</v>
      </c>
      <c r="C27" s="15">
        <v>590000.0</v>
      </c>
      <c r="D27" s="15">
        <v>565000.0</v>
      </c>
      <c r="E27" s="15">
        <v>565000.0</v>
      </c>
      <c r="F27" s="15">
        <v>565000.0</v>
      </c>
      <c r="G27" s="15">
        <v>565000.0</v>
      </c>
      <c r="H27" s="15">
        <v>565000.0</v>
      </c>
      <c r="I27" s="15" t="str">
        <f t="shared" ref="I27:M27" si="28">IFERROR(
  LET(
    hoja,       LEFT(I$1,3)&amp;"R",
    fila,       MATCH( RIGHT($A27, LEN($A27)),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7" s="15" t="str">
        <f t="shared" si="28"/>
        <v/>
      </c>
      <c r="K27" s="15" t="str">
        <f t="shared" si="28"/>
        <v/>
      </c>
      <c r="L27" s="15" t="str">
        <f t="shared" si="28"/>
        <v/>
      </c>
      <c r="M27" s="15" t="str">
        <f t="shared" si="28"/>
        <v/>
      </c>
      <c r="N27" s="111">
        <f t="shared" si="3"/>
        <v>3955000</v>
      </c>
      <c r="O27" s="112">
        <f t="shared" si="4"/>
        <v>0.5017972003</v>
      </c>
    </row>
    <row r="28" ht="15.75" customHeight="1">
      <c r="A28" s="110" t="s">
        <v>58</v>
      </c>
      <c r="B28" s="15">
        <v>248.0</v>
      </c>
      <c r="C28" s="15">
        <v>983.3</v>
      </c>
      <c r="D28" s="15">
        <v>181.17</v>
      </c>
      <c r="E28" s="15">
        <v>17211.14</v>
      </c>
      <c r="F28" s="15">
        <v>2616.14</v>
      </c>
      <c r="G28" s="15">
        <v>715.56</v>
      </c>
      <c r="H28" s="15">
        <v>944.07</v>
      </c>
      <c r="I28" s="15" t="str">
        <f t="shared" ref="I28:M28" si="29">IFERROR(
  LET(
    hoja,       LEFT(I$1,3)&amp;"R",
    fila,       MATCH( RIGHT($A28, LEN($A28)),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8" s="15" t="str">
        <f t="shared" si="29"/>
        <v/>
      </c>
      <c r="K28" s="15" t="str">
        <f t="shared" si="29"/>
        <v/>
      </c>
      <c r="L28" s="15" t="str">
        <f t="shared" si="29"/>
        <v/>
      </c>
      <c r="M28" s="15" t="str">
        <f t="shared" si="29"/>
        <v/>
      </c>
      <c r="N28" s="111">
        <f t="shared" si="3"/>
        <v>22899.38</v>
      </c>
      <c r="O28" s="112">
        <f t="shared" si="4"/>
        <v>0.002905396908</v>
      </c>
    </row>
    <row r="29" ht="15.75" customHeight="1">
      <c r="A29" s="110" t="s">
        <v>59</v>
      </c>
      <c r="B29" s="15">
        <v>117.64</v>
      </c>
      <c r="C29" s="15">
        <v>142.16</v>
      </c>
      <c r="D29" s="15">
        <v>227.7</v>
      </c>
      <c r="E29" s="15">
        <v>140.84</v>
      </c>
      <c r="F29" s="15">
        <v>74.89</v>
      </c>
      <c r="G29" s="15">
        <v>329.37</v>
      </c>
      <c r="H29" s="15">
        <v>207.82</v>
      </c>
      <c r="I29" s="15" t="str">
        <f t="shared" ref="I29:M29" si="30">IFERROR(
  LET(
    hoja,       LEFT(I$1,3)&amp;"R",
    fila,       MATCH( RIGHT($A29, LEN($A29)),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29" s="15" t="str">
        <f t="shared" si="30"/>
        <v/>
      </c>
      <c r="K29" s="15" t="str">
        <f t="shared" si="30"/>
        <v/>
      </c>
      <c r="L29" s="15" t="str">
        <f t="shared" si="30"/>
        <v/>
      </c>
      <c r="M29" s="15" t="str">
        <f t="shared" si="30"/>
        <v/>
      </c>
      <c r="N29" s="111">
        <f t="shared" si="3"/>
        <v>1240.42</v>
      </c>
      <c r="O29" s="112">
        <f t="shared" si="4"/>
        <v>0.0001573803497</v>
      </c>
    </row>
    <row r="30" ht="15.75" customHeight="1">
      <c r="A30" s="110" t="s">
        <v>60</v>
      </c>
      <c r="B30" s="15">
        <v>76503.7</v>
      </c>
      <c r="C30" s="15">
        <v>75776.36</v>
      </c>
      <c r="D30" s="15">
        <v>21667.91</v>
      </c>
      <c r="E30" s="15">
        <v>79883.41</v>
      </c>
      <c r="F30" s="15">
        <v>100970.56</v>
      </c>
      <c r="G30" s="15">
        <v>80899.85</v>
      </c>
      <c r="H30" s="15">
        <v>77801.01</v>
      </c>
      <c r="I30" s="15" t="str">
        <f t="shared" ref="I30:M30" si="31">IFERROR(
  LET(
    hoja,       LEFT(I$1,3)&amp;"R",
    fila,       MATCH( RIGHT($A30, LEN($A30)),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30" s="15" t="str">
        <f t="shared" si="31"/>
        <v/>
      </c>
      <c r="K30" s="15" t="str">
        <f t="shared" si="31"/>
        <v/>
      </c>
      <c r="L30" s="15" t="str">
        <f t="shared" si="31"/>
        <v/>
      </c>
      <c r="M30" s="15" t="str">
        <f t="shared" si="31"/>
        <v/>
      </c>
      <c r="N30" s="111">
        <f t="shared" si="3"/>
        <v>513502.8</v>
      </c>
      <c r="O30" s="112">
        <f t="shared" si="4"/>
        <v>0.06515152146</v>
      </c>
    </row>
    <row r="31" ht="15.75" customHeight="1">
      <c r="A31" s="110" t="s">
        <v>61</v>
      </c>
      <c r="B31" s="15">
        <v>3464.57</v>
      </c>
      <c r="C31" s="15">
        <v>26492.2</v>
      </c>
      <c r="D31" s="15">
        <v>1555.17</v>
      </c>
      <c r="E31" s="15">
        <v>8964.67</v>
      </c>
      <c r="F31" s="15">
        <v>13212.94</v>
      </c>
      <c r="G31" s="15">
        <v>4509.0</v>
      </c>
      <c r="H31" s="15">
        <v>15883.74</v>
      </c>
      <c r="I31" s="15" t="str">
        <f t="shared" ref="I31:M31" si="32">IFERROR(
  LET(
    hoja,       LEFT(I$1,3)&amp;"R",
    fila,       MATCH( RIGHT($A31, LEN($A31)),
                             INDIRECT(hoja&amp;"!$A:$A"),
                             0 ),
    columna,    MATCH( "Totales",
                             INDIRECT(hoja&amp;"!$6:$6"),
                             0 ),
    valor,      INDEX( INDIRECT(hoja&amp;"!$A:$ZZ"),
                         fila,
                         columna ),
    IF(valor="-", "", valor)
  ),
"")
</f>
        <v/>
      </c>
      <c r="J31" s="15" t="str">
        <f t="shared" si="32"/>
        <v/>
      </c>
      <c r="K31" s="15" t="str">
        <f t="shared" si="32"/>
        <v/>
      </c>
      <c r="L31" s="15" t="str">
        <f t="shared" si="32"/>
        <v/>
      </c>
      <c r="M31" s="15" t="str">
        <f t="shared" si="32"/>
        <v/>
      </c>
      <c r="N31" s="111">
        <f t="shared" si="3"/>
        <v>74082.29</v>
      </c>
      <c r="O31" s="112">
        <f t="shared" si="4"/>
        <v>0.009399313708</v>
      </c>
    </row>
    <row r="32" ht="15.75" customHeight="1">
      <c r="A32" s="34" t="s">
        <v>62</v>
      </c>
      <c r="B32" s="32">
        <f t="shared" ref="B32:O32" si="33">SUM(B2:B31)</f>
        <v>1066388.94</v>
      </c>
      <c r="C32" s="114">
        <f t="shared" si="33"/>
        <v>1188205.28</v>
      </c>
      <c r="D32" s="114">
        <f t="shared" si="33"/>
        <v>1051644.89</v>
      </c>
      <c r="E32" s="114">
        <f t="shared" si="33"/>
        <v>1134247.16</v>
      </c>
      <c r="F32" s="114">
        <f t="shared" si="33"/>
        <v>1184451.8</v>
      </c>
      <c r="G32" s="114">
        <f t="shared" si="33"/>
        <v>1107122.61</v>
      </c>
      <c r="H32" s="114">
        <f t="shared" si="33"/>
        <v>1149609.44</v>
      </c>
      <c r="I32" s="114">
        <f t="shared" si="33"/>
        <v>0</v>
      </c>
      <c r="J32" s="114">
        <f t="shared" si="33"/>
        <v>0</v>
      </c>
      <c r="K32" s="114">
        <f t="shared" si="33"/>
        <v>0</v>
      </c>
      <c r="L32" s="114">
        <f t="shared" si="33"/>
        <v>0</v>
      </c>
      <c r="M32" s="114">
        <f t="shared" si="33"/>
        <v>0</v>
      </c>
      <c r="N32" s="33">
        <f t="shared" si="33"/>
        <v>7881670.12</v>
      </c>
      <c r="O32" s="115">
        <f t="shared" si="33"/>
        <v>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 F1 I1 L1 O1">
    <cfRule type="cellIs" dxfId="0" priority="1" operator="greaterThanOrEqual">
      <formula>0</formula>
    </cfRule>
  </conditionalFormatting>
  <conditionalFormatting sqref="C1 F1 I1 L1 O1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1.13"/>
    <col customWidth="1" min="3" max="3" width="10.38"/>
    <col customWidth="1" min="4" max="4" width="10.5"/>
    <col customWidth="1" min="5" max="5" width="8.5"/>
    <col customWidth="1" min="6" max="6" width="11.88"/>
    <col customWidth="1" min="7" max="7" width="10.75"/>
    <col customWidth="1" min="8" max="8" width="11.75"/>
    <col customWidth="1" min="9" max="9" width="9.5"/>
    <col customWidth="1" min="10" max="10" width="12.75"/>
    <col customWidth="1" min="11" max="11" width="10.38"/>
    <col customWidth="1" min="12" max="12" width="10.63"/>
    <col customWidth="1" min="13" max="13" width="13.13"/>
    <col customWidth="1" min="14" max="14" width="8.88"/>
    <col customWidth="1" min="15" max="15" width="12.38"/>
    <col customWidth="1" min="16" max="16" width="12.75"/>
    <col customWidth="1" min="17" max="17" width="10.88"/>
    <col customWidth="1" min="18" max="18" width="11.38"/>
    <col customWidth="1" min="19" max="19" width="7.25"/>
    <col customWidth="1" min="20" max="20" width="9.25"/>
    <col customWidth="1" min="21" max="21" width="8.13"/>
    <col customWidth="1" min="22" max="22" width="14.0"/>
    <col customWidth="1" min="23" max="23" width="9.5"/>
    <col customWidth="1" min="24" max="24" width="14.5"/>
    <col customWidth="1" min="25" max="25" width="11.25"/>
    <col customWidth="1" min="26" max="26" width="14.38"/>
    <col customWidth="1" min="27" max="27" width="17.13"/>
    <col customWidth="1" min="28" max="28" width="10.5"/>
    <col customWidth="1" min="29" max="29" width="13.0"/>
    <col customWidth="1" min="30" max="30" width="16.88"/>
    <col customWidth="1" min="31" max="31" width="17.63"/>
    <col customWidth="1" min="32" max="32" width="10.5"/>
    <col customWidth="1" min="33" max="33" width="15.13"/>
    <col customWidth="1" min="34" max="34" width="8.38"/>
    <col customWidth="1" min="35" max="35" width="9.63"/>
    <col customWidth="1" min="36" max="36" width="13.38"/>
    <col customWidth="1" min="37" max="37" width="19.63"/>
    <col customWidth="1" min="38" max="38" width="12.0"/>
    <col customWidth="1" min="39" max="40" width="11.13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7"/>
      <c r="O1" s="117"/>
      <c r="P1" s="117"/>
      <c r="Q1" s="117"/>
      <c r="R1" s="117"/>
      <c r="S1" s="117"/>
      <c r="T1" s="117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</row>
    <row r="2" ht="15.75" customHeight="1">
      <c r="A2" s="118" t="s">
        <v>0</v>
      </c>
      <c r="AO2" s="116"/>
      <c r="AP2" s="116"/>
    </row>
    <row r="3" ht="15.75" customHeight="1">
      <c r="A3" s="118" t="s">
        <v>63</v>
      </c>
      <c r="AO3" s="116"/>
      <c r="AP3" s="116"/>
    </row>
    <row r="4" ht="15.75" customHeight="1">
      <c r="A4" s="119">
        <v>45682.0</v>
      </c>
      <c r="AO4" s="116"/>
      <c r="AP4" s="116"/>
    </row>
    <row r="5" ht="15.75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</row>
    <row r="6" ht="15.75" customHeight="1">
      <c r="A6" s="121" t="s">
        <v>28</v>
      </c>
      <c r="B6" s="121" t="s">
        <v>21</v>
      </c>
      <c r="C6" s="121" t="s">
        <v>64</v>
      </c>
      <c r="D6" s="118" t="s">
        <v>65</v>
      </c>
      <c r="E6" s="121" t="s">
        <v>66</v>
      </c>
      <c r="F6" s="121" t="s">
        <v>67</v>
      </c>
      <c r="G6" s="121" t="s">
        <v>68</v>
      </c>
      <c r="H6" s="118" t="s">
        <v>69</v>
      </c>
      <c r="I6" s="121" t="s">
        <v>70</v>
      </c>
      <c r="J6" s="121" t="s">
        <v>71</v>
      </c>
      <c r="K6" s="121" t="s">
        <v>72</v>
      </c>
      <c r="L6" s="121" t="s">
        <v>73</v>
      </c>
      <c r="M6" s="121" t="s">
        <v>74</v>
      </c>
      <c r="N6" s="121" t="s">
        <v>75</v>
      </c>
      <c r="O6" s="121" t="s">
        <v>76</v>
      </c>
      <c r="P6" s="121" t="s">
        <v>77</v>
      </c>
      <c r="Q6" s="121" t="s">
        <v>78</v>
      </c>
      <c r="R6" s="121" t="s">
        <v>79</v>
      </c>
      <c r="S6" s="121" t="s">
        <v>80</v>
      </c>
      <c r="T6" s="121" t="s">
        <v>81</v>
      </c>
      <c r="U6" s="121" t="s">
        <v>82</v>
      </c>
      <c r="V6" s="121" t="s">
        <v>83</v>
      </c>
      <c r="W6" s="121" t="s">
        <v>84</v>
      </c>
      <c r="X6" s="121" t="s">
        <v>85</v>
      </c>
      <c r="Y6" s="121" t="s">
        <v>86</v>
      </c>
      <c r="Z6" s="121" t="s">
        <v>87</v>
      </c>
      <c r="AA6" s="121" t="s">
        <v>88</v>
      </c>
      <c r="AB6" s="121" t="s">
        <v>89</v>
      </c>
      <c r="AC6" s="121" t="s">
        <v>90</v>
      </c>
      <c r="AD6" s="121" t="s">
        <v>91</v>
      </c>
      <c r="AE6" s="121" t="s">
        <v>92</v>
      </c>
      <c r="AF6" s="121" t="s">
        <v>93</v>
      </c>
      <c r="AG6" s="121" t="s">
        <v>94</v>
      </c>
      <c r="AH6" s="121" t="s">
        <v>95</v>
      </c>
      <c r="AI6" s="121" t="s">
        <v>96</v>
      </c>
      <c r="AJ6" s="121" t="s">
        <v>97</v>
      </c>
      <c r="AK6" s="121" t="s">
        <v>98</v>
      </c>
      <c r="AL6" s="121" t="s">
        <v>99</v>
      </c>
      <c r="AM6" s="121" t="s">
        <v>100</v>
      </c>
      <c r="AN6" s="121" t="s">
        <v>30</v>
      </c>
      <c r="AO6" s="122"/>
      <c r="AP6" s="122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</row>
    <row r="7" ht="15.75" customHeight="1">
      <c r="A7" s="123" t="s">
        <v>101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16"/>
      <c r="AP7" s="116"/>
    </row>
    <row r="8" ht="15.75" customHeight="1">
      <c r="A8" s="123" t="s">
        <v>102</v>
      </c>
      <c r="B8" s="125">
        <v>313000.0</v>
      </c>
      <c r="C8" s="125">
        <v>105500.0</v>
      </c>
      <c r="D8" s="125"/>
      <c r="E8" s="125">
        <v>88650.0</v>
      </c>
      <c r="F8" s="125">
        <v>272900.0</v>
      </c>
      <c r="G8" s="125">
        <v>50943.6</v>
      </c>
      <c r="H8" s="125"/>
      <c r="I8" s="125">
        <v>464900.0</v>
      </c>
      <c r="J8" s="125">
        <v>190756.5</v>
      </c>
      <c r="K8" s="125"/>
      <c r="L8" s="125">
        <v>88299.99</v>
      </c>
      <c r="M8" s="125">
        <v>53600.0</v>
      </c>
      <c r="N8" s="125">
        <v>16000.0</v>
      </c>
      <c r="O8" s="125">
        <v>78250.0</v>
      </c>
      <c r="P8" s="125">
        <v>24000.0</v>
      </c>
      <c r="Q8" s="125">
        <v>97750.0</v>
      </c>
      <c r="R8" s="125">
        <v>78500.0</v>
      </c>
      <c r="S8" s="125">
        <v>55750.0</v>
      </c>
      <c r="T8" s="125">
        <v>56250.0</v>
      </c>
      <c r="U8" s="125">
        <v>54000.0</v>
      </c>
      <c r="V8" s="125">
        <v>32000.0</v>
      </c>
      <c r="W8" s="125">
        <v>38000.0</v>
      </c>
      <c r="X8" s="125">
        <v>37000.0</v>
      </c>
      <c r="Y8" s="125">
        <v>80805.0</v>
      </c>
      <c r="Z8" s="125">
        <v>38000.0</v>
      </c>
      <c r="AA8" s="125">
        <v>19500.0</v>
      </c>
      <c r="AB8" s="125">
        <v>84500.0</v>
      </c>
      <c r="AC8" s="125">
        <v>252500.0</v>
      </c>
      <c r="AD8" s="125">
        <v>55750.0</v>
      </c>
      <c r="AE8" s="125">
        <v>70508.0</v>
      </c>
      <c r="AF8" s="125">
        <v>58000.0</v>
      </c>
      <c r="AG8" s="125">
        <v>57000.0</v>
      </c>
      <c r="AH8" s="125">
        <v>18500.0</v>
      </c>
      <c r="AI8" s="125">
        <v>232000.0</v>
      </c>
      <c r="AJ8" s="125">
        <v>18700.0</v>
      </c>
      <c r="AK8" s="125">
        <v>1450.0</v>
      </c>
      <c r="AL8" s="125"/>
      <c r="AM8" s="126">
        <v>3185663.09</v>
      </c>
      <c r="AN8" s="127">
        <v>0.99</v>
      </c>
      <c r="AO8" s="128"/>
      <c r="AP8" s="128"/>
      <c r="AQ8" s="129"/>
      <c r="AR8" s="129"/>
      <c r="AS8" s="129"/>
      <c r="AT8" s="129"/>
      <c r="AU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</row>
    <row r="9" ht="15.75" customHeight="1">
      <c r="A9" s="123" t="s">
        <v>103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>
        <v>21600.0</v>
      </c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6">
        <v>21600.0</v>
      </c>
      <c r="AN9" s="127">
        <v>0.01</v>
      </c>
      <c r="AO9" s="116"/>
      <c r="AP9" s="116"/>
    </row>
    <row r="10" ht="15.75" customHeight="1">
      <c r="A10" s="123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30" t="s">
        <v>39</v>
      </c>
      <c r="AN10" s="127">
        <v>0.0</v>
      </c>
      <c r="AO10" s="116"/>
      <c r="AP10" s="116"/>
    </row>
    <row r="11" ht="15.75" customHeight="1">
      <c r="A11" s="123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30" t="s">
        <v>39</v>
      </c>
      <c r="AN11" s="127">
        <v>0.0</v>
      </c>
      <c r="AO11" s="116"/>
      <c r="AP11" s="116"/>
    </row>
    <row r="12" ht="15.75" customHeight="1">
      <c r="A12" s="123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30" t="s">
        <v>39</v>
      </c>
      <c r="AN12" s="127">
        <v>0.0</v>
      </c>
      <c r="AO12" s="116"/>
      <c r="AP12" s="116"/>
    </row>
    <row r="13" ht="15.75" customHeight="1">
      <c r="A13" s="131" t="s">
        <v>104</v>
      </c>
      <c r="B13" s="132">
        <v>313000.0</v>
      </c>
      <c r="C13" s="132">
        <v>105500.0</v>
      </c>
      <c r="D13" s="132"/>
      <c r="E13" s="132">
        <v>88650.0</v>
      </c>
      <c r="F13" s="132">
        <v>272900.0</v>
      </c>
      <c r="G13" s="132">
        <v>50944.0</v>
      </c>
      <c r="H13" s="132"/>
      <c r="I13" s="132">
        <v>464900.0</v>
      </c>
      <c r="J13" s="132">
        <v>190757.0</v>
      </c>
      <c r="K13" s="132" t="s">
        <v>39</v>
      </c>
      <c r="L13" s="132">
        <v>88300.0</v>
      </c>
      <c r="M13" s="132">
        <v>77600.0</v>
      </c>
      <c r="N13" s="132">
        <v>16000.0</v>
      </c>
      <c r="O13" s="132">
        <v>78250.0</v>
      </c>
      <c r="P13" s="132">
        <v>24000.0</v>
      </c>
      <c r="Q13" s="132">
        <v>97750.0</v>
      </c>
      <c r="R13" s="132">
        <v>78500.0</v>
      </c>
      <c r="S13" s="132">
        <v>55750.0</v>
      </c>
      <c r="T13" s="132">
        <v>56250.0</v>
      </c>
      <c r="U13" s="132">
        <v>54000.0</v>
      </c>
      <c r="V13" s="132">
        <v>32000.0</v>
      </c>
      <c r="W13" s="132">
        <v>38000.0</v>
      </c>
      <c r="X13" s="132">
        <v>37000.0</v>
      </c>
      <c r="Y13" s="132">
        <v>80805.0</v>
      </c>
      <c r="Z13" s="132">
        <v>38000.0</v>
      </c>
      <c r="AA13" s="132">
        <v>19500.0</v>
      </c>
      <c r="AB13" s="132">
        <v>84500.0</v>
      </c>
      <c r="AC13" s="132">
        <v>252500.0</v>
      </c>
      <c r="AD13" s="132">
        <v>55750.0</v>
      </c>
      <c r="AE13" s="132">
        <v>70508.0</v>
      </c>
      <c r="AF13" s="132">
        <v>58000.0</v>
      </c>
      <c r="AG13" s="132">
        <v>57000.0</v>
      </c>
      <c r="AH13" s="132">
        <v>18500.0</v>
      </c>
      <c r="AI13" s="132">
        <v>232000.0</v>
      </c>
      <c r="AJ13" s="132">
        <v>18700.0</v>
      </c>
      <c r="AK13" s="132">
        <v>1450.0</v>
      </c>
      <c r="AL13" s="132" t="s">
        <v>39</v>
      </c>
      <c r="AM13" s="133">
        <v>3207263.0</v>
      </c>
      <c r="AN13" s="134">
        <v>1.0</v>
      </c>
      <c r="AO13" s="128"/>
      <c r="AP13" s="128"/>
      <c r="AQ13" s="129"/>
      <c r="AR13" s="129"/>
      <c r="AS13" s="129"/>
      <c r="AT13" s="129"/>
      <c r="AU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</row>
    <row r="14" ht="15.75" customHeight="1">
      <c r="A14" s="135" t="s">
        <v>105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16"/>
      <c r="AP14" s="116"/>
    </row>
    <row r="15" ht="15.75" customHeight="1">
      <c r="A15" s="123" t="s">
        <v>31</v>
      </c>
      <c r="B15" s="125">
        <v>137393.27</v>
      </c>
      <c r="C15" s="125" t="s">
        <v>39</v>
      </c>
      <c r="D15" s="125"/>
      <c r="E15" s="125">
        <v>36211.56</v>
      </c>
      <c r="F15" s="125">
        <v>117594.56</v>
      </c>
      <c r="G15" s="125">
        <v>29916.32</v>
      </c>
      <c r="H15" s="125"/>
      <c r="I15" s="125">
        <v>166342.43</v>
      </c>
      <c r="J15" s="125">
        <v>96116.95</v>
      </c>
      <c r="K15" s="125" t="s">
        <v>39</v>
      </c>
      <c r="L15" s="125">
        <v>40524.32</v>
      </c>
      <c r="M15" s="125">
        <v>19099.84</v>
      </c>
      <c r="N15" s="125" t="s">
        <v>39</v>
      </c>
      <c r="O15" s="125">
        <v>35414.83</v>
      </c>
      <c r="P15" s="125">
        <v>9645.0</v>
      </c>
      <c r="Q15" s="125">
        <v>42604.7</v>
      </c>
      <c r="R15" s="125">
        <v>39425.08</v>
      </c>
      <c r="S15" s="125">
        <v>19721.0</v>
      </c>
      <c r="T15" s="125">
        <v>17969.34</v>
      </c>
      <c r="U15" s="125">
        <v>26340.5</v>
      </c>
      <c r="V15" s="125">
        <v>9409.0</v>
      </c>
      <c r="W15" s="125">
        <v>17958.09</v>
      </c>
      <c r="X15" s="125">
        <v>19599.72</v>
      </c>
      <c r="Y15" s="125">
        <v>32755.44</v>
      </c>
      <c r="Z15" s="125">
        <v>18848.18</v>
      </c>
      <c r="AA15" s="125">
        <v>9225.0</v>
      </c>
      <c r="AB15" s="125">
        <v>38671.69</v>
      </c>
      <c r="AC15" s="125">
        <v>92516.0</v>
      </c>
      <c r="AD15" s="125">
        <v>9435.0</v>
      </c>
      <c r="AE15" s="125">
        <v>2285.07</v>
      </c>
      <c r="AF15" s="125">
        <v>21495.88</v>
      </c>
      <c r="AG15" s="125">
        <v>21802.5</v>
      </c>
      <c r="AH15" s="125">
        <v>6163.5</v>
      </c>
      <c r="AI15" s="125">
        <v>93736.63</v>
      </c>
      <c r="AJ15" s="125">
        <v>8455.0</v>
      </c>
      <c r="AK15" s="125"/>
      <c r="AL15" s="125">
        <v>275461.29</v>
      </c>
      <c r="AM15" s="126">
        <v>1512137.69</v>
      </c>
      <c r="AN15" s="127">
        <v>0.56</v>
      </c>
      <c r="AO15" s="137"/>
      <c r="AP15" s="128"/>
      <c r="AQ15" s="129"/>
      <c r="AR15" s="129"/>
      <c r="AS15" s="129"/>
      <c r="AT15" s="129"/>
      <c r="AU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</row>
    <row r="16" ht="15.75" customHeight="1">
      <c r="A16" s="123" t="s">
        <v>32</v>
      </c>
      <c r="B16" s="125">
        <v>15490.84</v>
      </c>
      <c r="C16" s="125" t="s">
        <v>39</v>
      </c>
      <c r="D16" s="125"/>
      <c r="E16" s="125">
        <v>3994.96</v>
      </c>
      <c r="F16" s="125">
        <v>12535.75</v>
      </c>
      <c r="G16" s="125">
        <v>2995.82</v>
      </c>
      <c r="H16" s="125"/>
      <c r="I16" s="125">
        <v>21936.51</v>
      </c>
      <c r="J16" s="125">
        <v>11817.41</v>
      </c>
      <c r="K16" s="125" t="s">
        <v>39</v>
      </c>
      <c r="L16" s="125">
        <v>5238.51</v>
      </c>
      <c r="M16" s="125">
        <v>2065.53</v>
      </c>
      <c r="N16" s="125" t="s">
        <v>39</v>
      </c>
      <c r="O16" s="125">
        <v>3800.7</v>
      </c>
      <c r="P16" s="125">
        <v>989.67</v>
      </c>
      <c r="Q16" s="125">
        <v>5076.54</v>
      </c>
      <c r="R16" s="125">
        <v>4071.93</v>
      </c>
      <c r="S16" s="125">
        <v>2482.95</v>
      </c>
      <c r="T16" s="125">
        <v>2308.0</v>
      </c>
      <c r="U16" s="125">
        <v>3038.05</v>
      </c>
      <c r="V16" s="125">
        <v>990.4</v>
      </c>
      <c r="W16" s="125">
        <v>1989.36</v>
      </c>
      <c r="X16" s="125">
        <v>2013.88</v>
      </c>
      <c r="Y16" s="125">
        <v>4030.04</v>
      </c>
      <c r="Z16" s="125">
        <v>1980.31</v>
      </c>
      <c r="AA16" s="125">
        <v>989.91</v>
      </c>
      <c r="AB16" s="125">
        <v>4581.8</v>
      </c>
      <c r="AC16" s="125">
        <v>9650.38</v>
      </c>
      <c r="AD16" s="125">
        <v>989.91</v>
      </c>
      <c r="AE16" s="125">
        <v>2313.09</v>
      </c>
      <c r="AF16" s="125">
        <v>287.39</v>
      </c>
      <c r="AG16" s="125">
        <v>2335.71</v>
      </c>
      <c r="AH16" s="125">
        <v>1906.52</v>
      </c>
      <c r="AI16" s="125">
        <v>11445.4</v>
      </c>
      <c r="AJ16" s="125">
        <v>994.54</v>
      </c>
      <c r="AK16" s="125"/>
      <c r="AL16" s="125">
        <v>12453.41</v>
      </c>
      <c r="AM16" s="126">
        <v>156795.22</v>
      </c>
      <c r="AN16" s="127">
        <v>0.06</v>
      </c>
      <c r="AO16" s="125"/>
      <c r="AP16" s="138"/>
      <c r="AQ16" s="139"/>
      <c r="AR16" s="139"/>
      <c r="AS16" s="139"/>
      <c r="AT16" s="139"/>
      <c r="AU16" s="139"/>
      <c r="AW16" s="139"/>
      <c r="AX16" s="139"/>
      <c r="AZ16" s="139"/>
      <c r="BA16" s="139"/>
      <c r="BB16" s="139"/>
      <c r="BC16" s="139"/>
      <c r="BE16" s="139"/>
      <c r="BF16" s="139"/>
      <c r="BG16" s="139"/>
    </row>
    <row r="17" ht="15.75" customHeight="1">
      <c r="A17" s="123" t="s">
        <v>33</v>
      </c>
      <c r="B17" s="125">
        <v>11200.2</v>
      </c>
      <c r="C17" s="125" t="s">
        <v>39</v>
      </c>
      <c r="D17" s="125"/>
      <c r="E17" s="125">
        <v>2926.07</v>
      </c>
      <c r="F17" s="125">
        <v>9289.03</v>
      </c>
      <c r="G17" s="125">
        <v>2197.27</v>
      </c>
      <c r="H17" s="125"/>
      <c r="I17" s="125">
        <v>16332.61</v>
      </c>
      <c r="J17" s="125">
        <v>7693.94</v>
      </c>
      <c r="K17" s="125" t="s">
        <v>39</v>
      </c>
      <c r="L17" s="125">
        <v>3720.99</v>
      </c>
      <c r="M17" s="125">
        <v>1538.54</v>
      </c>
      <c r="N17" s="125" t="s">
        <v>39</v>
      </c>
      <c r="O17" s="125">
        <v>2852.88</v>
      </c>
      <c r="P17" s="125">
        <v>731.3</v>
      </c>
      <c r="Q17" s="125">
        <v>3748.61</v>
      </c>
      <c r="R17" s="125">
        <v>2926.99</v>
      </c>
      <c r="S17" s="125">
        <v>1670.42</v>
      </c>
      <c r="T17" s="125">
        <v>1549.79</v>
      </c>
      <c r="U17" s="125">
        <v>2245.71</v>
      </c>
      <c r="V17" s="125">
        <v>733.82</v>
      </c>
      <c r="W17" s="125">
        <v>1461.77</v>
      </c>
      <c r="X17" s="125">
        <v>1545.58</v>
      </c>
      <c r="Y17" s="125">
        <v>2938.81</v>
      </c>
      <c r="Z17" s="125">
        <v>1465.97</v>
      </c>
      <c r="AA17" s="125">
        <v>732.15</v>
      </c>
      <c r="AB17" s="125">
        <v>3486.81</v>
      </c>
      <c r="AC17" s="125">
        <v>6827.89</v>
      </c>
      <c r="AD17" s="125">
        <v>732.15</v>
      </c>
      <c r="AE17" s="125">
        <v>1633.33</v>
      </c>
      <c r="AF17" s="125">
        <v>458.32</v>
      </c>
      <c r="AG17" s="125">
        <v>1944.37</v>
      </c>
      <c r="AH17" s="125">
        <v>1347.01</v>
      </c>
      <c r="AI17" s="125">
        <v>8237.81</v>
      </c>
      <c r="AJ17" s="125">
        <v>730.47</v>
      </c>
      <c r="AK17" s="125"/>
      <c r="AL17" s="125">
        <v>13193.04</v>
      </c>
      <c r="AM17" s="126">
        <v>118093.65</v>
      </c>
      <c r="AN17" s="127">
        <v>0.04</v>
      </c>
      <c r="AO17" s="125"/>
      <c r="AP17" s="138"/>
      <c r="AQ17" s="139"/>
      <c r="AR17" s="139"/>
      <c r="AS17" s="139"/>
      <c r="AT17" s="139"/>
      <c r="AU17" s="139"/>
      <c r="AW17" s="139"/>
      <c r="AX17" s="139"/>
      <c r="AZ17" s="139"/>
      <c r="BA17" s="139"/>
      <c r="BC17" s="139"/>
      <c r="BF17" s="139"/>
    </row>
    <row r="18" ht="15.75" customHeight="1">
      <c r="A18" s="123" t="s">
        <v>34</v>
      </c>
      <c r="B18" s="125">
        <v>6592.03</v>
      </c>
      <c r="C18" s="125" t="s">
        <v>39</v>
      </c>
      <c r="D18" s="125"/>
      <c r="E18" s="125">
        <v>1735.1</v>
      </c>
      <c r="F18" s="125">
        <v>5477.6</v>
      </c>
      <c r="G18" s="125">
        <v>1302.93</v>
      </c>
      <c r="H18" s="125"/>
      <c r="I18" s="125">
        <v>9677.18</v>
      </c>
      <c r="J18" s="125">
        <v>4590.35</v>
      </c>
      <c r="K18" s="125" t="s">
        <v>39</v>
      </c>
      <c r="L18" s="125">
        <v>2206.46</v>
      </c>
      <c r="M18" s="125">
        <v>912.32</v>
      </c>
      <c r="N18" s="125" t="s">
        <v>39</v>
      </c>
      <c r="O18" s="125">
        <v>1691.69</v>
      </c>
      <c r="P18" s="125">
        <v>433.64</v>
      </c>
      <c r="Q18" s="125">
        <v>2215.27</v>
      </c>
      <c r="R18" s="125">
        <v>1735.63</v>
      </c>
      <c r="S18" s="125">
        <v>990.53</v>
      </c>
      <c r="T18" s="125">
        <v>918.99</v>
      </c>
      <c r="U18" s="125">
        <v>1331.65</v>
      </c>
      <c r="V18" s="125">
        <v>435.14</v>
      </c>
      <c r="W18" s="125">
        <v>866.79</v>
      </c>
      <c r="X18" s="125">
        <v>916.5</v>
      </c>
      <c r="Y18" s="125">
        <v>1742.65</v>
      </c>
      <c r="Z18" s="125">
        <v>869.29</v>
      </c>
      <c r="AA18" s="125">
        <v>434.15</v>
      </c>
      <c r="AB18" s="125">
        <v>2067.6</v>
      </c>
      <c r="AC18" s="125">
        <v>4048.78</v>
      </c>
      <c r="AD18" s="125">
        <v>434.15</v>
      </c>
      <c r="AE18" s="125">
        <v>968.53</v>
      </c>
      <c r="AF18" s="125">
        <v>271.78</v>
      </c>
      <c r="AG18" s="125">
        <v>1152.97</v>
      </c>
      <c r="AH18" s="125">
        <v>798.75</v>
      </c>
      <c r="AI18" s="125">
        <v>4877.12</v>
      </c>
      <c r="AJ18" s="125">
        <v>433.15</v>
      </c>
      <c r="AK18" s="125"/>
      <c r="AL18" s="125">
        <v>7499.76</v>
      </c>
      <c r="AM18" s="126">
        <v>69628.48</v>
      </c>
      <c r="AN18" s="127">
        <v>0.03</v>
      </c>
      <c r="AO18" s="125"/>
      <c r="AP18" s="138"/>
      <c r="AQ18" s="139"/>
      <c r="AR18" s="139"/>
      <c r="AS18" s="139"/>
      <c r="AT18" s="139"/>
      <c r="AU18" s="139"/>
      <c r="AW18" s="139"/>
      <c r="AX18" s="139"/>
      <c r="AZ18" s="139"/>
      <c r="BA18" s="139"/>
      <c r="BC18" s="139"/>
      <c r="BF18" s="139"/>
    </row>
    <row r="19" ht="15.75" customHeight="1">
      <c r="A19" s="140" t="s">
        <v>35</v>
      </c>
      <c r="B19" s="125">
        <v>5118.16</v>
      </c>
      <c r="C19" s="125" t="s">
        <v>39</v>
      </c>
      <c r="D19" s="125"/>
      <c r="E19" s="125">
        <v>1348.95</v>
      </c>
      <c r="F19" s="125">
        <v>4380.62</v>
      </c>
      <c r="G19" s="125">
        <v>1114.44</v>
      </c>
      <c r="H19" s="125"/>
      <c r="I19" s="125">
        <v>6196.57</v>
      </c>
      <c r="J19" s="125">
        <v>3580.54</v>
      </c>
      <c r="K19" s="125" t="s">
        <v>39</v>
      </c>
      <c r="L19" s="125">
        <v>1509.61</v>
      </c>
      <c r="M19" s="125">
        <v>711.51</v>
      </c>
      <c r="N19" s="125" t="s">
        <v>39</v>
      </c>
      <c r="O19" s="125">
        <v>1319.27</v>
      </c>
      <c r="P19" s="125">
        <v>359.29</v>
      </c>
      <c r="Q19" s="125">
        <v>1587.11</v>
      </c>
      <c r="R19" s="125">
        <v>1468.66</v>
      </c>
      <c r="S19" s="125">
        <v>734.64</v>
      </c>
      <c r="T19" s="125">
        <v>669.39</v>
      </c>
      <c r="U19" s="125">
        <v>981.23</v>
      </c>
      <c r="V19" s="125">
        <v>350.5</v>
      </c>
      <c r="W19" s="125">
        <v>668.97</v>
      </c>
      <c r="X19" s="125">
        <v>730.13</v>
      </c>
      <c r="Y19" s="125">
        <v>1220.2</v>
      </c>
      <c r="Z19" s="125">
        <v>702.13</v>
      </c>
      <c r="AA19" s="125">
        <v>343.65</v>
      </c>
      <c r="AB19" s="125">
        <v>1440.59</v>
      </c>
      <c r="AC19" s="125">
        <v>3446.4</v>
      </c>
      <c r="AD19" s="125">
        <v>351.47</v>
      </c>
      <c r="AE19" s="125">
        <v>85.12</v>
      </c>
      <c r="AF19" s="125">
        <v>800.76</v>
      </c>
      <c r="AG19" s="125">
        <v>812.18</v>
      </c>
      <c r="AH19" s="125">
        <v>229.6</v>
      </c>
      <c r="AI19" s="125">
        <v>3491.87</v>
      </c>
      <c r="AJ19" s="125">
        <v>314.96</v>
      </c>
      <c r="AK19" s="125"/>
      <c r="AL19" s="125">
        <v>10261.34</v>
      </c>
      <c r="AM19" s="126">
        <v>56329.86</v>
      </c>
      <c r="AN19" s="127">
        <v>0.02</v>
      </c>
      <c r="AO19" s="125"/>
      <c r="AP19" s="138"/>
      <c r="AQ19" s="139"/>
      <c r="AR19" s="139"/>
      <c r="AS19" s="139"/>
      <c r="AT19" s="139"/>
      <c r="AU19" s="139"/>
      <c r="AW19" s="139"/>
      <c r="AZ19" s="139"/>
      <c r="BC19" s="139"/>
      <c r="BF19" s="139"/>
    </row>
    <row r="20" ht="15.75" customHeight="1">
      <c r="A20" s="123" t="s">
        <v>36</v>
      </c>
      <c r="B20" s="125" t="s">
        <v>39</v>
      </c>
      <c r="C20" s="125" t="s">
        <v>39</v>
      </c>
      <c r="D20" s="125"/>
      <c r="E20" s="125" t="s">
        <v>39</v>
      </c>
      <c r="F20" s="125" t="s">
        <v>39</v>
      </c>
      <c r="G20" s="125" t="s">
        <v>39</v>
      </c>
      <c r="H20" s="125"/>
      <c r="I20" s="125" t="s">
        <v>39</v>
      </c>
      <c r="J20" s="125" t="s">
        <v>39</v>
      </c>
      <c r="K20" s="125" t="s">
        <v>39</v>
      </c>
      <c r="L20" s="125" t="s">
        <v>39</v>
      </c>
      <c r="M20" s="125" t="s">
        <v>39</v>
      </c>
      <c r="N20" s="125" t="s">
        <v>39</v>
      </c>
      <c r="O20" s="125" t="s">
        <v>39</v>
      </c>
      <c r="P20" s="125" t="s">
        <v>39</v>
      </c>
      <c r="Q20" s="125" t="s">
        <v>39</v>
      </c>
      <c r="R20" s="125" t="s">
        <v>39</v>
      </c>
      <c r="S20" s="125" t="s">
        <v>39</v>
      </c>
      <c r="T20" s="125" t="s">
        <v>39</v>
      </c>
      <c r="U20" s="125" t="s">
        <v>39</v>
      </c>
      <c r="V20" s="125" t="s">
        <v>39</v>
      </c>
      <c r="W20" s="125" t="s">
        <v>39</v>
      </c>
      <c r="X20" s="125" t="s">
        <v>39</v>
      </c>
      <c r="Y20" s="125" t="s">
        <v>39</v>
      </c>
      <c r="Z20" s="125" t="s">
        <v>39</v>
      </c>
      <c r="AA20" s="125" t="s">
        <v>39</v>
      </c>
      <c r="AB20" s="125" t="s">
        <v>39</v>
      </c>
      <c r="AC20" s="125" t="s">
        <v>39</v>
      </c>
      <c r="AD20" s="125" t="s">
        <v>39</v>
      </c>
      <c r="AE20" s="125" t="s">
        <v>39</v>
      </c>
      <c r="AF20" s="125" t="s">
        <v>39</v>
      </c>
      <c r="AG20" s="125" t="s">
        <v>39</v>
      </c>
      <c r="AH20" s="125" t="s">
        <v>39</v>
      </c>
      <c r="AI20" s="125" t="s">
        <v>39</v>
      </c>
      <c r="AJ20" s="125" t="s">
        <v>39</v>
      </c>
      <c r="AK20" s="125"/>
      <c r="AL20" s="125">
        <v>1847.0</v>
      </c>
      <c r="AM20" s="126">
        <v>1847.0</v>
      </c>
      <c r="AN20" s="127">
        <v>0.0</v>
      </c>
      <c r="AO20" s="123"/>
      <c r="AP20" s="116"/>
    </row>
    <row r="21" ht="15.75" customHeight="1">
      <c r="A21" s="123" t="s">
        <v>37</v>
      </c>
      <c r="B21" s="125" t="s">
        <v>39</v>
      </c>
      <c r="C21" s="125" t="s">
        <v>39</v>
      </c>
      <c r="D21" s="125"/>
      <c r="E21" s="125" t="s">
        <v>39</v>
      </c>
      <c r="F21" s="125" t="s">
        <v>39</v>
      </c>
      <c r="G21" s="125" t="s">
        <v>39</v>
      </c>
      <c r="H21" s="125"/>
      <c r="I21" s="125" t="s">
        <v>39</v>
      </c>
      <c r="J21" s="125" t="s">
        <v>39</v>
      </c>
      <c r="K21" s="125" t="s">
        <v>39</v>
      </c>
      <c r="L21" s="125" t="s">
        <v>39</v>
      </c>
      <c r="M21" s="125" t="s">
        <v>39</v>
      </c>
      <c r="N21" s="125" t="s">
        <v>39</v>
      </c>
      <c r="O21" s="125" t="s">
        <v>39</v>
      </c>
      <c r="P21" s="125" t="s">
        <v>39</v>
      </c>
      <c r="Q21" s="125" t="s">
        <v>39</v>
      </c>
      <c r="R21" s="125" t="s">
        <v>39</v>
      </c>
      <c r="S21" s="125" t="s">
        <v>39</v>
      </c>
      <c r="T21" s="125" t="s">
        <v>39</v>
      </c>
      <c r="U21" s="125" t="s">
        <v>39</v>
      </c>
      <c r="V21" s="125" t="s">
        <v>39</v>
      </c>
      <c r="W21" s="125" t="s">
        <v>39</v>
      </c>
      <c r="X21" s="125" t="s">
        <v>39</v>
      </c>
      <c r="Y21" s="125" t="s">
        <v>39</v>
      </c>
      <c r="Z21" s="125" t="s">
        <v>39</v>
      </c>
      <c r="AA21" s="125" t="s">
        <v>39</v>
      </c>
      <c r="AB21" s="125" t="s">
        <v>39</v>
      </c>
      <c r="AC21" s="125" t="s">
        <v>39</v>
      </c>
      <c r="AD21" s="125" t="s">
        <v>39</v>
      </c>
      <c r="AE21" s="125" t="s">
        <v>39</v>
      </c>
      <c r="AF21" s="125" t="s">
        <v>39</v>
      </c>
      <c r="AG21" s="125" t="s">
        <v>39</v>
      </c>
      <c r="AH21" s="125" t="s">
        <v>39</v>
      </c>
      <c r="AI21" s="125" t="s">
        <v>39</v>
      </c>
      <c r="AJ21" s="125" t="s">
        <v>39</v>
      </c>
      <c r="AK21" s="125"/>
      <c r="AL21" s="125">
        <v>22066.0</v>
      </c>
      <c r="AM21" s="126">
        <v>22066.0</v>
      </c>
      <c r="AN21" s="127">
        <v>0.01</v>
      </c>
      <c r="AO21" s="123"/>
      <c r="AP21" s="116"/>
    </row>
    <row r="22" ht="15.75" customHeight="1">
      <c r="A22" s="123" t="s">
        <v>38</v>
      </c>
      <c r="B22" s="125" t="s">
        <v>39</v>
      </c>
      <c r="C22" s="125" t="s">
        <v>39</v>
      </c>
      <c r="D22" s="125"/>
      <c r="E22" s="125" t="s">
        <v>39</v>
      </c>
      <c r="F22" s="125" t="s">
        <v>39</v>
      </c>
      <c r="G22" s="125" t="s">
        <v>39</v>
      </c>
      <c r="H22" s="125"/>
      <c r="I22" s="125" t="s">
        <v>39</v>
      </c>
      <c r="J22" s="125" t="s">
        <v>39</v>
      </c>
      <c r="K22" s="125" t="s">
        <v>39</v>
      </c>
      <c r="L22" s="125" t="s">
        <v>39</v>
      </c>
      <c r="M22" s="125" t="s">
        <v>39</v>
      </c>
      <c r="N22" s="125" t="s">
        <v>39</v>
      </c>
      <c r="O22" s="125" t="s">
        <v>39</v>
      </c>
      <c r="P22" s="125" t="s">
        <v>39</v>
      </c>
      <c r="Q22" s="125" t="s">
        <v>39</v>
      </c>
      <c r="R22" s="125" t="s">
        <v>39</v>
      </c>
      <c r="S22" s="125" t="s">
        <v>39</v>
      </c>
      <c r="T22" s="125" t="s">
        <v>39</v>
      </c>
      <c r="U22" s="125" t="s">
        <v>39</v>
      </c>
      <c r="V22" s="125" t="s">
        <v>39</v>
      </c>
      <c r="W22" s="125" t="s">
        <v>39</v>
      </c>
      <c r="X22" s="125" t="s">
        <v>39</v>
      </c>
      <c r="Y22" s="125" t="s">
        <v>39</v>
      </c>
      <c r="Z22" s="125" t="s">
        <v>39</v>
      </c>
      <c r="AA22" s="125" t="s">
        <v>39</v>
      </c>
      <c r="AB22" s="125" t="s">
        <v>39</v>
      </c>
      <c r="AC22" s="125" t="s">
        <v>39</v>
      </c>
      <c r="AD22" s="125" t="s">
        <v>39</v>
      </c>
      <c r="AE22" s="125" t="s">
        <v>39</v>
      </c>
      <c r="AF22" s="125" t="s">
        <v>39</v>
      </c>
      <c r="AG22" s="125">
        <v>800.0</v>
      </c>
      <c r="AH22" s="125" t="s">
        <v>39</v>
      </c>
      <c r="AI22" s="125" t="s">
        <v>39</v>
      </c>
      <c r="AJ22" s="125" t="s">
        <v>39</v>
      </c>
      <c r="AK22" s="125"/>
      <c r="AL22" s="125" t="s">
        <v>39</v>
      </c>
      <c r="AM22" s="130">
        <v>800.0</v>
      </c>
      <c r="AN22" s="127">
        <v>0.0</v>
      </c>
      <c r="AO22" s="123"/>
      <c r="AP22" s="116"/>
      <c r="AT22" s="129"/>
    </row>
    <row r="23" ht="15.75" customHeight="1">
      <c r="A23" s="123" t="s">
        <v>40</v>
      </c>
      <c r="B23" s="125" t="s">
        <v>39</v>
      </c>
      <c r="C23" s="125" t="s">
        <v>39</v>
      </c>
      <c r="D23" s="125"/>
      <c r="E23" s="125" t="s">
        <v>39</v>
      </c>
      <c r="F23" s="125" t="s">
        <v>39</v>
      </c>
      <c r="G23" s="125" t="s">
        <v>39</v>
      </c>
      <c r="H23" s="125"/>
      <c r="I23" s="125" t="s">
        <v>39</v>
      </c>
      <c r="J23" s="125" t="s">
        <v>39</v>
      </c>
      <c r="K23" s="125" t="s">
        <v>39</v>
      </c>
      <c r="L23" s="125" t="s">
        <v>39</v>
      </c>
      <c r="M23" s="125" t="s">
        <v>39</v>
      </c>
      <c r="N23" s="125" t="s">
        <v>39</v>
      </c>
      <c r="O23" s="125" t="s">
        <v>39</v>
      </c>
      <c r="P23" s="125" t="s">
        <v>39</v>
      </c>
      <c r="Q23" s="125" t="s">
        <v>39</v>
      </c>
      <c r="R23" s="125" t="s">
        <v>39</v>
      </c>
      <c r="S23" s="125" t="s">
        <v>39</v>
      </c>
      <c r="T23" s="125" t="s">
        <v>39</v>
      </c>
      <c r="U23" s="125" t="s">
        <v>39</v>
      </c>
      <c r="V23" s="125" t="s">
        <v>39</v>
      </c>
      <c r="W23" s="125" t="s">
        <v>39</v>
      </c>
      <c r="X23" s="125" t="s">
        <v>39</v>
      </c>
      <c r="Y23" s="125" t="s">
        <v>39</v>
      </c>
      <c r="Z23" s="125" t="s">
        <v>39</v>
      </c>
      <c r="AA23" s="125" t="s">
        <v>39</v>
      </c>
      <c r="AB23" s="125" t="s">
        <v>39</v>
      </c>
      <c r="AC23" s="125" t="s">
        <v>39</v>
      </c>
      <c r="AD23" s="125" t="s">
        <v>39</v>
      </c>
      <c r="AE23" s="125" t="s">
        <v>39</v>
      </c>
      <c r="AF23" s="125" t="s">
        <v>39</v>
      </c>
      <c r="AG23" s="125" t="s">
        <v>39</v>
      </c>
      <c r="AH23" s="125" t="s">
        <v>39</v>
      </c>
      <c r="AI23" s="125" t="s">
        <v>39</v>
      </c>
      <c r="AJ23" s="125" t="s">
        <v>39</v>
      </c>
      <c r="AK23" s="125"/>
      <c r="AL23" s="125">
        <v>1293.0</v>
      </c>
      <c r="AM23" s="126">
        <v>1293.0</v>
      </c>
      <c r="AN23" s="127">
        <v>0.0</v>
      </c>
      <c r="AO23" s="123"/>
      <c r="AP23" s="116"/>
    </row>
    <row r="24" ht="15.75" customHeight="1">
      <c r="A24" s="123" t="s">
        <v>41</v>
      </c>
      <c r="B24" s="125" t="s">
        <v>39</v>
      </c>
      <c r="C24" s="125" t="s">
        <v>39</v>
      </c>
      <c r="D24" s="125"/>
      <c r="E24" s="125" t="s">
        <v>39</v>
      </c>
      <c r="F24" s="125" t="s">
        <v>39</v>
      </c>
      <c r="G24" s="125" t="s">
        <v>39</v>
      </c>
      <c r="H24" s="125"/>
      <c r="I24" s="125" t="s">
        <v>39</v>
      </c>
      <c r="J24" s="125" t="s">
        <v>39</v>
      </c>
      <c r="K24" s="125" t="s">
        <v>39</v>
      </c>
      <c r="L24" s="125" t="s">
        <v>39</v>
      </c>
      <c r="M24" s="125" t="s">
        <v>39</v>
      </c>
      <c r="N24" s="125" t="s">
        <v>39</v>
      </c>
      <c r="O24" s="125" t="s">
        <v>39</v>
      </c>
      <c r="P24" s="125" t="s">
        <v>39</v>
      </c>
      <c r="Q24" s="125" t="s">
        <v>39</v>
      </c>
      <c r="R24" s="125" t="s">
        <v>39</v>
      </c>
      <c r="S24" s="125" t="s">
        <v>39</v>
      </c>
      <c r="T24" s="125" t="s">
        <v>39</v>
      </c>
      <c r="U24" s="125" t="s">
        <v>39</v>
      </c>
      <c r="V24" s="125" t="s">
        <v>39</v>
      </c>
      <c r="W24" s="125" t="s">
        <v>39</v>
      </c>
      <c r="X24" s="125" t="s">
        <v>39</v>
      </c>
      <c r="Y24" s="125" t="s">
        <v>39</v>
      </c>
      <c r="Z24" s="125" t="s">
        <v>39</v>
      </c>
      <c r="AA24" s="125" t="s">
        <v>39</v>
      </c>
      <c r="AB24" s="125" t="s">
        <v>39</v>
      </c>
      <c r="AC24" s="125" t="s">
        <v>39</v>
      </c>
      <c r="AD24" s="125" t="s">
        <v>39</v>
      </c>
      <c r="AE24" s="125" t="s">
        <v>39</v>
      </c>
      <c r="AF24" s="125" t="s">
        <v>39</v>
      </c>
      <c r="AG24" s="125" t="s">
        <v>39</v>
      </c>
      <c r="AH24" s="125" t="s">
        <v>39</v>
      </c>
      <c r="AI24" s="125" t="s">
        <v>39</v>
      </c>
      <c r="AJ24" s="125" t="s">
        <v>39</v>
      </c>
      <c r="AK24" s="125"/>
      <c r="AL24" s="141">
        <v>687.94</v>
      </c>
      <c r="AM24" s="130">
        <v>687.94</v>
      </c>
      <c r="AN24" s="127">
        <v>0.0</v>
      </c>
      <c r="AO24" s="123"/>
      <c r="AP24" s="116"/>
    </row>
    <row r="25" ht="15.75" customHeight="1">
      <c r="A25" s="123" t="s">
        <v>42</v>
      </c>
      <c r="B25" s="125">
        <v>226.05</v>
      </c>
      <c r="C25" s="125">
        <v>279.94</v>
      </c>
      <c r="D25" s="125"/>
      <c r="E25" s="125">
        <v>49.78</v>
      </c>
      <c r="F25" s="125">
        <v>289.69</v>
      </c>
      <c r="G25" s="125">
        <v>96.83</v>
      </c>
      <c r="H25" s="125"/>
      <c r="I25" s="125">
        <v>560.99</v>
      </c>
      <c r="J25" s="125">
        <v>48.4</v>
      </c>
      <c r="K25" s="125" t="s">
        <v>39</v>
      </c>
      <c r="L25" s="125">
        <v>65.71</v>
      </c>
      <c r="M25" s="125">
        <v>92.46</v>
      </c>
      <c r="N25" s="125" t="s">
        <v>39</v>
      </c>
      <c r="O25" s="125">
        <v>331.14</v>
      </c>
      <c r="P25" s="125">
        <v>65.6</v>
      </c>
      <c r="Q25" s="125">
        <v>243.82</v>
      </c>
      <c r="R25" s="125">
        <v>305.13</v>
      </c>
      <c r="S25" s="125">
        <v>318.22</v>
      </c>
      <c r="T25" s="125">
        <v>379.45</v>
      </c>
      <c r="U25" s="125">
        <v>279.01</v>
      </c>
      <c r="V25" s="125" t="s">
        <v>39</v>
      </c>
      <c r="W25" s="125">
        <v>353.43</v>
      </c>
      <c r="X25" s="125">
        <v>95.22</v>
      </c>
      <c r="Y25" s="125">
        <v>337.91</v>
      </c>
      <c r="Z25" s="125">
        <v>8.8</v>
      </c>
      <c r="AA25" s="125" t="s">
        <v>39</v>
      </c>
      <c r="AB25" s="125">
        <v>243.82</v>
      </c>
      <c r="AC25" s="125">
        <v>170.26</v>
      </c>
      <c r="AD25" s="125">
        <v>264.01</v>
      </c>
      <c r="AE25" s="125" t="s">
        <v>39</v>
      </c>
      <c r="AF25" s="125">
        <v>338.16</v>
      </c>
      <c r="AG25" s="125" t="s">
        <v>39</v>
      </c>
      <c r="AH25" s="125" t="s">
        <v>39</v>
      </c>
      <c r="AI25" s="125">
        <v>248.92</v>
      </c>
      <c r="AJ25" s="125" t="s">
        <v>39</v>
      </c>
      <c r="AK25" s="125"/>
      <c r="AL25" s="125">
        <v>187.52</v>
      </c>
      <c r="AM25" s="126">
        <v>5880.27</v>
      </c>
      <c r="AN25" s="127">
        <v>0.0</v>
      </c>
      <c r="AO25" s="123"/>
      <c r="AP25" s="116"/>
    </row>
    <row r="26" ht="15.75" customHeight="1">
      <c r="A26" s="123" t="s">
        <v>43</v>
      </c>
      <c r="B26" s="125" t="s">
        <v>39</v>
      </c>
      <c r="C26" s="125" t="s">
        <v>39</v>
      </c>
      <c r="D26" s="125"/>
      <c r="E26" s="125" t="s">
        <v>39</v>
      </c>
      <c r="F26" s="125" t="s">
        <v>39</v>
      </c>
      <c r="G26" s="125" t="s">
        <v>39</v>
      </c>
      <c r="H26" s="125"/>
      <c r="I26" s="125" t="s">
        <v>39</v>
      </c>
      <c r="J26" s="125" t="s">
        <v>39</v>
      </c>
      <c r="K26" s="125" t="s">
        <v>39</v>
      </c>
      <c r="L26" s="125" t="s">
        <v>39</v>
      </c>
      <c r="M26" s="125" t="s">
        <v>39</v>
      </c>
      <c r="N26" s="125" t="s">
        <v>39</v>
      </c>
      <c r="O26" s="125" t="s">
        <v>39</v>
      </c>
      <c r="P26" s="125" t="s">
        <v>39</v>
      </c>
      <c r="Q26" s="125" t="s">
        <v>39</v>
      </c>
      <c r="R26" s="125" t="s">
        <v>39</v>
      </c>
      <c r="S26" s="125" t="s">
        <v>39</v>
      </c>
      <c r="T26" s="125" t="s">
        <v>39</v>
      </c>
      <c r="U26" s="125" t="s">
        <v>39</v>
      </c>
      <c r="V26" s="125" t="s">
        <v>39</v>
      </c>
      <c r="W26" s="125" t="s">
        <v>39</v>
      </c>
      <c r="X26" s="125" t="s">
        <v>39</v>
      </c>
      <c r="Y26" s="125" t="s">
        <v>39</v>
      </c>
      <c r="Z26" s="125" t="s">
        <v>39</v>
      </c>
      <c r="AA26" s="125" t="s">
        <v>39</v>
      </c>
      <c r="AB26" s="125" t="s">
        <v>39</v>
      </c>
      <c r="AC26" s="125" t="s">
        <v>39</v>
      </c>
      <c r="AD26" s="125" t="s">
        <v>39</v>
      </c>
      <c r="AE26" s="125" t="s">
        <v>39</v>
      </c>
      <c r="AF26" s="125" t="s">
        <v>39</v>
      </c>
      <c r="AG26" s="125" t="s">
        <v>39</v>
      </c>
      <c r="AH26" s="125" t="s">
        <v>39</v>
      </c>
      <c r="AI26" s="125" t="s">
        <v>39</v>
      </c>
      <c r="AJ26" s="125" t="s">
        <v>39</v>
      </c>
      <c r="AK26" s="125"/>
      <c r="AL26" s="125">
        <v>43426.74</v>
      </c>
      <c r="AM26" s="126">
        <v>43426.74</v>
      </c>
      <c r="AN26" s="127">
        <v>0.02</v>
      </c>
      <c r="AO26" s="123"/>
      <c r="AP26" s="116"/>
    </row>
    <row r="27" ht="15.75" customHeight="1">
      <c r="A27" s="123" t="s">
        <v>44</v>
      </c>
      <c r="B27" s="125" t="s">
        <v>39</v>
      </c>
      <c r="C27" s="125" t="s">
        <v>39</v>
      </c>
      <c r="D27" s="125"/>
      <c r="E27" s="125" t="s">
        <v>39</v>
      </c>
      <c r="F27" s="125" t="s">
        <v>39</v>
      </c>
      <c r="G27" s="125" t="s">
        <v>39</v>
      </c>
      <c r="H27" s="125"/>
      <c r="I27" s="125" t="s">
        <v>39</v>
      </c>
      <c r="J27" s="125" t="s">
        <v>39</v>
      </c>
      <c r="K27" s="125" t="s">
        <v>39</v>
      </c>
      <c r="L27" s="125" t="s">
        <v>39</v>
      </c>
      <c r="M27" s="125" t="s">
        <v>39</v>
      </c>
      <c r="N27" s="125" t="s">
        <v>39</v>
      </c>
      <c r="O27" s="125" t="s">
        <v>39</v>
      </c>
      <c r="P27" s="125" t="s">
        <v>39</v>
      </c>
      <c r="Q27" s="125" t="s">
        <v>39</v>
      </c>
      <c r="R27" s="125" t="s">
        <v>39</v>
      </c>
      <c r="S27" s="125" t="s">
        <v>39</v>
      </c>
      <c r="T27" s="125" t="s">
        <v>39</v>
      </c>
      <c r="U27" s="125" t="s">
        <v>39</v>
      </c>
      <c r="V27" s="125" t="s">
        <v>39</v>
      </c>
      <c r="W27" s="125" t="s">
        <v>39</v>
      </c>
      <c r="X27" s="125" t="s">
        <v>39</v>
      </c>
      <c r="Y27" s="125" t="s">
        <v>39</v>
      </c>
      <c r="Z27" s="125" t="s">
        <v>39</v>
      </c>
      <c r="AA27" s="125" t="s">
        <v>39</v>
      </c>
      <c r="AB27" s="125" t="s">
        <v>39</v>
      </c>
      <c r="AC27" s="125" t="s">
        <v>39</v>
      </c>
      <c r="AD27" s="125" t="s">
        <v>39</v>
      </c>
      <c r="AE27" s="125" t="s">
        <v>39</v>
      </c>
      <c r="AF27" s="125" t="s">
        <v>39</v>
      </c>
      <c r="AG27" s="125" t="s">
        <v>39</v>
      </c>
      <c r="AH27" s="125" t="s">
        <v>39</v>
      </c>
      <c r="AI27" s="125" t="s">
        <v>39</v>
      </c>
      <c r="AJ27" s="125" t="s">
        <v>39</v>
      </c>
      <c r="AK27" s="125"/>
      <c r="AL27" s="125" t="s">
        <v>39</v>
      </c>
      <c r="AM27" s="130" t="s">
        <v>39</v>
      </c>
      <c r="AN27" s="127">
        <v>0.0</v>
      </c>
      <c r="AO27" s="123"/>
      <c r="AP27" s="116"/>
      <c r="AV27" s="129"/>
      <c r="BC27" s="129"/>
    </row>
    <row r="28" ht="15.75" customHeight="1">
      <c r="A28" s="123" t="s">
        <v>45</v>
      </c>
      <c r="B28" s="125" t="s">
        <v>39</v>
      </c>
      <c r="C28" s="125" t="s">
        <v>39</v>
      </c>
      <c r="D28" s="125"/>
      <c r="E28" s="125" t="s">
        <v>39</v>
      </c>
      <c r="F28" s="125" t="s">
        <v>39</v>
      </c>
      <c r="G28" s="125" t="s">
        <v>39</v>
      </c>
      <c r="H28" s="125"/>
      <c r="I28" s="125" t="s">
        <v>39</v>
      </c>
      <c r="J28" s="125" t="s">
        <v>39</v>
      </c>
      <c r="K28" s="125" t="s">
        <v>39</v>
      </c>
      <c r="L28" s="125" t="s">
        <v>39</v>
      </c>
      <c r="M28" s="125" t="s">
        <v>39</v>
      </c>
      <c r="N28" s="125" t="s">
        <v>39</v>
      </c>
      <c r="O28" s="125" t="s">
        <v>39</v>
      </c>
      <c r="P28" s="125" t="s">
        <v>39</v>
      </c>
      <c r="Q28" s="125" t="s">
        <v>39</v>
      </c>
      <c r="R28" s="125" t="s">
        <v>39</v>
      </c>
      <c r="S28" s="125" t="s">
        <v>39</v>
      </c>
      <c r="T28" s="125" t="s">
        <v>39</v>
      </c>
      <c r="U28" s="125" t="s">
        <v>39</v>
      </c>
      <c r="V28" s="125" t="s">
        <v>39</v>
      </c>
      <c r="W28" s="125" t="s">
        <v>39</v>
      </c>
      <c r="X28" s="125" t="s">
        <v>39</v>
      </c>
      <c r="Y28" s="125" t="s">
        <v>39</v>
      </c>
      <c r="Z28" s="125" t="s">
        <v>39</v>
      </c>
      <c r="AA28" s="125" t="s">
        <v>39</v>
      </c>
      <c r="AB28" s="125" t="s">
        <v>39</v>
      </c>
      <c r="AC28" s="125" t="s">
        <v>39</v>
      </c>
      <c r="AD28" s="125" t="s">
        <v>39</v>
      </c>
      <c r="AE28" s="125" t="s">
        <v>39</v>
      </c>
      <c r="AF28" s="125" t="s">
        <v>39</v>
      </c>
      <c r="AG28" s="125" t="s">
        <v>39</v>
      </c>
      <c r="AH28" s="125" t="s">
        <v>39</v>
      </c>
      <c r="AI28" s="125" t="s">
        <v>39</v>
      </c>
      <c r="AJ28" s="125" t="s">
        <v>39</v>
      </c>
      <c r="AK28" s="125"/>
      <c r="AL28" s="125" t="s">
        <v>39</v>
      </c>
      <c r="AM28" s="130" t="s">
        <v>39</v>
      </c>
      <c r="AN28" s="127">
        <v>0.0</v>
      </c>
      <c r="AO28" s="123"/>
      <c r="AP28" s="116"/>
    </row>
    <row r="29" ht="15.75" customHeight="1">
      <c r="A29" s="123" t="s">
        <v>46</v>
      </c>
      <c r="B29" s="125" t="s">
        <v>39</v>
      </c>
      <c r="C29" s="125" t="s">
        <v>39</v>
      </c>
      <c r="D29" s="125"/>
      <c r="E29" s="125" t="s">
        <v>39</v>
      </c>
      <c r="F29" s="125" t="s">
        <v>39</v>
      </c>
      <c r="G29" s="125" t="s">
        <v>39</v>
      </c>
      <c r="H29" s="125"/>
      <c r="I29" s="125" t="s">
        <v>39</v>
      </c>
      <c r="J29" s="125" t="s">
        <v>39</v>
      </c>
      <c r="K29" s="125" t="s">
        <v>39</v>
      </c>
      <c r="L29" s="125" t="s">
        <v>39</v>
      </c>
      <c r="M29" s="125" t="s">
        <v>39</v>
      </c>
      <c r="N29" s="125" t="s">
        <v>39</v>
      </c>
      <c r="O29" s="125" t="s">
        <v>39</v>
      </c>
      <c r="P29" s="125" t="s">
        <v>39</v>
      </c>
      <c r="Q29" s="125" t="s">
        <v>39</v>
      </c>
      <c r="R29" s="125" t="s">
        <v>39</v>
      </c>
      <c r="S29" s="125" t="s">
        <v>39</v>
      </c>
      <c r="T29" s="125" t="s">
        <v>39</v>
      </c>
      <c r="U29" s="125" t="s">
        <v>39</v>
      </c>
      <c r="V29" s="125" t="s">
        <v>39</v>
      </c>
      <c r="W29" s="125" t="s">
        <v>39</v>
      </c>
      <c r="X29" s="125" t="s">
        <v>39</v>
      </c>
      <c r="Y29" s="125" t="s">
        <v>39</v>
      </c>
      <c r="Z29" s="125" t="s">
        <v>39</v>
      </c>
      <c r="AA29" s="125" t="s">
        <v>39</v>
      </c>
      <c r="AB29" s="125" t="s">
        <v>39</v>
      </c>
      <c r="AC29" s="125" t="s">
        <v>39</v>
      </c>
      <c r="AD29" s="125" t="s">
        <v>39</v>
      </c>
      <c r="AE29" s="125" t="s">
        <v>39</v>
      </c>
      <c r="AF29" s="125" t="s">
        <v>39</v>
      </c>
      <c r="AG29" s="125" t="s">
        <v>39</v>
      </c>
      <c r="AH29" s="125" t="s">
        <v>39</v>
      </c>
      <c r="AI29" s="125" t="s">
        <v>39</v>
      </c>
      <c r="AJ29" s="125" t="s">
        <v>39</v>
      </c>
      <c r="AK29" s="125"/>
      <c r="AL29" s="125">
        <v>220.58</v>
      </c>
      <c r="AM29" s="130">
        <v>220.58</v>
      </c>
      <c r="AN29" s="127">
        <v>0.0</v>
      </c>
      <c r="AO29" s="137"/>
      <c r="AP29" s="128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</row>
    <row r="30" ht="15.75" customHeight="1">
      <c r="A30" s="123" t="s">
        <v>47</v>
      </c>
      <c r="B30" s="125" t="s">
        <v>39</v>
      </c>
      <c r="C30" s="125" t="s">
        <v>39</v>
      </c>
      <c r="D30" s="125"/>
      <c r="E30" s="125" t="s">
        <v>39</v>
      </c>
      <c r="F30" s="125" t="s">
        <v>39</v>
      </c>
      <c r="G30" s="125" t="s">
        <v>39</v>
      </c>
      <c r="H30" s="125"/>
      <c r="I30" s="125" t="s">
        <v>39</v>
      </c>
      <c r="J30" s="125" t="s">
        <v>39</v>
      </c>
      <c r="K30" s="125" t="s">
        <v>39</v>
      </c>
      <c r="L30" s="125" t="s">
        <v>39</v>
      </c>
      <c r="M30" s="125" t="s">
        <v>39</v>
      </c>
      <c r="N30" s="125" t="s">
        <v>39</v>
      </c>
      <c r="O30" s="125" t="s">
        <v>39</v>
      </c>
      <c r="P30" s="125" t="s">
        <v>39</v>
      </c>
      <c r="Q30" s="125" t="s">
        <v>39</v>
      </c>
      <c r="R30" s="125" t="s">
        <v>39</v>
      </c>
      <c r="S30" s="125" t="s">
        <v>39</v>
      </c>
      <c r="T30" s="125" t="s">
        <v>39</v>
      </c>
      <c r="U30" s="125" t="s">
        <v>39</v>
      </c>
      <c r="V30" s="125" t="s">
        <v>39</v>
      </c>
      <c r="W30" s="125" t="s">
        <v>39</v>
      </c>
      <c r="X30" s="125" t="s">
        <v>39</v>
      </c>
      <c r="Y30" s="125" t="s">
        <v>39</v>
      </c>
      <c r="Z30" s="125" t="s">
        <v>39</v>
      </c>
      <c r="AA30" s="125" t="s">
        <v>39</v>
      </c>
      <c r="AB30" s="125" t="s">
        <v>39</v>
      </c>
      <c r="AC30" s="125" t="s">
        <v>39</v>
      </c>
      <c r="AD30" s="125" t="s">
        <v>39</v>
      </c>
      <c r="AE30" s="125" t="s">
        <v>39</v>
      </c>
      <c r="AF30" s="125" t="s">
        <v>39</v>
      </c>
      <c r="AG30" s="125" t="s">
        <v>39</v>
      </c>
      <c r="AH30" s="125" t="s">
        <v>39</v>
      </c>
      <c r="AI30" s="125" t="s">
        <v>39</v>
      </c>
      <c r="AJ30" s="125" t="s">
        <v>39</v>
      </c>
      <c r="AK30" s="125"/>
      <c r="AL30" s="125" t="s">
        <v>39</v>
      </c>
      <c r="AM30" s="130" t="s">
        <v>39</v>
      </c>
      <c r="AN30" s="127">
        <v>0.0</v>
      </c>
      <c r="AO30" s="123"/>
      <c r="AP30" s="116"/>
    </row>
    <row r="31" ht="15.75" customHeight="1">
      <c r="A31" s="123" t="s">
        <v>48</v>
      </c>
      <c r="B31" s="125" t="s">
        <v>39</v>
      </c>
      <c r="C31" s="125" t="s">
        <v>39</v>
      </c>
      <c r="D31" s="125"/>
      <c r="E31" s="125" t="s">
        <v>39</v>
      </c>
      <c r="F31" s="125" t="s">
        <v>39</v>
      </c>
      <c r="G31" s="125" t="s">
        <v>39</v>
      </c>
      <c r="H31" s="125"/>
      <c r="I31" s="125" t="s">
        <v>39</v>
      </c>
      <c r="J31" s="125" t="s">
        <v>39</v>
      </c>
      <c r="K31" s="125" t="s">
        <v>39</v>
      </c>
      <c r="L31" s="125" t="s">
        <v>39</v>
      </c>
      <c r="M31" s="125" t="s">
        <v>39</v>
      </c>
      <c r="N31" s="125" t="s">
        <v>39</v>
      </c>
      <c r="O31" s="125" t="s">
        <v>39</v>
      </c>
      <c r="P31" s="125" t="s">
        <v>39</v>
      </c>
      <c r="Q31" s="125" t="s">
        <v>39</v>
      </c>
      <c r="R31" s="125" t="s">
        <v>39</v>
      </c>
      <c r="S31" s="125" t="s">
        <v>39</v>
      </c>
      <c r="T31" s="125" t="s">
        <v>39</v>
      </c>
      <c r="U31" s="125" t="s">
        <v>39</v>
      </c>
      <c r="V31" s="125" t="s">
        <v>39</v>
      </c>
      <c r="W31" s="125" t="s">
        <v>39</v>
      </c>
      <c r="X31" s="125" t="s">
        <v>39</v>
      </c>
      <c r="Y31" s="125" t="s">
        <v>39</v>
      </c>
      <c r="Z31" s="125" t="s">
        <v>39</v>
      </c>
      <c r="AA31" s="125" t="s">
        <v>39</v>
      </c>
      <c r="AB31" s="125" t="s">
        <v>39</v>
      </c>
      <c r="AC31" s="125" t="s">
        <v>39</v>
      </c>
      <c r="AD31" s="125" t="s">
        <v>39</v>
      </c>
      <c r="AE31" s="125" t="s">
        <v>39</v>
      </c>
      <c r="AF31" s="125" t="s">
        <v>39</v>
      </c>
      <c r="AG31" s="125" t="s">
        <v>39</v>
      </c>
      <c r="AH31" s="125" t="s">
        <v>39</v>
      </c>
      <c r="AI31" s="125" t="s">
        <v>39</v>
      </c>
      <c r="AJ31" s="125" t="s">
        <v>39</v>
      </c>
      <c r="AK31" s="125"/>
      <c r="AL31" s="125">
        <v>18703.14</v>
      </c>
      <c r="AM31" s="126">
        <v>18703.14</v>
      </c>
      <c r="AN31" s="127">
        <v>0.01</v>
      </c>
      <c r="AO31" s="137"/>
      <c r="AP31" s="128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</row>
    <row r="32" ht="15.75" customHeight="1">
      <c r="A32" s="123" t="s">
        <v>49</v>
      </c>
      <c r="B32" s="125" t="s">
        <v>39</v>
      </c>
      <c r="C32" s="125" t="s">
        <v>39</v>
      </c>
      <c r="D32" s="125"/>
      <c r="E32" s="125" t="s">
        <v>39</v>
      </c>
      <c r="F32" s="125" t="s">
        <v>39</v>
      </c>
      <c r="G32" s="125" t="s">
        <v>39</v>
      </c>
      <c r="H32" s="125"/>
      <c r="I32" s="125" t="s">
        <v>39</v>
      </c>
      <c r="J32" s="125" t="s">
        <v>39</v>
      </c>
      <c r="K32" s="125" t="s">
        <v>39</v>
      </c>
      <c r="L32" s="125" t="s">
        <v>39</v>
      </c>
      <c r="M32" s="125" t="s">
        <v>39</v>
      </c>
      <c r="N32" s="125" t="s">
        <v>39</v>
      </c>
      <c r="O32" s="125" t="s">
        <v>39</v>
      </c>
      <c r="P32" s="125" t="s">
        <v>39</v>
      </c>
      <c r="Q32" s="125" t="s">
        <v>39</v>
      </c>
      <c r="R32" s="125" t="s">
        <v>39</v>
      </c>
      <c r="S32" s="125" t="s">
        <v>39</v>
      </c>
      <c r="T32" s="125" t="s">
        <v>39</v>
      </c>
      <c r="U32" s="125" t="s">
        <v>39</v>
      </c>
      <c r="V32" s="125" t="s">
        <v>39</v>
      </c>
      <c r="W32" s="125" t="s">
        <v>39</v>
      </c>
      <c r="X32" s="125" t="s">
        <v>39</v>
      </c>
      <c r="Y32" s="125" t="s">
        <v>39</v>
      </c>
      <c r="Z32" s="125" t="s">
        <v>39</v>
      </c>
      <c r="AA32" s="125" t="s">
        <v>39</v>
      </c>
      <c r="AB32" s="125" t="s">
        <v>39</v>
      </c>
      <c r="AC32" s="125" t="s">
        <v>39</v>
      </c>
      <c r="AD32" s="125" t="s">
        <v>39</v>
      </c>
      <c r="AE32" s="125" t="s">
        <v>39</v>
      </c>
      <c r="AF32" s="125" t="s">
        <v>39</v>
      </c>
      <c r="AG32" s="125" t="s">
        <v>39</v>
      </c>
      <c r="AH32" s="125" t="s">
        <v>39</v>
      </c>
      <c r="AI32" s="125" t="s">
        <v>39</v>
      </c>
      <c r="AJ32" s="125" t="s">
        <v>39</v>
      </c>
      <c r="AK32" s="125"/>
      <c r="AL32" s="125" t="s">
        <v>39</v>
      </c>
      <c r="AM32" s="130" t="s">
        <v>39</v>
      </c>
      <c r="AN32" s="127">
        <v>0.0</v>
      </c>
      <c r="AO32" s="123"/>
      <c r="AP32" s="116"/>
    </row>
    <row r="33" ht="15.75" customHeight="1">
      <c r="A33" s="123" t="s">
        <v>106</v>
      </c>
      <c r="B33" s="125" t="s">
        <v>39</v>
      </c>
      <c r="C33" s="125" t="s">
        <v>39</v>
      </c>
      <c r="D33" s="125"/>
      <c r="E33" s="125" t="s">
        <v>39</v>
      </c>
      <c r="F33" s="125" t="s">
        <v>39</v>
      </c>
      <c r="G33" s="125" t="s">
        <v>39</v>
      </c>
      <c r="H33" s="125"/>
      <c r="I33" s="125" t="s">
        <v>39</v>
      </c>
      <c r="J33" s="125" t="s">
        <v>39</v>
      </c>
      <c r="K33" s="125" t="s">
        <v>39</v>
      </c>
      <c r="L33" s="125" t="s">
        <v>39</v>
      </c>
      <c r="M33" s="125" t="s">
        <v>39</v>
      </c>
      <c r="N33" s="125" t="s">
        <v>39</v>
      </c>
      <c r="O33" s="125" t="s">
        <v>39</v>
      </c>
      <c r="P33" s="125" t="s">
        <v>39</v>
      </c>
      <c r="Q33" s="125" t="s">
        <v>39</v>
      </c>
      <c r="R33" s="125" t="s">
        <v>39</v>
      </c>
      <c r="S33" s="125" t="s">
        <v>39</v>
      </c>
      <c r="T33" s="125" t="s">
        <v>39</v>
      </c>
      <c r="U33" s="125" t="s">
        <v>39</v>
      </c>
      <c r="V33" s="125" t="s">
        <v>39</v>
      </c>
      <c r="W33" s="125" t="s">
        <v>39</v>
      </c>
      <c r="X33" s="125" t="s">
        <v>39</v>
      </c>
      <c r="Y33" s="125" t="s">
        <v>39</v>
      </c>
      <c r="Z33" s="125" t="s">
        <v>39</v>
      </c>
      <c r="AA33" s="125" t="s">
        <v>39</v>
      </c>
      <c r="AB33" s="125" t="s">
        <v>39</v>
      </c>
      <c r="AC33" s="125" t="s">
        <v>39</v>
      </c>
      <c r="AD33" s="125" t="s">
        <v>39</v>
      </c>
      <c r="AE33" s="125" t="s">
        <v>39</v>
      </c>
      <c r="AF33" s="125" t="s">
        <v>39</v>
      </c>
      <c r="AG33" s="125" t="s">
        <v>39</v>
      </c>
      <c r="AH33" s="125" t="s">
        <v>39</v>
      </c>
      <c r="AI33" s="125" t="s">
        <v>39</v>
      </c>
      <c r="AJ33" s="125" t="s">
        <v>39</v>
      </c>
      <c r="AK33" s="125"/>
      <c r="AL33" s="125">
        <v>5000.0</v>
      </c>
      <c r="AM33" s="126">
        <v>5000.0</v>
      </c>
      <c r="AN33" s="127">
        <v>0.0</v>
      </c>
      <c r="AO33" s="123"/>
      <c r="AP33" s="116"/>
    </row>
    <row r="34" ht="15.75" customHeight="1">
      <c r="A34" s="123" t="s">
        <v>51</v>
      </c>
      <c r="B34" s="125" t="s">
        <v>39</v>
      </c>
      <c r="C34" s="125" t="s">
        <v>39</v>
      </c>
      <c r="D34" s="125"/>
      <c r="E34" s="125" t="s">
        <v>39</v>
      </c>
      <c r="F34" s="125" t="s">
        <v>39</v>
      </c>
      <c r="G34" s="125" t="s">
        <v>39</v>
      </c>
      <c r="H34" s="125"/>
      <c r="I34" s="125" t="s">
        <v>39</v>
      </c>
      <c r="J34" s="125" t="s">
        <v>39</v>
      </c>
      <c r="K34" s="125" t="s">
        <v>39</v>
      </c>
      <c r="L34" s="125" t="s">
        <v>39</v>
      </c>
      <c r="M34" s="125" t="s">
        <v>39</v>
      </c>
      <c r="N34" s="125" t="s">
        <v>39</v>
      </c>
      <c r="O34" s="125" t="s">
        <v>39</v>
      </c>
      <c r="P34" s="125" t="s">
        <v>39</v>
      </c>
      <c r="Q34" s="125" t="s">
        <v>39</v>
      </c>
      <c r="R34" s="125" t="s">
        <v>39</v>
      </c>
      <c r="S34" s="125" t="s">
        <v>39</v>
      </c>
      <c r="T34" s="125" t="s">
        <v>39</v>
      </c>
      <c r="U34" s="125" t="s">
        <v>39</v>
      </c>
      <c r="V34" s="125" t="s">
        <v>39</v>
      </c>
      <c r="W34" s="125" t="s">
        <v>39</v>
      </c>
      <c r="X34" s="125" t="s">
        <v>39</v>
      </c>
      <c r="Y34" s="125" t="s">
        <v>39</v>
      </c>
      <c r="Z34" s="125" t="s">
        <v>39</v>
      </c>
      <c r="AA34" s="125" t="s">
        <v>39</v>
      </c>
      <c r="AB34" s="125" t="s">
        <v>39</v>
      </c>
      <c r="AC34" s="125" t="s">
        <v>39</v>
      </c>
      <c r="AD34" s="125" t="s">
        <v>39</v>
      </c>
      <c r="AE34" s="125" t="s">
        <v>39</v>
      </c>
      <c r="AF34" s="125" t="s">
        <v>39</v>
      </c>
      <c r="AG34" s="125" t="s">
        <v>39</v>
      </c>
      <c r="AH34" s="125" t="s">
        <v>39</v>
      </c>
      <c r="AI34" s="125">
        <v>2180.5</v>
      </c>
      <c r="AJ34" s="125" t="s">
        <v>39</v>
      </c>
      <c r="AK34" s="125"/>
      <c r="AL34" s="125">
        <v>12677.54</v>
      </c>
      <c r="AM34" s="126">
        <v>14858.04</v>
      </c>
      <c r="AN34" s="127">
        <v>0.01</v>
      </c>
      <c r="AO34" s="123"/>
      <c r="AP34" s="116"/>
    </row>
    <row r="35" ht="15.75" customHeight="1">
      <c r="A35" s="123" t="s">
        <v>52</v>
      </c>
      <c r="B35" s="125" t="s">
        <v>39</v>
      </c>
      <c r="C35" s="125" t="s">
        <v>39</v>
      </c>
      <c r="D35" s="125"/>
      <c r="E35" s="125" t="s">
        <v>39</v>
      </c>
      <c r="F35" s="125" t="s">
        <v>39</v>
      </c>
      <c r="G35" s="125" t="s">
        <v>39</v>
      </c>
      <c r="H35" s="125"/>
      <c r="I35" s="125" t="s">
        <v>39</v>
      </c>
      <c r="J35" s="125" t="s">
        <v>39</v>
      </c>
      <c r="K35" s="125" t="s">
        <v>39</v>
      </c>
      <c r="L35" s="125" t="s">
        <v>39</v>
      </c>
      <c r="M35" s="125" t="s">
        <v>39</v>
      </c>
      <c r="N35" s="125" t="s">
        <v>39</v>
      </c>
      <c r="O35" s="125" t="s">
        <v>39</v>
      </c>
      <c r="P35" s="125" t="s">
        <v>39</v>
      </c>
      <c r="Q35" s="125" t="s">
        <v>39</v>
      </c>
      <c r="R35" s="125" t="s">
        <v>39</v>
      </c>
      <c r="S35" s="125" t="s">
        <v>39</v>
      </c>
      <c r="T35" s="125" t="s">
        <v>39</v>
      </c>
      <c r="U35" s="125" t="s">
        <v>39</v>
      </c>
      <c r="V35" s="125" t="s">
        <v>39</v>
      </c>
      <c r="W35" s="125" t="s">
        <v>39</v>
      </c>
      <c r="X35" s="125" t="s">
        <v>39</v>
      </c>
      <c r="Y35" s="125" t="s">
        <v>39</v>
      </c>
      <c r="Z35" s="125" t="s">
        <v>39</v>
      </c>
      <c r="AA35" s="125" t="s">
        <v>39</v>
      </c>
      <c r="AB35" s="125" t="s">
        <v>39</v>
      </c>
      <c r="AC35" s="125" t="s">
        <v>39</v>
      </c>
      <c r="AD35" s="125" t="s">
        <v>39</v>
      </c>
      <c r="AE35" s="125" t="s">
        <v>39</v>
      </c>
      <c r="AF35" s="125" t="s">
        <v>39</v>
      </c>
      <c r="AG35" s="125" t="s">
        <v>39</v>
      </c>
      <c r="AH35" s="125" t="s">
        <v>39</v>
      </c>
      <c r="AI35" s="125" t="s">
        <v>39</v>
      </c>
      <c r="AJ35" s="125" t="s">
        <v>39</v>
      </c>
      <c r="AK35" s="125"/>
      <c r="AL35" s="125" t="s">
        <v>39</v>
      </c>
      <c r="AM35" s="130" t="s">
        <v>39</v>
      </c>
      <c r="AN35" s="127">
        <v>0.0</v>
      </c>
      <c r="AO35" s="123"/>
      <c r="AP35" s="116"/>
    </row>
    <row r="36" ht="15.75" customHeight="1">
      <c r="A36" s="123" t="s">
        <v>53</v>
      </c>
      <c r="B36" s="125" t="s">
        <v>39</v>
      </c>
      <c r="C36" s="125" t="s">
        <v>39</v>
      </c>
      <c r="D36" s="125"/>
      <c r="E36" s="125" t="s">
        <v>39</v>
      </c>
      <c r="F36" s="125" t="s">
        <v>39</v>
      </c>
      <c r="G36" s="125" t="s">
        <v>39</v>
      </c>
      <c r="H36" s="125"/>
      <c r="I36" s="125" t="s">
        <v>39</v>
      </c>
      <c r="J36" s="125" t="s">
        <v>39</v>
      </c>
      <c r="K36" s="125" t="s">
        <v>39</v>
      </c>
      <c r="L36" s="125" t="s">
        <v>39</v>
      </c>
      <c r="M36" s="125" t="s">
        <v>39</v>
      </c>
      <c r="N36" s="125" t="s">
        <v>39</v>
      </c>
      <c r="O36" s="125" t="s">
        <v>39</v>
      </c>
      <c r="P36" s="125" t="s">
        <v>39</v>
      </c>
      <c r="Q36" s="125" t="s">
        <v>39</v>
      </c>
      <c r="R36" s="125" t="s">
        <v>39</v>
      </c>
      <c r="S36" s="125" t="s">
        <v>39</v>
      </c>
      <c r="T36" s="125" t="s">
        <v>39</v>
      </c>
      <c r="U36" s="125" t="s">
        <v>39</v>
      </c>
      <c r="V36" s="125" t="s">
        <v>39</v>
      </c>
      <c r="W36" s="125" t="s">
        <v>39</v>
      </c>
      <c r="X36" s="125" t="s">
        <v>39</v>
      </c>
      <c r="Y36" s="125" t="s">
        <v>39</v>
      </c>
      <c r="Z36" s="125" t="s">
        <v>39</v>
      </c>
      <c r="AA36" s="125" t="s">
        <v>39</v>
      </c>
      <c r="AB36" s="125" t="s">
        <v>39</v>
      </c>
      <c r="AC36" s="125" t="s">
        <v>39</v>
      </c>
      <c r="AD36" s="125" t="s">
        <v>39</v>
      </c>
      <c r="AE36" s="125" t="s">
        <v>39</v>
      </c>
      <c r="AF36" s="125" t="s">
        <v>39</v>
      </c>
      <c r="AG36" s="125" t="s">
        <v>39</v>
      </c>
      <c r="AH36" s="125" t="s">
        <v>39</v>
      </c>
      <c r="AI36" s="125" t="s">
        <v>39</v>
      </c>
      <c r="AJ36" s="125" t="s">
        <v>39</v>
      </c>
      <c r="AK36" s="125"/>
      <c r="AL36" s="125" t="s">
        <v>39</v>
      </c>
      <c r="AM36" s="130" t="s">
        <v>39</v>
      </c>
      <c r="AN36" s="127">
        <v>0.0</v>
      </c>
      <c r="AO36" s="123"/>
      <c r="AP36" s="116"/>
    </row>
    <row r="37" ht="15.75" customHeight="1">
      <c r="A37" s="123" t="s">
        <v>54</v>
      </c>
      <c r="B37" s="125" t="s">
        <v>39</v>
      </c>
      <c r="C37" s="125" t="s">
        <v>39</v>
      </c>
      <c r="D37" s="125"/>
      <c r="E37" s="125" t="s">
        <v>39</v>
      </c>
      <c r="F37" s="125" t="s">
        <v>39</v>
      </c>
      <c r="G37" s="125" t="s">
        <v>39</v>
      </c>
      <c r="H37" s="125"/>
      <c r="I37" s="125" t="s">
        <v>39</v>
      </c>
      <c r="J37" s="125" t="s">
        <v>39</v>
      </c>
      <c r="K37" s="125" t="s">
        <v>39</v>
      </c>
      <c r="L37" s="125" t="s">
        <v>39</v>
      </c>
      <c r="M37" s="125" t="s">
        <v>39</v>
      </c>
      <c r="N37" s="125" t="s">
        <v>39</v>
      </c>
      <c r="O37" s="125" t="s">
        <v>39</v>
      </c>
      <c r="P37" s="125" t="s">
        <v>39</v>
      </c>
      <c r="Q37" s="125" t="s">
        <v>39</v>
      </c>
      <c r="R37" s="125" t="s">
        <v>39</v>
      </c>
      <c r="S37" s="125" t="s">
        <v>39</v>
      </c>
      <c r="T37" s="125" t="s">
        <v>39</v>
      </c>
      <c r="U37" s="125" t="s">
        <v>39</v>
      </c>
      <c r="V37" s="125" t="s">
        <v>39</v>
      </c>
      <c r="W37" s="125" t="s">
        <v>39</v>
      </c>
      <c r="X37" s="125" t="s">
        <v>39</v>
      </c>
      <c r="Y37" s="125" t="s">
        <v>39</v>
      </c>
      <c r="Z37" s="125" t="s">
        <v>39</v>
      </c>
      <c r="AA37" s="125" t="s">
        <v>39</v>
      </c>
      <c r="AB37" s="125" t="s">
        <v>39</v>
      </c>
      <c r="AC37" s="125" t="s">
        <v>39</v>
      </c>
      <c r="AD37" s="125" t="s">
        <v>39</v>
      </c>
      <c r="AE37" s="125" t="s">
        <v>39</v>
      </c>
      <c r="AF37" s="125" t="s">
        <v>39</v>
      </c>
      <c r="AG37" s="125" t="s">
        <v>39</v>
      </c>
      <c r="AH37" s="125" t="s">
        <v>39</v>
      </c>
      <c r="AI37" s="125" t="s">
        <v>39</v>
      </c>
      <c r="AJ37" s="125" t="s">
        <v>39</v>
      </c>
      <c r="AK37" s="125"/>
      <c r="AL37" s="125">
        <v>18400.0</v>
      </c>
      <c r="AM37" s="126">
        <v>18400.0</v>
      </c>
      <c r="AN37" s="127">
        <v>0.01</v>
      </c>
      <c r="AO37" s="123"/>
      <c r="AP37" s="116"/>
    </row>
    <row r="38" ht="15.75" customHeight="1">
      <c r="A38" s="123" t="s">
        <v>55</v>
      </c>
      <c r="B38" s="125" t="s">
        <v>39</v>
      </c>
      <c r="C38" s="125" t="s">
        <v>39</v>
      </c>
      <c r="D38" s="125"/>
      <c r="E38" s="125" t="s">
        <v>39</v>
      </c>
      <c r="F38" s="125" t="s">
        <v>39</v>
      </c>
      <c r="G38" s="125" t="s">
        <v>39</v>
      </c>
      <c r="H38" s="125"/>
      <c r="I38" s="125" t="s">
        <v>39</v>
      </c>
      <c r="J38" s="125" t="s">
        <v>39</v>
      </c>
      <c r="K38" s="125" t="s">
        <v>39</v>
      </c>
      <c r="L38" s="125" t="s">
        <v>39</v>
      </c>
      <c r="M38" s="125" t="s">
        <v>39</v>
      </c>
      <c r="N38" s="125" t="s">
        <v>39</v>
      </c>
      <c r="O38" s="125" t="s">
        <v>39</v>
      </c>
      <c r="P38" s="125" t="s">
        <v>39</v>
      </c>
      <c r="Q38" s="125" t="s">
        <v>39</v>
      </c>
      <c r="R38" s="125" t="s">
        <v>39</v>
      </c>
      <c r="S38" s="125" t="s">
        <v>39</v>
      </c>
      <c r="T38" s="125" t="s">
        <v>39</v>
      </c>
      <c r="U38" s="125" t="s">
        <v>39</v>
      </c>
      <c r="V38" s="125" t="s">
        <v>39</v>
      </c>
      <c r="W38" s="125" t="s">
        <v>39</v>
      </c>
      <c r="X38" s="125" t="s">
        <v>39</v>
      </c>
      <c r="Y38" s="125" t="s">
        <v>39</v>
      </c>
      <c r="Z38" s="125" t="s">
        <v>39</v>
      </c>
      <c r="AA38" s="125" t="s">
        <v>39</v>
      </c>
      <c r="AB38" s="125" t="s">
        <v>39</v>
      </c>
      <c r="AC38" s="125" t="s">
        <v>39</v>
      </c>
      <c r="AD38" s="125" t="s">
        <v>39</v>
      </c>
      <c r="AE38" s="125" t="s">
        <v>39</v>
      </c>
      <c r="AF38" s="125" t="s">
        <v>39</v>
      </c>
      <c r="AG38" s="125" t="s">
        <v>39</v>
      </c>
      <c r="AH38" s="125" t="s">
        <v>39</v>
      </c>
      <c r="AI38" s="125" t="s">
        <v>39</v>
      </c>
      <c r="AJ38" s="125" t="s">
        <v>39</v>
      </c>
      <c r="AK38" s="125"/>
      <c r="AL38" s="125" t="s">
        <v>39</v>
      </c>
      <c r="AM38" s="130" t="s">
        <v>39</v>
      </c>
      <c r="AN38" s="127">
        <v>0.0</v>
      </c>
      <c r="AO38" s="123"/>
      <c r="AP38" s="116"/>
    </row>
    <row r="39" ht="15.75" customHeight="1">
      <c r="A39" s="123" t="s">
        <v>107</v>
      </c>
      <c r="B39" s="125" t="s">
        <v>39</v>
      </c>
      <c r="C39" s="125" t="s">
        <v>39</v>
      </c>
      <c r="D39" s="125"/>
      <c r="E39" s="125" t="s">
        <v>39</v>
      </c>
      <c r="F39" s="125" t="s">
        <v>39</v>
      </c>
      <c r="G39" s="125" t="s">
        <v>39</v>
      </c>
      <c r="H39" s="125"/>
      <c r="I39" s="125">
        <v>4930.0</v>
      </c>
      <c r="J39" s="125">
        <v>877.0</v>
      </c>
      <c r="K39" s="125" t="s">
        <v>39</v>
      </c>
      <c r="L39" s="125" t="s">
        <v>39</v>
      </c>
      <c r="M39" s="125" t="s">
        <v>39</v>
      </c>
      <c r="N39" s="125" t="s">
        <v>39</v>
      </c>
      <c r="O39" s="125" t="s">
        <v>39</v>
      </c>
      <c r="P39" s="125" t="s">
        <v>39</v>
      </c>
      <c r="Q39" s="125">
        <v>3197.5</v>
      </c>
      <c r="R39" s="125" t="s">
        <v>39</v>
      </c>
      <c r="S39" s="125" t="s">
        <v>39</v>
      </c>
      <c r="T39" s="125" t="s">
        <v>39</v>
      </c>
      <c r="U39" s="125" t="s">
        <v>39</v>
      </c>
      <c r="V39" s="125" t="s">
        <v>39</v>
      </c>
      <c r="W39" s="125" t="s">
        <v>39</v>
      </c>
      <c r="X39" s="125" t="s">
        <v>39</v>
      </c>
      <c r="Y39" s="125">
        <v>1827.0</v>
      </c>
      <c r="Z39" s="125" t="s">
        <v>39</v>
      </c>
      <c r="AA39" s="125" t="s">
        <v>39</v>
      </c>
      <c r="AB39" s="125" t="s">
        <v>39</v>
      </c>
      <c r="AC39" s="125" t="s">
        <v>39</v>
      </c>
      <c r="AD39" s="125" t="s">
        <v>39</v>
      </c>
      <c r="AE39" s="125">
        <v>250.0</v>
      </c>
      <c r="AF39" s="125" t="s">
        <v>39</v>
      </c>
      <c r="AG39" s="125" t="s">
        <v>39</v>
      </c>
      <c r="AH39" s="125" t="s">
        <v>39</v>
      </c>
      <c r="AI39" s="125" t="s">
        <v>39</v>
      </c>
      <c r="AJ39" s="125" t="s">
        <v>39</v>
      </c>
      <c r="AK39" s="125"/>
      <c r="AL39" s="125">
        <v>2676.73</v>
      </c>
      <c r="AM39" s="126">
        <v>13758.23</v>
      </c>
      <c r="AN39" s="127">
        <v>0.01</v>
      </c>
      <c r="AO39" s="123"/>
      <c r="AP39" s="116"/>
    </row>
    <row r="40" ht="15.75" customHeight="1">
      <c r="A40" s="123" t="s">
        <v>57</v>
      </c>
      <c r="B40" s="125" t="s">
        <v>39</v>
      </c>
      <c r="C40" s="125" t="s">
        <v>39</v>
      </c>
      <c r="D40" s="125"/>
      <c r="E40" s="125" t="s">
        <v>39</v>
      </c>
      <c r="F40" s="125" t="s">
        <v>39</v>
      </c>
      <c r="G40" s="125" t="s">
        <v>39</v>
      </c>
      <c r="H40" s="125"/>
      <c r="I40" s="125" t="s">
        <v>39</v>
      </c>
      <c r="J40" s="125" t="s">
        <v>39</v>
      </c>
      <c r="K40" s="125" t="s">
        <v>39</v>
      </c>
      <c r="L40" s="125" t="s">
        <v>39</v>
      </c>
      <c r="M40" s="125" t="s">
        <v>39</v>
      </c>
      <c r="N40" s="125" t="s">
        <v>39</v>
      </c>
      <c r="O40" s="125" t="s">
        <v>39</v>
      </c>
      <c r="P40" s="125" t="s">
        <v>39</v>
      </c>
      <c r="Q40" s="125" t="s">
        <v>39</v>
      </c>
      <c r="R40" s="125" t="s">
        <v>39</v>
      </c>
      <c r="S40" s="125" t="s">
        <v>39</v>
      </c>
      <c r="T40" s="125" t="s">
        <v>39</v>
      </c>
      <c r="U40" s="125" t="s">
        <v>39</v>
      </c>
      <c r="V40" s="125" t="s">
        <v>39</v>
      </c>
      <c r="W40" s="125" t="s">
        <v>39</v>
      </c>
      <c r="X40" s="125" t="s">
        <v>39</v>
      </c>
      <c r="Y40" s="125" t="s">
        <v>39</v>
      </c>
      <c r="Z40" s="125" t="s">
        <v>39</v>
      </c>
      <c r="AA40" s="125" t="s">
        <v>39</v>
      </c>
      <c r="AB40" s="125" t="s">
        <v>39</v>
      </c>
      <c r="AC40" s="125" t="s">
        <v>39</v>
      </c>
      <c r="AD40" s="125" t="s">
        <v>39</v>
      </c>
      <c r="AE40" s="125" t="s">
        <v>39</v>
      </c>
      <c r="AF40" s="125" t="s">
        <v>39</v>
      </c>
      <c r="AG40" s="125" t="s">
        <v>39</v>
      </c>
      <c r="AH40" s="125" t="s">
        <v>39</v>
      </c>
      <c r="AI40" s="125" t="s">
        <v>39</v>
      </c>
      <c r="AJ40" s="125" t="s">
        <v>39</v>
      </c>
      <c r="AK40" s="125"/>
      <c r="AL40" s="125">
        <v>540000.0</v>
      </c>
      <c r="AM40" s="126">
        <v>540000.0</v>
      </c>
      <c r="AN40" s="127">
        <v>0.2</v>
      </c>
      <c r="AO40" s="123"/>
      <c r="AP40" s="116"/>
    </row>
    <row r="41" ht="15.75" customHeight="1">
      <c r="A41" s="123" t="s">
        <v>58</v>
      </c>
      <c r="B41" s="125" t="s">
        <v>39</v>
      </c>
      <c r="C41" s="125" t="s">
        <v>39</v>
      </c>
      <c r="D41" s="125"/>
      <c r="E41" s="125" t="s">
        <v>39</v>
      </c>
      <c r="F41" s="125" t="s">
        <v>39</v>
      </c>
      <c r="G41" s="125" t="s">
        <v>39</v>
      </c>
      <c r="H41" s="125"/>
      <c r="I41" s="125" t="s">
        <v>39</v>
      </c>
      <c r="J41" s="125" t="s">
        <v>39</v>
      </c>
      <c r="K41" s="125" t="s">
        <v>39</v>
      </c>
      <c r="L41" s="125" t="s">
        <v>39</v>
      </c>
      <c r="M41" s="125" t="s">
        <v>39</v>
      </c>
      <c r="N41" s="125" t="s">
        <v>39</v>
      </c>
      <c r="O41" s="125" t="s">
        <v>39</v>
      </c>
      <c r="P41" s="125" t="s">
        <v>39</v>
      </c>
      <c r="Q41" s="125" t="s">
        <v>39</v>
      </c>
      <c r="R41" s="125" t="s">
        <v>39</v>
      </c>
      <c r="S41" s="125" t="s">
        <v>39</v>
      </c>
      <c r="T41" s="125" t="s">
        <v>39</v>
      </c>
      <c r="U41" s="125" t="s">
        <v>39</v>
      </c>
      <c r="V41" s="125" t="s">
        <v>39</v>
      </c>
      <c r="W41" s="125" t="s">
        <v>39</v>
      </c>
      <c r="X41" s="125" t="s">
        <v>39</v>
      </c>
      <c r="Y41" s="125" t="s">
        <v>39</v>
      </c>
      <c r="Z41" s="125" t="s">
        <v>39</v>
      </c>
      <c r="AA41" s="125" t="s">
        <v>39</v>
      </c>
      <c r="AB41" s="125" t="s">
        <v>39</v>
      </c>
      <c r="AC41" s="125" t="s">
        <v>39</v>
      </c>
      <c r="AD41" s="125" t="s">
        <v>39</v>
      </c>
      <c r="AE41" s="125" t="s">
        <v>39</v>
      </c>
      <c r="AF41" s="125" t="s">
        <v>39</v>
      </c>
      <c r="AG41" s="125" t="s">
        <v>39</v>
      </c>
      <c r="AH41" s="125" t="s">
        <v>39</v>
      </c>
      <c r="AI41" s="125" t="s">
        <v>39</v>
      </c>
      <c r="AJ41" s="125" t="s">
        <v>39</v>
      </c>
      <c r="AK41" s="125"/>
      <c r="AL41" s="125">
        <v>248.0</v>
      </c>
      <c r="AM41" s="130">
        <v>248.0</v>
      </c>
      <c r="AN41" s="127">
        <v>0.0</v>
      </c>
      <c r="AO41" s="123"/>
      <c r="AP41" s="116"/>
    </row>
    <row r="42" ht="15.75" customHeight="1">
      <c r="A42" s="123" t="s">
        <v>108</v>
      </c>
      <c r="B42" s="125">
        <v>93.88</v>
      </c>
      <c r="C42" s="125" t="s">
        <v>39</v>
      </c>
      <c r="D42" s="125"/>
      <c r="E42" s="125">
        <v>177.62</v>
      </c>
      <c r="F42" s="125">
        <v>30.43</v>
      </c>
      <c r="G42" s="125">
        <v>157.73</v>
      </c>
      <c r="H42" s="125"/>
      <c r="I42" s="125">
        <v>157.41</v>
      </c>
      <c r="J42" s="125">
        <v>126.38</v>
      </c>
      <c r="K42" s="125">
        <v>30.41</v>
      </c>
      <c r="L42" s="125">
        <v>153.91</v>
      </c>
      <c r="M42" s="125">
        <v>155.58</v>
      </c>
      <c r="N42" s="125" t="s">
        <v>39</v>
      </c>
      <c r="O42" s="125">
        <v>91.29</v>
      </c>
      <c r="P42" s="125">
        <v>30.43</v>
      </c>
      <c r="Q42" s="125">
        <v>103.62</v>
      </c>
      <c r="R42" s="125">
        <v>219.43</v>
      </c>
      <c r="S42" s="125">
        <v>121.7</v>
      </c>
      <c r="T42" s="125" t="s">
        <v>39</v>
      </c>
      <c r="U42" s="125">
        <v>61.47</v>
      </c>
      <c r="V42" s="125">
        <v>30.43</v>
      </c>
      <c r="W42" s="125">
        <v>54.57</v>
      </c>
      <c r="X42" s="125">
        <v>181.87</v>
      </c>
      <c r="Y42" s="125">
        <v>155.75</v>
      </c>
      <c r="Z42" s="125">
        <v>82.39</v>
      </c>
      <c r="AA42" s="125" t="s">
        <v>39</v>
      </c>
      <c r="AB42" s="125">
        <v>128.68</v>
      </c>
      <c r="AC42" s="125">
        <v>246.9</v>
      </c>
      <c r="AD42" s="125">
        <v>230.32</v>
      </c>
      <c r="AE42" s="125" t="s">
        <v>39</v>
      </c>
      <c r="AF42" s="125">
        <v>131.44</v>
      </c>
      <c r="AG42" s="125" t="s">
        <v>39</v>
      </c>
      <c r="AH42" s="125">
        <v>129.25</v>
      </c>
      <c r="AI42" s="125">
        <v>145.26</v>
      </c>
      <c r="AJ42" s="125" t="s">
        <v>39</v>
      </c>
      <c r="AK42" s="125"/>
      <c r="AL42" s="125">
        <v>117.64</v>
      </c>
      <c r="AM42" s="126">
        <v>3345.79</v>
      </c>
      <c r="AN42" s="127">
        <v>0.0</v>
      </c>
      <c r="AO42" s="123"/>
      <c r="AP42" s="116"/>
    </row>
    <row r="43" ht="15.75" customHeight="1">
      <c r="A43" s="123" t="s">
        <v>60</v>
      </c>
      <c r="B43" s="125" t="s">
        <v>39</v>
      </c>
      <c r="C43" s="125" t="s">
        <v>39</v>
      </c>
      <c r="D43" s="125"/>
      <c r="E43" s="125" t="s">
        <v>39</v>
      </c>
      <c r="F43" s="125" t="s">
        <v>39</v>
      </c>
      <c r="G43" s="125" t="s">
        <v>39</v>
      </c>
      <c r="H43" s="125"/>
      <c r="I43" s="125" t="s">
        <v>39</v>
      </c>
      <c r="J43" s="125" t="s">
        <v>39</v>
      </c>
      <c r="K43" s="125" t="s">
        <v>39</v>
      </c>
      <c r="L43" s="125" t="s">
        <v>39</v>
      </c>
      <c r="M43" s="125" t="s">
        <v>39</v>
      </c>
      <c r="N43" s="125" t="s">
        <v>39</v>
      </c>
      <c r="O43" s="125" t="s">
        <v>39</v>
      </c>
      <c r="P43" s="125" t="s">
        <v>39</v>
      </c>
      <c r="Q43" s="125" t="s">
        <v>39</v>
      </c>
      <c r="R43" s="125" t="s">
        <v>39</v>
      </c>
      <c r="S43" s="125" t="s">
        <v>39</v>
      </c>
      <c r="T43" s="125" t="s">
        <v>39</v>
      </c>
      <c r="U43" s="125" t="s">
        <v>39</v>
      </c>
      <c r="V43" s="125" t="s">
        <v>39</v>
      </c>
      <c r="W43" s="125" t="s">
        <v>39</v>
      </c>
      <c r="X43" s="125" t="s">
        <v>39</v>
      </c>
      <c r="Y43" s="125" t="s">
        <v>39</v>
      </c>
      <c r="Z43" s="125" t="s">
        <v>39</v>
      </c>
      <c r="AA43" s="125" t="s">
        <v>39</v>
      </c>
      <c r="AB43" s="125" t="s">
        <v>39</v>
      </c>
      <c r="AC43" s="125" t="s">
        <v>39</v>
      </c>
      <c r="AD43" s="125" t="s">
        <v>39</v>
      </c>
      <c r="AE43" s="125" t="s">
        <v>39</v>
      </c>
      <c r="AF43" s="125" t="s">
        <v>39</v>
      </c>
      <c r="AG43" s="125" t="s">
        <v>39</v>
      </c>
      <c r="AH43" s="125" t="s">
        <v>39</v>
      </c>
      <c r="AI43" s="125" t="s">
        <v>39</v>
      </c>
      <c r="AJ43" s="125" t="s">
        <v>39</v>
      </c>
      <c r="AK43" s="125"/>
      <c r="AL43" s="125">
        <v>76503.7</v>
      </c>
      <c r="AM43" s="126">
        <v>76503.7</v>
      </c>
      <c r="AN43" s="127">
        <v>0.03</v>
      </c>
      <c r="AO43" s="123"/>
      <c r="AP43" s="116"/>
    </row>
    <row r="44" ht="15.75" customHeight="1">
      <c r="A44" s="123" t="s">
        <v>61</v>
      </c>
      <c r="B44" s="125">
        <v>580.0</v>
      </c>
      <c r="C44" s="125" t="s">
        <v>39</v>
      </c>
      <c r="D44" s="125"/>
      <c r="E44" s="125" t="s">
        <v>39</v>
      </c>
      <c r="F44" s="125" t="s">
        <v>39</v>
      </c>
      <c r="G44" s="125" t="s">
        <v>39</v>
      </c>
      <c r="H44" s="125"/>
      <c r="I44" s="125" t="s">
        <v>39</v>
      </c>
      <c r="J44" s="125" t="s">
        <v>39</v>
      </c>
      <c r="K44" s="125" t="s">
        <v>39</v>
      </c>
      <c r="L44" s="125" t="s">
        <v>39</v>
      </c>
      <c r="M44" s="125" t="s">
        <v>39</v>
      </c>
      <c r="N44" s="125" t="s">
        <v>39</v>
      </c>
      <c r="O44" s="125" t="s">
        <v>39</v>
      </c>
      <c r="P44" s="125" t="s">
        <v>39</v>
      </c>
      <c r="Q44" s="125" t="s">
        <v>39</v>
      </c>
      <c r="R44" s="125" t="s">
        <v>39</v>
      </c>
      <c r="S44" s="125">
        <v>30.0</v>
      </c>
      <c r="T44" s="125" t="s">
        <v>39</v>
      </c>
      <c r="U44" s="125" t="s">
        <v>39</v>
      </c>
      <c r="V44" s="125" t="s">
        <v>39</v>
      </c>
      <c r="W44" s="125" t="s">
        <v>39</v>
      </c>
      <c r="X44" s="125" t="s">
        <v>39</v>
      </c>
      <c r="Y44" s="125" t="s">
        <v>39</v>
      </c>
      <c r="Z44" s="125" t="s">
        <v>39</v>
      </c>
      <c r="AA44" s="125" t="s">
        <v>39</v>
      </c>
      <c r="AB44" s="125">
        <v>300.0</v>
      </c>
      <c r="AC44" s="125">
        <v>170.0</v>
      </c>
      <c r="AD44" s="125">
        <v>50.0</v>
      </c>
      <c r="AE44" s="125" t="s">
        <v>39</v>
      </c>
      <c r="AF44" s="125" t="s">
        <v>39</v>
      </c>
      <c r="AG44" s="125" t="s">
        <v>39</v>
      </c>
      <c r="AH44" s="125" t="s">
        <v>39</v>
      </c>
      <c r="AI44" s="125">
        <v>700.0</v>
      </c>
      <c r="AJ44" s="125">
        <v>138.0</v>
      </c>
      <c r="AK44" s="125"/>
      <c r="AL44" s="125">
        <v>3464.57</v>
      </c>
      <c r="AM44" s="126">
        <v>5432.57</v>
      </c>
      <c r="AN44" s="130">
        <v>0.0</v>
      </c>
      <c r="AO44" s="116"/>
      <c r="AP44" s="116"/>
    </row>
    <row r="45" ht="15.75" customHeight="1">
      <c r="A45" s="131" t="s">
        <v>109</v>
      </c>
      <c r="B45" s="132">
        <v>176694.43</v>
      </c>
      <c r="C45" s="132">
        <v>279.94</v>
      </c>
      <c r="D45" s="132"/>
      <c r="E45" s="132">
        <v>46444.04</v>
      </c>
      <c r="F45" s="132">
        <v>149597.68</v>
      </c>
      <c r="G45" s="132">
        <v>37781.34</v>
      </c>
      <c r="H45" s="132"/>
      <c r="I45" s="132">
        <v>226133.7</v>
      </c>
      <c r="J45" s="132">
        <v>124850.97</v>
      </c>
      <c r="K45" s="132">
        <v>30.41</v>
      </c>
      <c r="L45" s="132">
        <v>53419.51</v>
      </c>
      <c r="M45" s="132">
        <v>24575.78</v>
      </c>
      <c r="N45" s="132" t="s">
        <v>39</v>
      </c>
      <c r="O45" s="132">
        <v>45501.8</v>
      </c>
      <c r="P45" s="132">
        <v>12254.93</v>
      </c>
      <c r="Q45" s="132">
        <v>58777.17</v>
      </c>
      <c r="R45" s="132">
        <v>50152.85</v>
      </c>
      <c r="S45" s="132">
        <v>26069.46</v>
      </c>
      <c r="T45" s="132">
        <v>23794.96</v>
      </c>
      <c r="U45" s="132">
        <v>34277.62</v>
      </c>
      <c r="V45" s="132">
        <v>11949.29</v>
      </c>
      <c r="W45" s="132">
        <v>23352.98</v>
      </c>
      <c r="X45" s="132">
        <v>25082.9</v>
      </c>
      <c r="Y45" s="132">
        <v>45007.8</v>
      </c>
      <c r="Z45" s="132">
        <v>23957.07</v>
      </c>
      <c r="AA45" s="132">
        <v>11724.86</v>
      </c>
      <c r="AB45" s="132">
        <v>50920.99</v>
      </c>
      <c r="AC45" s="132">
        <v>117076.61</v>
      </c>
      <c r="AD45" s="132">
        <v>12487.01</v>
      </c>
      <c r="AE45" s="132">
        <v>7535.14</v>
      </c>
      <c r="AF45" s="132">
        <v>23783.73</v>
      </c>
      <c r="AG45" s="132">
        <v>28847.73</v>
      </c>
      <c r="AH45" s="132">
        <v>10574.63</v>
      </c>
      <c r="AI45" s="132">
        <v>125063.51</v>
      </c>
      <c r="AJ45" s="132">
        <v>11066.12</v>
      </c>
      <c r="AK45" s="132" t="s">
        <v>39</v>
      </c>
      <c r="AL45" s="132">
        <v>1066388.94</v>
      </c>
      <c r="AM45" s="132">
        <v>2685455.9</v>
      </c>
      <c r="AN45" s="134">
        <v>1.0</v>
      </c>
      <c r="AO45" s="116"/>
      <c r="AP45" s="116"/>
    </row>
    <row r="46" ht="15.75" customHeight="1">
      <c r="A46" s="123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30"/>
      <c r="AN46" s="123"/>
      <c r="AO46" s="116"/>
      <c r="AP46" s="116"/>
    </row>
    <row r="47" ht="15.75" customHeight="1">
      <c r="A47" s="131" t="s">
        <v>14</v>
      </c>
      <c r="B47" s="132">
        <v>136305.57</v>
      </c>
      <c r="C47" s="132">
        <v>105220.06</v>
      </c>
      <c r="D47" s="132"/>
      <c r="E47" s="132">
        <v>42205.96</v>
      </c>
      <c r="F47" s="132">
        <v>123302.32</v>
      </c>
      <c r="G47" s="132">
        <v>13162.26</v>
      </c>
      <c r="H47" s="132"/>
      <c r="I47" s="132">
        <v>238766.3</v>
      </c>
      <c r="J47" s="132">
        <v>65905.53</v>
      </c>
      <c r="K47" s="132">
        <v>-30.41</v>
      </c>
      <c r="L47" s="132">
        <v>34880.48</v>
      </c>
      <c r="M47" s="132">
        <v>53024.22</v>
      </c>
      <c r="N47" s="132">
        <v>16000.0</v>
      </c>
      <c r="O47" s="132">
        <v>32748.2</v>
      </c>
      <c r="P47" s="132">
        <v>11745.07</v>
      </c>
      <c r="Q47" s="132">
        <v>38972.83</v>
      </c>
      <c r="R47" s="132">
        <v>28347.15</v>
      </c>
      <c r="S47" s="132">
        <v>29680.54</v>
      </c>
      <c r="T47" s="132">
        <v>32455.04</v>
      </c>
      <c r="U47" s="132">
        <v>19722.38</v>
      </c>
      <c r="V47" s="132">
        <v>20050.71</v>
      </c>
      <c r="W47" s="132">
        <v>14647.02</v>
      </c>
      <c r="X47" s="132">
        <v>11917.1</v>
      </c>
      <c r="Y47" s="132">
        <v>35797.2</v>
      </c>
      <c r="Z47" s="132">
        <v>14042.93</v>
      </c>
      <c r="AA47" s="132">
        <v>7775.14</v>
      </c>
      <c r="AB47" s="132">
        <v>33579.01</v>
      </c>
      <c r="AC47" s="132">
        <v>135423.39</v>
      </c>
      <c r="AD47" s="132">
        <v>43262.99</v>
      </c>
      <c r="AE47" s="132">
        <v>62972.86</v>
      </c>
      <c r="AF47" s="132">
        <v>34216.27</v>
      </c>
      <c r="AG47" s="132">
        <v>28152.27</v>
      </c>
      <c r="AH47" s="132">
        <v>7925.37</v>
      </c>
      <c r="AI47" s="132">
        <v>106936.49</v>
      </c>
      <c r="AJ47" s="132">
        <v>7633.88</v>
      </c>
      <c r="AK47" s="132">
        <v>1450.0</v>
      </c>
      <c r="AL47" s="132">
        <v>-1066388.94</v>
      </c>
      <c r="AM47" s="132">
        <v>521807.19</v>
      </c>
      <c r="AN47" s="123"/>
      <c r="AO47" s="116"/>
      <c r="AP47" s="116"/>
    </row>
    <row r="48" ht="15.75" customHeight="1">
      <c r="A48" s="116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17"/>
      <c r="AN48" s="116"/>
      <c r="AO48" s="116"/>
      <c r="AP48" s="1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N2"/>
    <mergeCell ref="A3:AN3"/>
    <mergeCell ref="A4:AN4"/>
    <mergeCell ref="A14:AN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1.13"/>
    <col customWidth="1" min="3" max="3" width="10.38"/>
    <col customWidth="1" min="4" max="4" width="10.5"/>
    <col customWidth="1" min="5" max="5" width="8.5"/>
    <col customWidth="1" min="6" max="6" width="11.88"/>
    <col customWidth="1" min="7" max="7" width="10.75"/>
    <col customWidth="1" min="8" max="8" width="11.75"/>
    <col customWidth="1" min="9" max="9" width="9.5"/>
    <col customWidth="1" min="10" max="10" width="12.75"/>
    <col customWidth="1" min="11" max="11" width="10.38"/>
    <col customWidth="1" min="12" max="12" width="10.63"/>
    <col customWidth="1" min="13" max="13" width="13.13"/>
    <col customWidth="1" min="14" max="14" width="8.88"/>
    <col customWidth="1" min="15" max="15" width="12.38"/>
    <col customWidth="1" min="16" max="16" width="12.75"/>
    <col customWidth="1" min="17" max="17" width="10.88"/>
    <col customWidth="1" min="18" max="18" width="11.38"/>
    <col customWidth="1" min="19" max="19" width="7.25"/>
    <col customWidth="1" min="20" max="20" width="9.25"/>
    <col customWidth="1" min="21" max="21" width="8.13"/>
    <col customWidth="1" min="22" max="22" width="14.0"/>
    <col customWidth="1" min="23" max="23" width="9.5"/>
    <col customWidth="1" min="24" max="24" width="14.13"/>
    <col customWidth="1" min="25" max="25" width="11.25"/>
    <col customWidth="1" min="26" max="26" width="14.38"/>
    <col customWidth="1" min="27" max="27" width="17.13"/>
    <col customWidth="1" min="28" max="28" width="10.5"/>
    <col customWidth="1" min="29" max="29" width="13.0"/>
    <col customWidth="1" min="30" max="30" width="16.88"/>
    <col customWidth="1" min="31" max="31" width="17.63"/>
    <col customWidth="1" min="32" max="32" width="10.5"/>
    <col customWidth="1" min="33" max="33" width="15.13"/>
    <col customWidth="1" min="34" max="34" width="8.38"/>
    <col customWidth="1" min="35" max="35" width="9.63"/>
    <col customWidth="1" min="36" max="36" width="13.38"/>
    <col customWidth="1" min="37" max="37" width="19.63"/>
    <col customWidth="1" min="38" max="38" width="15.13"/>
    <col customWidth="1" min="39" max="39" width="12.0"/>
    <col customWidth="1" min="40" max="41" width="11.13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7"/>
      <c r="O1" s="117"/>
      <c r="P1" s="117"/>
      <c r="Q1" s="117"/>
      <c r="R1" s="117"/>
      <c r="S1" s="117"/>
      <c r="T1" s="117"/>
      <c r="U1" s="117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</row>
    <row r="2" ht="15.75" customHeight="1">
      <c r="A2" s="118" t="s">
        <v>0</v>
      </c>
      <c r="AO2" s="116"/>
      <c r="AP2" s="116"/>
      <c r="AQ2" s="116"/>
      <c r="AR2" s="116"/>
      <c r="AS2" s="116"/>
      <c r="AT2" s="116"/>
      <c r="AU2" s="116"/>
      <c r="AV2" s="116"/>
    </row>
    <row r="3" ht="15.75" customHeight="1">
      <c r="A3" s="118" t="s">
        <v>63</v>
      </c>
      <c r="AO3" s="116"/>
      <c r="AP3" s="116"/>
      <c r="AQ3" s="116"/>
      <c r="AR3" s="116"/>
      <c r="AS3" s="116"/>
      <c r="AT3" s="116"/>
      <c r="AU3" s="116"/>
      <c r="AV3" s="116"/>
    </row>
    <row r="4" ht="15.75" customHeight="1">
      <c r="A4" s="119">
        <v>45712.0</v>
      </c>
      <c r="AO4" s="116"/>
      <c r="AP4" s="116"/>
      <c r="AQ4" s="116"/>
      <c r="AR4" s="116"/>
      <c r="AS4" s="116"/>
      <c r="AT4" s="116"/>
      <c r="AU4" s="116"/>
      <c r="AV4" s="116"/>
    </row>
    <row r="5" ht="15.75" customHeight="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</row>
    <row r="6" ht="15.75" customHeight="1">
      <c r="A6" s="118" t="s">
        <v>28</v>
      </c>
      <c r="B6" s="121" t="s">
        <v>21</v>
      </c>
      <c r="C6" s="121" t="s">
        <v>64</v>
      </c>
      <c r="D6" s="118" t="s">
        <v>65</v>
      </c>
      <c r="E6" s="121" t="s">
        <v>66</v>
      </c>
      <c r="F6" s="121" t="s">
        <v>67</v>
      </c>
      <c r="G6" s="121" t="s">
        <v>68</v>
      </c>
      <c r="H6" s="118" t="s">
        <v>69</v>
      </c>
      <c r="I6" s="121" t="s">
        <v>70</v>
      </c>
      <c r="J6" s="121" t="s">
        <v>71</v>
      </c>
      <c r="K6" s="121" t="s">
        <v>72</v>
      </c>
      <c r="L6" s="121" t="s">
        <v>73</v>
      </c>
      <c r="M6" s="121" t="s">
        <v>74</v>
      </c>
      <c r="N6" s="121" t="s">
        <v>75</v>
      </c>
      <c r="O6" s="121"/>
      <c r="P6" s="121" t="s">
        <v>76</v>
      </c>
      <c r="Q6" s="121" t="s">
        <v>77</v>
      </c>
      <c r="R6" s="121" t="s">
        <v>78</v>
      </c>
      <c r="S6" s="121" t="s">
        <v>79</v>
      </c>
      <c r="T6" s="121" t="s">
        <v>80</v>
      </c>
      <c r="U6" s="121" t="s">
        <v>81</v>
      </c>
      <c r="V6" s="121" t="s">
        <v>82</v>
      </c>
      <c r="W6" s="121" t="s">
        <v>83</v>
      </c>
      <c r="X6" s="121" t="s">
        <v>84</v>
      </c>
      <c r="Y6" s="121" t="s">
        <v>85</v>
      </c>
      <c r="Z6" s="121" t="s">
        <v>86</v>
      </c>
      <c r="AA6" s="121" t="s">
        <v>87</v>
      </c>
      <c r="AB6" s="121" t="s">
        <v>88</v>
      </c>
      <c r="AC6" s="121" t="s">
        <v>89</v>
      </c>
      <c r="AD6" s="121" t="s">
        <v>90</v>
      </c>
      <c r="AE6" s="121" t="s">
        <v>91</v>
      </c>
      <c r="AF6" s="121" t="s">
        <v>93</v>
      </c>
      <c r="AG6" s="121" t="s">
        <v>94</v>
      </c>
      <c r="AH6" s="121" t="s">
        <v>95</v>
      </c>
      <c r="AI6" s="121" t="s">
        <v>96</v>
      </c>
      <c r="AJ6" s="121" t="s">
        <v>97</v>
      </c>
      <c r="AK6" s="121" t="s">
        <v>98</v>
      </c>
      <c r="AL6" s="121" t="s">
        <v>99</v>
      </c>
      <c r="AM6" s="118" t="s">
        <v>100</v>
      </c>
      <c r="AN6" s="118" t="s">
        <v>30</v>
      </c>
      <c r="AO6" s="116"/>
      <c r="AP6" s="116"/>
      <c r="AQ6" s="116"/>
      <c r="AR6" s="116"/>
      <c r="AS6" s="116"/>
      <c r="AT6" s="116"/>
      <c r="AU6" s="116"/>
      <c r="AV6" s="116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</row>
    <row r="7" ht="15.75" customHeight="1">
      <c r="A7" s="123"/>
      <c r="B7" s="142" t="s">
        <v>101</v>
      </c>
      <c r="AO7" s="116"/>
      <c r="AP7" s="116"/>
      <c r="AQ7" s="116"/>
      <c r="AR7" s="116"/>
      <c r="AS7" s="116"/>
      <c r="AT7" s="116"/>
      <c r="AU7" s="116"/>
      <c r="AV7" s="116"/>
    </row>
    <row r="8" ht="15.75" customHeight="1">
      <c r="A8" s="123" t="s">
        <v>102</v>
      </c>
      <c r="B8" s="125">
        <v>313000.0</v>
      </c>
      <c r="C8" s="125">
        <v>105500.0</v>
      </c>
      <c r="D8" s="125"/>
      <c r="E8" s="125">
        <v>88650.0</v>
      </c>
      <c r="F8" s="125">
        <v>272900.0</v>
      </c>
      <c r="G8" s="125">
        <v>50943.6</v>
      </c>
      <c r="H8" s="125"/>
      <c r="I8" s="125">
        <v>464900.0</v>
      </c>
      <c r="J8" s="125">
        <v>189841.0</v>
      </c>
      <c r="K8" s="125">
        <v>19000.0</v>
      </c>
      <c r="L8" s="125">
        <v>88299.99</v>
      </c>
      <c r="M8" s="125">
        <v>56000.0</v>
      </c>
      <c r="N8" s="125">
        <v>16000.0</v>
      </c>
      <c r="O8" s="125"/>
      <c r="P8" s="125">
        <v>78250.0</v>
      </c>
      <c r="Q8" s="125">
        <v>24000.0</v>
      </c>
      <c r="R8" s="125">
        <v>97750.0</v>
      </c>
      <c r="S8" s="125">
        <v>78500.0</v>
      </c>
      <c r="T8" s="125">
        <v>55750.0</v>
      </c>
      <c r="U8" s="125">
        <v>56250.0</v>
      </c>
      <c r="V8" s="125">
        <v>58350.0</v>
      </c>
      <c r="W8" s="125">
        <v>36000.0</v>
      </c>
      <c r="X8" s="125">
        <v>38000.0</v>
      </c>
      <c r="Y8" s="125">
        <v>37000.0</v>
      </c>
      <c r="Z8" s="125">
        <v>86500.0</v>
      </c>
      <c r="AA8" s="125">
        <v>38000.0</v>
      </c>
      <c r="AB8" s="125">
        <v>19500.0</v>
      </c>
      <c r="AC8" s="125">
        <v>84500.0</v>
      </c>
      <c r="AD8" s="125">
        <v>252500.0</v>
      </c>
      <c r="AE8" s="125">
        <v>55750.0</v>
      </c>
      <c r="AF8" s="125">
        <v>58000.0</v>
      </c>
      <c r="AG8" s="125">
        <v>61500.0</v>
      </c>
      <c r="AH8" s="125">
        <v>18500.0</v>
      </c>
      <c r="AI8" s="125">
        <v>227161.3</v>
      </c>
      <c r="AJ8" s="125">
        <v>18700.0</v>
      </c>
      <c r="AK8" s="125"/>
      <c r="AL8" s="125"/>
      <c r="AM8" s="126">
        <v>3145495.89</v>
      </c>
      <c r="AN8" s="127">
        <v>0.99</v>
      </c>
      <c r="AO8" s="128"/>
      <c r="AP8" s="128"/>
      <c r="AQ8" s="128"/>
      <c r="AR8" s="128"/>
      <c r="AS8" s="128"/>
      <c r="AT8" s="128"/>
      <c r="AU8" s="128"/>
      <c r="AV8" s="116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</row>
    <row r="9" ht="15.75" customHeight="1">
      <c r="A9" s="123" t="s">
        <v>110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>
        <v>21600.0</v>
      </c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6">
        <v>21600.0</v>
      </c>
      <c r="AN9" s="127">
        <v>0.01</v>
      </c>
      <c r="AO9" s="116"/>
      <c r="AP9" s="116"/>
      <c r="AQ9" s="116"/>
      <c r="AR9" s="116"/>
      <c r="AS9" s="116"/>
      <c r="AT9" s="116"/>
      <c r="AU9" s="116"/>
      <c r="AV9" s="116"/>
    </row>
    <row r="10" ht="15.75" customHeight="1">
      <c r="A10" s="123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30" t="s">
        <v>39</v>
      </c>
      <c r="AN10" s="127">
        <v>0.0</v>
      </c>
      <c r="AO10" s="116"/>
      <c r="AP10" s="116"/>
      <c r="AQ10" s="116"/>
      <c r="AR10" s="116"/>
      <c r="AS10" s="116"/>
      <c r="AT10" s="116"/>
      <c r="AU10" s="116"/>
      <c r="AV10" s="116"/>
    </row>
    <row r="11" ht="15.75" customHeight="1">
      <c r="A11" s="123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30" t="s">
        <v>39</v>
      </c>
      <c r="AN11" s="127">
        <v>0.0</v>
      </c>
      <c r="AO11" s="116"/>
      <c r="AP11" s="116"/>
      <c r="AQ11" s="116"/>
      <c r="AR11" s="116"/>
      <c r="AS11" s="116"/>
      <c r="AT11" s="116"/>
      <c r="AU11" s="116"/>
      <c r="AV11" s="116"/>
    </row>
    <row r="12" ht="15.75" customHeight="1">
      <c r="A12" s="123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30" t="s">
        <v>39</v>
      </c>
      <c r="AN12" s="127">
        <v>0.0</v>
      </c>
      <c r="AO12" s="116"/>
      <c r="AP12" s="116"/>
      <c r="AQ12" s="116"/>
      <c r="AR12" s="116"/>
      <c r="AS12" s="116"/>
      <c r="AT12" s="116"/>
      <c r="AU12" s="116"/>
      <c r="AV12" s="116"/>
    </row>
    <row r="13" ht="15.75" customHeight="1">
      <c r="A13" s="131" t="s">
        <v>104</v>
      </c>
      <c r="B13" s="132">
        <v>313000.0</v>
      </c>
      <c r="C13" s="132">
        <v>105500.0</v>
      </c>
      <c r="D13" s="132" t="s">
        <v>39</v>
      </c>
      <c r="E13" s="132">
        <v>88650.0</v>
      </c>
      <c r="F13" s="132">
        <v>272900.0</v>
      </c>
      <c r="G13" s="132">
        <v>50943.6</v>
      </c>
      <c r="H13" s="132" t="s">
        <v>39</v>
      </c>
      <c r="I13" s="132">
        <v>464900.0</v>
      </c>
      <c r="J13" s="132">
        <v>189841.0</v>
      </c>
      <c r="K13" s="132">
        <v>19000.0</v>
      </c>
      <c r="L13" s="132">
        <v>88299.99</v>
      </c>
      <c r="M13" s="132">
        <v>77600.0</v>
      </c>
      <c r="N13" s="132">
        <v>16000.0</v>
      </c>
      <c r="O13" s="132" t="s">
        <v>39</v>
      </c>
      <c r="P13" s="132">
        <v>78250.0</v>
      </c>
      <c r="Q13" s="132">
        <v>24000.0</v>
      </c>
      <c r="R13" s="132">
        <v>97750.0</v>
      </c>
      <c r="S13" s="132">
        <v>78500.0</v>
      </c>
      <c r="T13" s="132">
        <v>55750.0</v>
      </c>
      <c r="U13" s="132">
        <v>56250.0</v>
      </c>
      <c r="V13" s="132">
        <v>58350.0</v>
      </c>
      <c r="W13" s="132">
        <v>36000.0</v>
      </c>
      <c r="X13" s="132">
        <v>38000.0</v>
      </c>
      <c r="Y13" s="132">
        <v>37000.0</v>
      </c>
      <c r="Z13" s="132">
        <v>86500.0</v>
      </c>
      <c r="AA13" s="132">
        <v>38000.0</v>
      </c>
      <c r="AB13" s="132">
        <v>19500.0</v>
      </c>
      <c r="AC13" s="132">
        <v>84500.0</v>
      </c>
      <c r="AD13" s="132">
        <v>252500.0</v>
      </c>
      <c r="AE13" s="132">
        <v>55750.0</v>
      </c>
      <c r="AF13" s="132">
        <v>58000.0</v>
      </c>
      <c r="AG13" s="132">
        <v>61500.0</v>
      </c>
      <c r="AH13" s="132">
        <v>18500.0</v>
      </c>
      <c r="AI13" s="132">
        <v>227161.3</v>
      </c>
      <c r="AJ13" s="132">
        <v>18700.0</v>
      </c>
      <c r="AK13" s="132" t="s">
        <v>39</v>
      </c>
      <c r="AL13" s="132" t="s">
        <v>39</v>
      </c>
      <c r="AM13" s="132">
        <v>3167095.89</v>
      </c>
      <c r="AN13" s="134">
        <v>1.0</v>
      </c>
      <c r="AO13" s="128"/>
      <c r="AP13" s="128"/>
      <c r="AQ13" s="128"/>
      <c r="AR13" s="128"/>
      <c r="AS13" s="128"/>
      <c r="AT13" s="128"/>
      <c r="AU13" s="128"/>
      <c r="AV13" s="116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</row>
    <row r="14" ht="15.75" customHeight="1">
      <c r="A14" s="135" t="s">
        <v>105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16"/>
      <c r="AP14" s="116"/>
      <c r="AQ14" s="116"/>
      <c r="AR14" s="116"/>
      <c r="AS14" s="116"/>
      <c r="AT14" s="116"/>
      <c r="AU14" s="116"/>
      <c r="AV14" s="116"/>
    </row>
    <row r="15" ht="15.75" customHeight="1">
      <c r="A15" s="123" t="s">
        <v>31</v>
      </c>
      <c r="B15" s="125">
        <v>111652.03</v>
      </c>
      <c r="C15" s="125" t="s">
        <v>39</v>
      </c>
      <c r="D15" s="125"/>
      <c r="E15" s="125">
        <v>43911.39</v>
      </c>
      <c r="F15" s="125">
        <v>124022.17</v>
      </c>
      <c r="G15" s="125">
        <v>30006.32</v>
      </c>
      <c r="H15" s="125"/>
      <c r="I15" s="125">
        <v>190441.12</v>
      </c>
      <c r="J15" s="125">
        <v>87483.04</v>
      </c>
      <c r="K15" s="125">
        <v>8218.0</v>
      </c>
      <c r="L15" s="125">
        <v>39485.44</v>
      </c>
      <c r="M15" s="125">
        <v>18349.84</v>
      </c>
      <c r="N15" s="125" t="s">
        <v>39</v>
      </c>
      <c r="O15" s="125"/>
      <c r="P15" s="125">
        <v>36559.42</v>
      </c>
      <c r="Q15" s="125">
        <v>8965.0</v>
      </c>
      <c r="R15" s="125">
        <v>46884.7</v>
      </c>
      <c r="S15" s="125">
        <v>38409.32</v>
      </c>
      <c r="T15" s="125">
        <v>22871.39</v>
      </c>
      <c r="U15" s="125">
        <v>16040.0</v>
      </c>
      <c r="V15" s="125">
        <v>26520.5</v>
      </c>
      <c r="W15" s="125">
        <v>17768.0</v>
      </c>
      <c r="X15" s="125">
        <v>12416.38</v>
      </c>
      <c r="Y15" s="125">
        <v>20509.72</v>
      </c>
      <c r="Z15" s="125">
        <v>35195.44</v>
      </c>
      <c r="AA15" s="125">
        <v>18498.18</v>
      </c>
      <c r="AB15" s="125">
        <v>8805.0</v>
      </c>
      <c r="AC15" s="125">
        <v>40046.89</v>
      </c>
      <c r="AD15" s="125">
        <v>85628.68</v>
      </c>
      <c r="AE15" s="125">
        <v>9085.0</v>
      </c>
      <c r="AF15" s="125">
        <v>29316.51</v>
      </c>
      <c r="AG15" s="125">
        <v>26015.0</v>
      </c>
      <c r="AH15" s="125">
        <v>9085.0</v>
      </c>
      <c r="AI15" s="125">
        <v>99173.9</v>
      </c>
      <c r="AJ15" s="125">
        <v>8125.0</v>
      </c>
      <c r="AK15" s="125" t="s">
        <v>39</v>
      </c>
      <c r="AL15" s="125">
        <v>280558.8</v>
      </c>
      <c r="AM15" s="126">
        <v>1550047.18</v>
      </c>
      <c r="AN15" s="127">
        <v>0.53</v>
      </c>
      <c r="AO15" s="128"/>
      <c r="AP15" s="128"/>
      <c r="AQ15" s="128"/>
      <c r="AR15" s="128"/>
      <c r="AS15" s="128"/>
      <c r="AT15" s="128"/>
      <c r="AU15" s="128"/>
      <c r="AV15" s="116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</row>
    <row r="16" ht="15.75" customHeight="1">
      <c r="A16" s="123" t="s">
        <v>32</v>
      </c>
      <c r="B16" s="125">
        <v>11229.71</v>
      </c>
      <c r="C16" s="125" t="s">
        <v>39</v>
      </c>
      <c r="D16" s="125"/>
      <c r="E16" s="125">
        <v>4544.55</v>
      </c>
      <c r="F16" s="125">
        <v>12209.77</v>
      </c>
      <c r="G16" s="125">
        <v>2768.36</v>
      </c>
      <c r="H16" s="125"/>
      <c r="I16" s="125">
        <v>20741.38</v>
      </c>
      <c r="J16" s="125">
        <v>9296.72</v>
      </c>
      <c r="K16" s="125">
        <v>854.5</v>
      </c>
      <c r="L16" s="125">
        <v>3399.93</v>
      </c>
      <c r="M16" s="125">
        <v>1921.94</v>
      </c>
      <c r="N16" s="125" t="s">
        <v>39</v>
      </c>
      <c r="O16" s="125"/>
      <c r="P16" s="125">
        <v>3698.51</v>
      </c>
      <c r="Q16" s="125">
        <v>930.88</v>
      </c>
      <c r="R16" s="125">
        <v>4659.85</v>
      </c>
      <c r="S16" s="125">
        <v>3693.05</v>
      </c>
      <c r="T16" s="125">
        <v>1789.47</v>
      </c>
      <c r="U16" s="125">
        <v>1872.5</v>
      </c>
      <c r="V16" s="125">
        <v>2806.7</v>
      </c>
      <c r="W16" s="125">
        <v>1841.91</v>
      </c>
      <c r="X16" s="125">
        <v>1584.54</v>
      </c>
      <c r="Y16" s="125">
        <v>1872.27</v>
      </c>
      <c r="Z16" s="125">
        <v>3698.46</v>
      </c>
      <c r="AA16" s="125">
        <v>1842.62</v>
      </c>
      <c r="AB16" s="125">
        <v>920.96</v>
      </c>
      <c r="AC16" s="125">
        <v>3988.6</v>
      </c>
      <c r="AD16" s="125">
        <v>9280.4</v>
      </c>
      <c r="AE16" s="125">
        <v>920.96</v>
      </c>
      <c r="AF16" s="125">
        <v>2259.89</v>
      </c>
      <c r="AG16" s="125">
        <v>2765.85</v>
      </c>
      <c r="AH16" s="125">
        <v>1357.7</v>
      </c>
      <c r="AI16" s="125">
        <v>12072.69</v>
      </c>
      <c r="AJ16" s="125">
        <v>930.52</v>
      </c>
      <c r="AK16" s="125" t="s">
        <v>39</v>
      </c>
      <c r="AL16" s="125">
        <v>14295.6</v>
      </c>
      <c r="AM16" s="126">
        <v>146050.79</v>
      </c>
      <c r="AN16" s="127">
        <v>0.05</v>
      </c>
      <c r="AO16" s="138"/>
      <c r="AP16" s="138"/>
      <c r="AQ16" s="138"/>
      <c r="AR16" s="138"/>
      <c r="AS16" s="138"/>
      <c r="AT16" s="138"/>
      <c r="AU16" s="138"/>
      <c r="AV16" s="116"/>
      <c r="AW16" s="139"/>
      <c r="AX16" s="139"/>
      <c r="AZ16" s="139"/>
      <c r="BA16" s="139"/>
      <c r="BB16" s="139"/>
      <c r="BC16" s="139"/>
      <c r="BE16" s="139"/>
      <c r="BF16" s="139"/>
      <c r="BG16" s="139"/>
    </row>
    <row r="17" ht="15.75" customHeight="1">
      <c r="A17" s="123" t="s">
        <v>33</v>
      </c>
      <c r="B17" s="125">
        <v>8927.3</v>
      </c>
      <c r="C17" s="125" t="s">
        <v>39</v>
      </c>
      <c r="D17" s="125"/>
      <c r="E17" s="125">
        <v>3495.87</v>
      </c>
      <c r="F17" s="125">
        <v>9839.93</v>
      </c>
      <c r="G17" s="125">
        <v>2197.27</v>
      </c>
      <c r="H17" s="125"/>
      <c r="I17" s="125">
        <v>15569.87</v>
      </c>
      <c r="J17" s="125">
        <v>8362.84</v>
      </c>
      <c r="K17" s="125">
        <v>644.12</v>
      </c>
      <c r="L17" s="125">
        <v>1978.78</v>
      </c>
      <c r="M17" s="125">
        <v>1538.54</v>
      </c>
      <c r="N17" s="125" t="s">
        <v>39</v>
      </c>
      <c r="O17" s="125"/>
      <c r="P17" s="125">
        <v>2852.88</v>
      </c>
      <c r="Q17" s="125">
        <v>731.3</v>
      </c>
      <c r="R17" s="125">
        <v>3748.61</v>
      </c>
      <c r="S17" s="125">
        <v>2926.99</v>
      </c>
      <c r="T17" s="125">
        <v>1596.09</v>
      </c>
      <c r="U17" s="125">
        <v>1549.79</v>
      </c>
      <c r="V17" s="125">
        <v>2245.71</v>
      </c>
      <c r="W17" s="125">
        <v>1650.46</v>
      </c>
      <c r="X17" s="125">
        <v>1214.03</v>
      </c>
      <c r="Y17" s="125">
        <v>1545.58</v>
      </c>
      <c r="Z17" s="125">
        <v>2938.81</v>
      </c>
      <c r="AA17" s="125">
        <v>1465.97</v>
      </c>
      <c r="AB17" s="125">
        <v>732.15</v>
      </c>
      <c r="AC17" s="125">
        <v>2222.4</v>
      </c>
      <c r="AD17" s="125">
        <v>6457.35</v>
      </c>
      <c r="AE17" s="125">
        <v>732.15</v>
      </c>
      <c r="AF17" s="125">
        <v>1905.85</v>
      </c>
      <c r="AG17" s="125">
        <v>1944.37</v>
      </c>
      <c r="AH17" s="125">
        <v>927.67</v>
      </c>
      <c r="AI17" s="125">
        <v>10881.67</v>
      </c>
      <c r="AJ17" s="125">
        <v>730.47</v>
      </c>
      <c r="AK17" s="125" t="s">
        <v>39</v>
      </c>
      <c r="AL17" s="125">
        <v>14388.41</v>
      </c>
      <c r="AM17" s="126">
        <v>117943.23</v>
      </c>
      <c r="AN17" s="127">
        <v>0.04</v>
      </c>
      <c r="AO17" s="138"/>
      <c r="AP17" s="138"/>
      <c r="AQ17" s="138"/>
      <c r="AR17" s="138"/>
      <c r="AS17" s="138"/>
      <c r="AT17" s="138"/>
      <c r="AU17" s="138"/>
      <c r="AV17" s="116"/>
      <c r="AW17" s="139"/>
      <c r="AX17" s="139"/>
      <c r="AZ17" s="139"/>
      <c r="BA17" s="139"/>
      <c r="BC17" s="139"/>
      <c r="BF17" s="139"/>
    </row>
    <row r="18" ht="15.75" customHeight="1">
      <c r="A18" s="123" t="s">
        <v>34</v>
      </c>
      <c r="B18" s="125">
        <v>5244.24</v>
      </c>
      <c r="C18" s="125" t="s">
        <v>39</v>
      </c>
      <c r="D18" s="125"/>
      <c r="E18" s="125">
        <v>2072.98</v>
      </c>
      <c r="F18" s="125">
        <v>5815.48</v>
      </c>
      <c r="G18" s="125">
        <v>1302.93</v>
      </c>
      <c r="H18" s="125"/>
      <c r="I18" s="125">
        <v>9207.09</v>
      </c>
      <c r="J18" s="125">
        <v>4986.99</v>
      </c>
      <c r="K18" s="125">
        <v>381.95</v>
      </c>
      <c r="L18" s="125">
        <v>1173.37</v>
      </c>
      <c r="M18" s="125">
        <v>912.32</v>
      </c>
      <c r="N18" s="125" t="s">
        <v>39</v>
      </c>
      <c r="O18" s="125"/>
      <c r="P18" s="125">
        <v>2584.64</v>
      </c>
      <c r="Q18" s="125">
        <v>433.64</v>
      </c>
      <c r="R18" s="125">
        <v>2215.27</v>
      </c>
      <c r="S18" s="125">
        <v>1735.63</v>
      </c>
      <c r="T18" s="125">
        <v>946.45</v>
      </c>
      <c r="U18" s="125">
        <v>146.29</v>
      </c>
      <c r="V18" s="125">
        <v>1331.65</v>
      </c>
      <c r="W18" s="125">
        <v>978.69</v>
      </c>
      <c r="X18" s="125">
        <v>719.88</v>
      </c>
      <c r="Y18" s="125">
        <v>916.5</v>
      </c>
      <c r="Z18" s="125">
        <v>1742.65</v>
      </c>
      <c r="AA18" s="125">
        <v>869.29</v>
      </c>
      <c r="AB18" s="125">
        <v>434.15</v>
      </c>
      <c r="AC18" s="125">
        <v>1317.84</v>
      </c>
      <c r="AD18" s="125">
        <v>3829.05</v>
      </c>
      <c r="AE18" s="125">
        <v>434.15</v>
      </c>
      <c r="AF18" s="125">
        <v>1130.13</v>
      </c>
      <c r="AG18" s="125">
        <v>1152.97</v>
      </c>
      <c r="AH18" s="125">
        <v>429.84</v>
      </c>
      <c r="AI18" s="125">
        <v>6478.48</v>
      </c>
      <c r="AJ18" s="125">
        <v>433.15</v>
      </c>
      <c r="AK18" s="125" t="s">
        <v>39</v>
      </c>
      <c r="AL18" s="125">
        <v>8855.2</v>
      </c>
      <c r="AM18" s="126">
        <v>70212.89</v>
      </c>
      <c r="AN18" s="127">
        <v>0.02</v>
      </c>
      <c r="AO18" s="138"/>
      <c r="AP18" s="138"/>
      <c r="AQ18" s="138"/>
      <c r="AR18" s="138"/>
      <c r="AS18" s="138"/>
      <c r="AT18" s="138"/>
      <c r="AU18" s="138"/>
      <c r="AV18" s="116"/>
      <c r="AW18" s="139"/>
      <c r="AX18" s="139"/>
      <c r="AZ18" s="139"/>
      <c r="BA18" s="139"/>
      <c r="BC18" s="139"/>
      <c r="BF18" s="139"/>
    </row>
    <row r="19" ht="15.75" customHeight="1">
      <c r="A19" s="140" t="s">
        <v>35</v>
      </c>
      <c r="B19" s="125">
        <v>4456.29</v>
      </c>
      <c r="C19" s="125" t="s">
        <v>39</v>
      </c>
      <c r="D19" s="125"/>
      <c r="E19" s="125">
        <v>1752.61</v>
      </c>
      <c r="F19" s="125">
        <v>4950.01</v>
      </c>
      <c r="G19" s="125">
        <v>1197.62</v>
      </c>
      <c r="H19" s="125"/>
      <c r="I19" s="125">
        <v>7600.95</v>
      </c>
      <c r="J19" s="125">
        <v>3491.65</v>
      </c>
      <c r="K19" s="125">
        <v>328.0</v>
      </c>
      <c r="L19" s="125">
        <v>1575.96</v>
      </c>
      <c r="M19" s="125">
        <v>732.38</v>
      </c>
      <c r="N19" s="125" t="s">
        <v>39</v>
      </c>
      <c r="O19" s="125"/>
      <c r="P19" s="125">
        <v>1459.17</v>
      </c>
      <c r="Q19" s="125">
        <v>357.81</v>
      </c>
      <c r="R19" s="125">
        <v>1871.28</v>
      </c>
      <c r="S19" s="125">
        <v>1533.01</v>
      </c>
      <c r="T19" s="125">
        <v>912.85</v>
      </c>
      <c r="U19" s="125">
        <v>640.19</v>
      </c>
      <c r="V19" s="125">
        <v>1058.5</v>
      </c>
      <c r="W19" s="125">
        <v>709.16</v>
      </c>
      <c r="X19" s="125">
        <v>495.57</v>
      </c>
      <c r="Y19" s="125">
        <v>818.59</v>
      </c>
      <c r="Z19" s="125">
        <v>1404.73</v>
      </c>
      <c r="AA19" s="125">
        <v>738.31</v>
      </c>
      <c r="AB19" s="125">
        <v>351.43</v>
      </c>
      <c r="AC19" s="125">
        <v>1598.36</v>
      </c>
      <c r="AD19" s="125">
        <v>3417.64</v>
      </c>
      <c r="AE19" s="125">
        <v>362.6</v>
      </c>
      <c r="AF19" s="125">
        <v>1170.09</v>
      </c>
      <c r="AG19" s="125">
        <v>1038.32</v>
      </c>
      <c r="AH19" s="125">
        <v>362.6</v>
      </c>
      <c r="AI19" s="125">
        <v>3958.26</v>
      </c>
      <c r="AJ19" s="125">
        <v>324.16</v>
      </c>
      <c r="AK19" s="125" t="s">
        <v>39</v>
      </c>
      <c r="AL19" s="125">
        <v>11197.76</v>
      </c>
      <c r="AM19" s="126">
        <v>61865.86</v>
      </c>
      <c r="AN19" s="127">
        <v>0.02</v>
      </c>
      <c r="AO19" s="138"/>
      <c r="AP19" s="138"/>
      <c r="AQ19" s="138"/>
      <c r="AR19" s="138"/>
      <c r="AS19" s="138"/>
      <c r="AT19" s="138"/>
      <c r="AU19" s="138"/>
      <c r="AV19" s="116"/>
      <c r="AW19" s="139"/>
      <c r="AZ19" s="139"/>
      <c r="BC19" s="139"/>
      <c r="BF19" s="139"/>
    </row>
    <row r="20" ht="15.75" customHeight="1">
      <c r="A20" s="123" t="s">
        <v>36</v>
      </c>
      <c r="B20" s="125" t="s">
        <v>39</v>
      </c>
      <c r="C20" s="125" t="s">
        <v>39</v>
      </c>
      <c r="D20" s="125"/>
      <c r="E20" s="125" t="s">
        <v>39</v>
      </c>
      <c r="F20" s="125" t="s">
        <v>39</v>
      </c>
      <c r="G20" s="125" t="s">
        <v>39</v>
      </c>
      <c r="H20" s="125"/>
      <c r="I20" s="125" t="s">
        <v>39</v>
      </c>
      <c r="J20" s="125" t="s">
        <v>39</v>
      </c>
      <c r="K20" s="125" t="s">
        <v>39</v>
      </c>
      <c r="L20" s="125" t="s">
        <v>39</v>
      </c>
      <c r="M20" s="125" t="s">
        <v>39</v>
      </c>
      <c r="N20" s="125" t="s">
        <v>39</v>
      </c>
      <c r="O20" s="125"/>
      <c r="P20" s="125" t="s">
        <v>39</v>
      </c>
      <c r="Q20" s="125" t="s">
        <v>39</v>
      </c>
      <c r="R20" s="125" t="s">
        <v>39</v>
      </c>
      <c r="S20" s="125" t="s">
        <v>39</v>
      </c>
      <c r="T20" s="125" t="s">
        <v>39</v>
      </c>
      <c r="U20" s="125" t="s">
        <v>39</v>
      </c>
      <c r="V20" s="125" t="s">
        <v>39</v>
      </c>
      <c r="W20" s="125" t="s">
        <v>39</v>
      </c>
      <c r="X20" s="125" t="s">
        <v>39</v>
      </c>
      <c r="Y20" s="125" t="s">
        <v>39</v>
      </c>
      <c r="Z20" s="125" t="s">
        <v>39</v>
      </c>
      <c r="AA20" s="125" t="s">
        <v>39</v>
      </c>
      <c r="AB20" s="125" t="s">
        <v>39</v>
      </c>
      <c r="AC20" s="125" t="s">
        <v>39</v>
      </c>
      <c r="AD20" s="125" t="s">
        <v>39</v>
      </c>
      <c r="AE20" s="125" t="s">
        <v>39</v>
      </c>
      <c r="AF20" s="125" t="s">
        <v>39</v>
      </c>
      <c r="AG20" s="125" t="s">
        <v>39</v>
      </c>
      <c r="AH20" s="125" t="s">
        <v>39</v>
      </c>
      <c r="AI20" s="125" t="s">
        <v>39</v>
      </c>
      <c r="AJ20" s="125" t="s">
        <v>39</v>
      </c>
      <c r="AK20" s="125" t="s">
        <v>39</v>
      </c>
      <c r="AL20" s="125">
        <v>1669.0</v>
      </c>
      <c r="AM20" s="126">
        <v>1669.0</v>
      </c>
      <c r="AN20" s="127">
        <v>0.0</v>
      </c>
      <c r="AO20" s="116"/>
      <c r="AP20" s="116"/>
      <c r="AQ20" s="116"/>
      <c r="AR20" s="116"/>
      <c r="AS20" s="116"/>
      <c r="AT20" s="116"/>
      <c r="AU20" s="116"/>
      <c r="AV20" s="116"/>
    </row>
    <row r="21" ht="15.75" customHeight="1">
      <c r="A21" s="123" t="s">
        <v>37</v>
      </c>
      <c r="B21" s="125" t="s">
        <v>39</v>
      </c>
      <c r="C21" s="125" t="s">
        <v>39</v>
      </c>
      <c r="D21" s="125"/>
      <c r="E21" s="125" t="s">
        <v>39</v>
      </c>
      <c r="F21" s="125" t="s">
        <v>39</v>
      </c>
      <c r="G21" s="125" t="s">
        <v>39</v>
      </c>
      <c r="H21" s="125"/>
      <c r="I21" s="125" t="s">
        <v>39</v>
      </c>
      <c r="J21" s="125" t="s">
        <v>39</v>
      </c>
      <c r="K21" s="125" t="s">
        <v>39</v>
      </c>
      <c r="L21" s="125" t="s">
        <v>39</v>
      </c>
      <c r="M21" s="125" t="s">
        <v>39</v>
      </c>
      <c r="N21" s="125" t="s">
        <v>39</v>
      </c>
      <c r="O21" s="125"/>
      <c r="P21" s="125" t="s">
        <v>39</v>
      </c>
      <c r="Q21" s="125" t="s">
        <v>39</v>
      </c>
      <c r="R21" s="125" t="s">
        <v>39</v>
      </c>
      <c r="S21" s="125" t="s">
        <v>39</v>
      </c>
      <c r="T21" s="125" t="s">
        <v>39</v>
      </c>
      <c r="U21" s="125" t="s">
        <v>39</v>
      </c>
      <c r="V21" s="125" t="s">
        <v>39</v>
      </c>
      <c r="W21" s="125" t="s">
        <v>39</v>
      </c>
      <c r="X21" s="125" t="s">
        <v>39</v>
      </c>
      <c r="Y21" s="125" t="s">
        <v>39</v>
      </c>
      <c r="Z21" s="125" t="s">
        <v>39</v>
      </c>
      <c r="AA21" s="125" t="s">
        <v>39</v>
      </c>
      <c r="AB21" s="125" t="s">
        <v>39</v>
      </c>
      <c r="AC21" s="125" t="s">
        <v>39</v>
      </c>
      <c r="AD21" s="125" t="s">
        <v>39</v>
      </c>
      <c r="AE21" s="125" t="s">
        <v>39</v>
      </c>
      <c r="AF21" s="125" t="s">
        <v>39</v>
      </c>
      <c r="AG21" s="125" t="s">
        <v>39</v>
      </c>
      <c r="AH21" s="125" t="s">
        <v>39</v>
      </c>
      <c r="AI21" s="125" t="s">
        <v>39</v>
      </c>
      <c r="AJ21" s="125" t="s">
        <v>39</v>
      </c>
      <c r="AK21" s="125" t="s">
        <v>39</v>
      </c>
      <c r="AL21" s="125">
        <v>34256.0</v>
      </c>
      <c r="AM21" s="126">
        <v>34256.0</v>
      </c>
      <c r="AN21" s="127">
        <v>0.01</v>
      </c>
      <c r="AO21" s="116"/>
      <c r="AP21" s="116"/>
      <c r="AQ21" s="116"/>
      <c r="AR21" s="116"/>
      <c r="AS21" s="116"/>
      <c r="AT21" s="116"/>
      <c r="AU21" s="116"/>
      <c r="AV21" s="116"/>
    </row>
    <row r="22" ht="15.75" customHeight="1">
      <c r="A22" s="123" t="s">
        <v>38</v>
      </c>
      <c r="B22" s="125">
        <v>5440.0</v>
      </c>
      <c r="C22" s="125" t="s">
        <v>39</v>
      </c>
      <c r="D22" s="125"/>
      <c r="E22" s="125" t="s">
        <v>39</v>
      </c>
      <c r="F22" s="125">
        <v>3400.0</v>
      </c>
      <c r="G22" s="125">
        <v>1360.0</v>
      </c>
      <c r="H22" s="125"/>
      <c r="I22" s="125" t="s">
        <v>39</v>
      </c>
      <c r="J22" s="125">
        <v>6120.0</v>
      </c>
      <c r="K22" s="125">
        <v>680.0</v>
      </c>
      <c r="L22" s="125">
        <v>3400.0</v>
      </c>
      <c r="M22" s="125">
        <v>2040.0</v>
      </c>
      <c r="N22" s="125" t="s">
        <v>39</v>
      </c>
      <c r="O22" s="125"/>
      <c r="P22" s="125">
        <v>1360.0</v>
      </c>
      <c r="Q22" s="125" t="s">
        <v>39</v>
      </c>
      <c r="R22" s="125" t="s">
        <v>39</v>
      </c>
      <c r="S22" s="125">
        <v>2040.0</v>
      </c>
      <c r="T22" s="125">
        <v>1360.0</v>
      </c>
      <c r="U22" s="125">
        <v>1360.0</v>
      </c>
      <c r="V22" s="125">
        <v>7690.0</v>
      </c>
      <c r="W22" s="125" t="s">
        <v>39</v>
      </c>
      <c r="X22" s="125" t="s">
        <v>39</v>
      </c>
      <c r="Y22" s="125">
        <v>680.0</v>
      </c>
      <c r="Z22" s="125">
        <v>2040.0</v>
      </c>
      <c r="AA22" s="125" t="s">
        <v>39</v>
      </c>
      <c r="AB22" s="125">
        <v>680.0</v>
      </c>
      <c r="AC22" s="125">
        <v>2720.0</v>
      </c>
      <c r="AD22" s="125">
        <v>7480.0</v>
      </c>
      <c r="AE22" s="125">
        <v>1360.0</v>
      </c>
      <c r="AF22" s="125">
        <v>1360.0</v>
      </c>
      <c r="AG22" s="125">
        <v>2040.0</v>
      </c>
      <c r="AH22" s="125">
        <v>680.0</v>
      </c>
      <c r="AI22" s="125">
        <v>8160.0</v>
      </c>
      <c r="AJ22" s="125" t="s">
        <v>39</v>
      </c>
      <c r="AK22" s="125">
        <v>2040.0</v>
      </c>
      <c r="AL22" s="125">
        <v>6210.0</v>
      </c>
      <c r="AM22" s="126">
        <v>71700.0</v>
      </c>
      <c r="AN22" s="127">
        <v>0.02</v>
      </c>
      <c r="AO22" s="116"/>
      <c r="AP22" s="116"/>
      <c r="AQ22" s="116"/>
      <c r="AR22" s="116"/>
      <c r="AS22" s="116"/>
      <c r="AT22" s="128"/>
      <c r="AU22" s="116"/>
      <c r="AV22" s="116"/>
    </row>
    <row r="23" ht="15.75" customHeight="1">
      <c r="A23" s="123" t="s">
        <v>40</v>
      </c>
      <c r="B23" s="125" t="s">
        <v>39</v>
      </c>
      <c r="C23" s="125" t="s">
        <v>39</v>
      </c>
      <c r="D23" s="125"/>
      <c r="E23" s="125" t="s">
        <v>39</v>
      </c>
      <c r="F23" s="125" t="s">
        <v>39</v>
      </c>
      <c r="G23" s="125" t="s">
        <v>39</v>
      </c>
      <c r="H23" s="125"/>
      <c r="I23" s="125" t="s">
        <v>39</v>
      </c>
      <c r="J23" s="125" t="s">
        <v>39</v>
      </c>
      <c r="K23" s="125" t="s">
        <v>39</v>
      </c>
      <c r="L23" s="125" t="s">
        <v>39</v>
      </c>
      <c r="M23" s="125" t="s">
        <v>39</v>
      </c>
      <c r="N23" s="125" t="s">
        <v>39</v>
      </c>
      <c r="O23" s="125"/>
      <c r="P23" s="125" t="s">
        <v>39</v>
      </c>
      <c r="Q23" s="125" t="s">
        <v>39</v>
      </c>
      <c r="R23" s="125" t="s">
        <v>39</v>
      </c>
      <c r="S23" s="125" t="s">
        <v>39</v>
      </c>
      <c r="T23" s="125" t="s">
        <v>39</v>
      </c>
      <c r="U23" s="125" t="s">
        <v>39</v>
      </c>
      <c r="V23" s="125" t="s">
        <v>39</v>
      </c>
      <c r="W23" s="125" t="s">
        <v>39</v>
      </c>
      <c r="X23" s="125" t="s">
        <v>39</v>
      </c>
      <c r="Y23" s="125" t="s">
        <v>39</v>
      </c>
      <c r="Z23" s="125" t="s">
        <v>39</v>
      </c>
      <c r="AA23" s="125" t="s">
        <v>39</v>
      </c>
      <c r="AB23" s="125" t="s">
        <v>39</v>
      </c>
      <c r="AC23" s="125" t="s">
        <v>39</v>
      </c>
      <c r="AD23" s="125" t="s">
        <v>39</v>
      </c>
      <c r="AE23" s="125" t="s">
        <v>39</v>
      </c>
      <c r="AF23" s="125" t="s">
        <v>39</v>
      </c>
      <c r="AG23" s="125" t="s">
        <v>39</v>
      </c>
      <c r="AH23" s="125" t="s">
        <v>39</v>
      </c>
      <c r="AI23" s="125" t="s">
        <v>39</v>
      </c>
      <c r="AJ23" s="125" t="s">
        <v>39</v>
      </c>
      <c r="AK23" s="125" t="s">
        <v>39</v>
      </c>
      <c r="AL23" s="125" t="s">
        <v>39</v>
      </c>
      <c r="AM23" s="130" t="s">
        <v>39</v>
      </c>
      <c r="AN23" s="127">
        <v>0.0</v>
      </c>
      <c r="AO23" s="116"/>
      <c r="AP23" s="116"/>
      <c r="AQ23" s="116"/>
      <c r="AR23" s="116"/>
      <c r="AS23" s="116"/>
      <c r="AT23" s="116"/>
      <c r="AU23" s="116"/>
      <c r="AV23" s="116"/>
    </row>
    <row r="24" ht="15.75" customHeight="1">
      <c r="A24" s="123" t="s">
        <v>41</v>
      </c>
      <c r="B24" s="125">
        <v>567.24</v>
      </c>
      <c r="C24" s="125">
        <v>567.24</v>
      </c>
      <c r="D24" s="125"/>
      <c r="E24" s="125">
        <v>567.24</v>
      </c>
      <c r="F24" s="125">
        <v>567.24</v>
      </c>
      <c r="G24" s="125">
        <v>567.24</v>
      </c>
      <c r="H24" s="125"/>
      <c r="I24" s="125" t="s">
        <v>39</v>
      </c>
      <c r="J24" s="125">
        <v>567.24</v>
      </c>
      <c r="K24" s="125" t="s">
        <v>39</v>
      </c>
      <c r="L24" s="125">
        <v>567.24</v>
      </c>
      <c r="M24" s="125">
        <v>567.24</v>
      </c>
      <c r="N24" s="125">
        <v>567.24</v>
      </c>
      <c r="O24" s="125"/>
      <c r="P24" s="125">
        <v>567.24</v>
      </c>
      <c r="Q24" s="125">
        <v>567.24</v>
      </c>
      <c r="R24" s="125">
        <v>1134.48</v>
      </c>
      <c r="S24" s="125">
        <v>567.24</v>
      </c>
      <c r="T24" s="125">
        <v>567.24</v>
      </c>
      <c r="U24" s="125">
        <v>567.24</v>
      </c>
      <c r="V24" s="125">
        <v>1134.48</v>
      </c>
      <c r="W24" s="125">
        <v>567.24</v>
      </c>
      <c r="X24" s="125">
        <v>567.24</v>
      </c>
      <c r="Y24" s="125">
        <v>567.24</v>
      </c>
      <c r="Z24" s="125">
        <v>567.24</v>
      </c>
      <c r="AA24" s="125">
        <v>567.24</v>
      </c>
      <c r="AB24" s="125">
        <v>567.24</v>
      </c>
      <c r="AC24" s="125">
        <v>1134.48</v>
      </c>
      <c r="AD24" s="125">
        <v>567.24</v>
      </c>
      <c r="AE24" s="125">
        <v>567.24</v>
      </c>
      <c r="AF24" s="125">
        <v>567.24</v>
      </c>
      <c r="AG24" s="125">
        <v>567.24</v>
      </c>
      <c r="AH24" s="125">
        <v>567.24</v>
      </c>
      <c r="AI24" s="125">
        <v>1134.48</v>
      </c>
      <c r="AJ24" s="125">
        <v>567.24</v>
      </c>
      <c r="AK24" s="125" t="s">
        <v>39</v>
      </c>
      <c r="AL24" s="141">
        <v>8062.12</v>
      </c>
      <c r="AM24" s="126">
        <v>27348.28</v>
      </c>
      <c r="AN24" s="127">
        <v>0.01</v>
      </c>
      <c r="AO24" s="116"/>
      <c r="AP24" s="116"/>
      <c r="AQ24" s="116"/>
      <c r="AR24" s="116"/>
      <c r="AS24" s="116"/>
      <c r="AT24" s="116"/>
      <c r="AU24" s="116"/>
      <c r="AV24" s="116"/>
    </row>
    <row r="25" ht="15.75" customHeight="1">
      <c r="A25" s="123" t="s">
        <v>42</v>
      </c>
      <c r="B25" s="125">
        <v>305.51</v>
      </c>
      <c r="C25" s="125">
        <v>299.42</v>
      </c>
      <c r="D25" s="125"/>
      <c r="E25" s="125">
        <v>155.75</v>
      </c>
      <c r="F25" s="125">
        <v>369.15</v>
      </c>
      <c r="G25" s="125">
        <v>117.65</v>
      </c>
      <c r="H25" s="125"/>
      <c r="I25" s="125" t="s">
        <v>39</v>
      </c>
      <c r="J25" s="125">
        <v>88.0</v>
      </c>
      <c r="K25" s="125" t="s">
        <v>39</v>
      </c>
      <c r="L25" s="125">
        <v>120.84</v>
      </c>
      <c r="M25" s="125">
        <v>96.86</v>
      </c>
      <c r="N25" s="125" t="s">
        <v>39</v>
      </c>
      <c r="O25" s="125"/>
      <c r="P25" s="125">
        <v>283.38</v>
      </c>
      <c r="Q25" s="125">
        <v>126.17</v>
      </c>
      <c r="R25" s="125">
        <v>264.64</v>
      </c>
      <c r="S25" s="125">
        <v>249.8</v>
      </c>
      <c r="T25" s="125">
        <v>272.1</v>
      </c>
      <c r="U25" s="125">
        <v>178.89</v>
      </c>
      <c r="V25" s="125">
        <v>856.66</v>
      </c>
      <c r="W25" s="125" t="s">
        <v>39</v>
      </c>
      <c r="X25" s="125">
        <v>292.25</v>
      </c>
      <c r="Y25" s="125">
        <v>86.42</v>
      </c>
      <c r="Z25" s="125">
        <v>402.9</v>
      </c>
      <c r="AA25" s="125">
        <v>83.2</v>
      </c>
      <c r="AB25" s="125">
        <v>85.45</v>
      </c>
      <c r="AC25" s="125">
        <v>243.84</v>
      </c>
      <c r="AD25" s="125">
        <v>200.83</v>
      </c>
      <c r="AE25" s="125">
        <v>151.45</v>
      </c>
      <c r="AF25" s="125">
        <v>354.28</v>
      </c>
      <c r="AG25" s="125" t="s">
        <v>39</v>
      </c>
      <c r="AH25" s="125">
        <v>43.53</v>
      </c>
      <c r="AI25" s="125">
        <v>200.49</v>
      </c>
      <c r="AJ25" s="125" t="s">
        <v>39</v>
      </c>
      <c r="AK25" s="125" t="s">
        <v>39</v>
      </c>
      <c r="AL25" s="125">
        <v>632.25</v>
      </c>
      <c r="AM25" s="126">
        <v>6561.71</v>
      </c>
      <c r="AN25" s="127">
        <v>0.0</v>
      </c>
      <c r="AO25" s="116"/>
      <c r="AP25" s="116"/>
      <c r="AQ25" s="116"/>
      <c r="AR25" s="116"/>
      <c r="AS25" s="116"/>
      <c r="AT25" s="116"/>
      <c r="AU25" s="116"/>
      <c r="AV25" s="116"/>
    </row>
    <row r="26" ht="15.75" customHeight="1">
      <c r="A26" s="123" t="s">
        <v>43</v>
      </c>
      <c r="B26" s="125" t="s">
        <v>39</v>
      </c>
      <c r="C26" s="125" t="s">
        <v>39</v>
      </c>
      <c r="D26" s="125"/>
      <c r="E26" s="125" t="s">
        <v>39</v>
      </c>
      <c r="F26" s="125" t="s">
        <v>39</v>
      </c>
      <c r="G26" s="125" t="s">
        <v>39</v>
      </c>
      <c r="H26" s="125"/>
      <c r="I26" s="125" t="s">
        <v>39</v>
      </c>
      <c r="J26" s="125" t="s">
        <v>39</v>
      </c>
      <c r="K26" s="125" t="s">
        <v>39</v>
      </c>
      <c r="L26" s="125" t="s">
        <v>39</v>
      </c>
      <c r="M26" s="125" t="s">
        <v>39</v>
      </c>
      <c r="N26" s="125" t="s">
        <v>39</v>
      </c>
      <c r="O26" s="125"/>
      <c r="P26" s="125" t="s">
        <v>39</v>
      </c>
      <c r="Q26" s="125" t="s">
        <v>39</v>
      </c>
      <c r="R26" s="125" t="s">
        <v>39</v>
      </c>
      <c r="S26" s="125" t="s">
        <v>39</v>
      </c>
      <c r="T26" s="125" t="s">
        <v>39</v>
      </c>
      <c r="U26" s="125" t="s">
        <v>39</v>
      </c>
      <c r="V26" s="125" t="s">
        <v>39</v>
      </c>
      <c r="W26" s="125" t="s">
        <v>39</v>
      </c>
      <c r="X26" s="125" t="s">
        <v>39</v>
      </c>
      <c r="Y26" s="125" t="s">
        <v>39</v>
      </c>
      <c r="Z26" s="125" t="s">
        <v>39</v>
      </c>
      <c r="AA26" s="125" t="s">
        <v>39</v>
      </c>
      <c r="AB26" s="125" t="s">
        <v>39</v>
      </c>
      <c r="AC26" s="125" t="s">
        <v>39</v>
      </c>
      <c r="AD26" s="125" t="s">
        <v>39</v>
      </c>
      <c r="AE26" s="125" t="s">
        <v>39</v>
      </c>
      <c r="AF26" s="125" t="s">
        <v>39</v>
      </c>
      <c r="AG26" s="125" t="s">
        <v>39</v>
      </c>
      <c r="AH26" s="125" t="s">
        <v>39</v>
      </c>
      <c r="AI26" s="125" t="s">
        <v>39</v>
      </c>
      <c r="AJ26" s="125" t="s">
        <v>39</v>
      </c>
      <c r="AK26" s="125" t="s">
        <v>39</v>
      </c>
      <c r="AL26" s="125">
        <v>44837.98</v>
      </c>
      <c r="AM26" s="126">
        <v>44837.98</v>
      </c>
      <c r="AN26" s="127">
        <v>0.02</v>
      </c>
      <c r="AO26" s="116"/>
      <c r="AP26" s="116"/>
      <c r="AQ26" s="116"/>
      <c r="AR26" s="116"/>
      <c r="AS26" s="116"/>
      <c r="AT26" s="116"/>
      <c r="AU26" s="116"/>
      <c r="AV26" s="116"/>
    </row>
    <row r="27" ht="15.75" customHeight="1">
      <c r="A27" s="123" t="s">
        <v>44</v>
      </c>
      <c r="B27" s="125" t="s">
        <v>39</v>
      </c>
      <c r="C27" s="125" t="s">
        <v>39</v>
      </c>
      <c r="D27" s="125"/>
      <c r="E27" s="125" t="s">
        <v>39</v>
      </c>
      <c r="F27" s="125" t="s">
        <v>39</v>
      </c>
      <c r="G27" s="125" t="s">
        <v>39</v>
      </c>
      <c r="H27" s="125"/>
      <c r="I27" s="125" t="s">
        <v>39</v>
      </c>
      <c r="J27" s="125" t="s">
        <v>39</v>
      </c>
      <c r="K27" s="125" t="s">
        <v>39</v>
      </c>
      <c r="L27" s="125" t="s">
        <v>39</v>
      </c>
      <c r="M27" s="125" t="s">
        <v>39</v>
      </c>
      <c r="N27" s="125" t="s">
        <v>39</v>
      </c>
      <c r="O27" s="125"/>
      <c r="P27" s="125" t="s">
        <v>39</v>
      </c>
      <c r="Q27" s="125" t="s">
        <v>39</v>
      </c>
      <c r="R27" s="125" t="s">
        <v>39</v>
      </c>
      <c r="S27" s="125" t="s">
        <v>39</v>
      </c>
      <c r="T27" s="125" t="s">
        <v>39</v>
      </c>
      <c r="U27" s="125" t="s">
        <v>39</v>
      </c>
      <c r="V27" s="125" t="s">
        <v>39</v>
      </c>
      <c r="W27" s="125" t="s">
        <v>39</v>
      </c>
      <c r="X27" s="125" t="s">
        <v>39</v>
      </c>
      <c r="Y27" s="125" t="s">
        <v>39</v>
      </c>
      <c r="Z27" s="125" t="s">
        <v>39</v>
      </c>
      <c r="AA27" s="125" t="s">
        <v>39</v>
      </c>
      <c r="AB27" s="125" t="s">
        <v>39</v>
      </c>
      <c r="AC27" s="125" t="s">
        <v>39</v>
      </c>
      <c r="AD27" s="125" t="s">
        <v>39</v>
      </c>
      <c r="AE27" s="125" t="s">
        <v>39</v>
      </c>
      <c r="AF27" s="125" t="s">
        <v>39</v>
      </c>
      <c r="AG27" s="125" t="s">
        <v>39</v>
      </c>
      <c r="AH27" s="125" t="s">
        <v>39</v>
      </c>
      <c r="AI27" s="125" t="s">
        <v>39</v>
      </c>
      <c r="AJ27" s="125" t="s">
        <v>39</v>
      </c>
      <c r="AK27" s="125" t="s">
        <v>39</v>
      </c>
      <c r="AL27" s="125" t="s">
        <v>39</v>
      </c>
      <c r="AM27" s="130" t="s">
        <v>39</v>
      </c>
      <c r="AN27" s="127">
        <v>0.0</v>
      </c>
      <c r="AO27" s="116"/>
      <c r="AP27" s="116"/>
      <c r="AQ27" s="116"/>
      <c r="AR27" s="116"/>
      <c r="AS27" s="116"/>
      <c r="AT27" s="116"/>
      <c r="AU27" s="116"/>
      <c r="AV27" s="128"/>
      <c r="BC27" s="129"/>
    </row>
    <row r="28" ht="15.75" customHeight="1">
      <c r="A28" s="123" t="s">
        <v>45</v>
      </c>
      <c r="B28" s="125" t="s">
        <v>39</v>
      </c>
      <c r="C28" s="125" t="s">
        <v>39</v>
      </c>
      <c r="D28" s="125"/>
      <c r="E28" s="125" t="s">
        <v>39</v>
      </c>
      <c r="F28" s="125" t="s">
        <v>39</v>
      </c>
      <c r="G28" s="125" t="s">
        <v>39</v>
      </c>
      <c r="H28" s="125"/>
      <c r="I28" s="125" t="s">
        <v>39</v>
      </c>
      <c r="J28" s="125" t="s">
        <v>39</v>
      </c>
      <c r="K28" s="125" t="s">
        <v>39</v>
      </c>
      <c r="L28" s="125" t="s">
        <v>39</v>
      </c>
      <c r="M28" s="125" t="s">
        <v>39</v>
      </c>
      <c r="N28" s="125" t="s">
        <v>39</v>
      </c>
      <c r="O28" s="125"/>
      <c r="P28" s="125" t="s">
        <v>39</v>
      </c>
      <c r="Q28" s="125" t="s">
        <v>39</v>
      </c>
      <c r="R28" s="125" t="s">
        <v>39</v>
      </c>
      <c r="S28" s="125" t="s">
        <v>39</v>
      </c>
      <c r="T28" s="125" t="s">
        <v>39</v>
      </c>
      <c r="U28" s="125" t="s">
        <v>39</v>
      </c>
      <c r="V28" s="125" t="s">
        <v>39</v>
      </c>
      <c r="W28" s="125" t="s">
        <v>39</v>
      </c>
      <c r="X28" s="125" t="s">
        <v>39</v>
      </c>
      <c r="Y28" s="125" t="s">
        <v>39</v>
      </c>
      <c r="Z28" s="125" t="s">
        <v>39</v>
      </c>
      <c r="AA28" s="125" t="s">
        <v>39</v>
      </c>
      <c r="AB28" s="125" t="s">
        <v>39</v>
      </c>
      <c r="AC28" s="125" t="s">
        <v>39</v>
      </c>
      <c r="AD28" s="125" t="s">
        <v>39</v>
      </c>
      <c r="AE28" s="125" t="s">
        <v>39</v>
      </c>
      <c r="AF28" s="125" t="s">
        <v>39</v>
      </c>
      <c r="AG28" s="125" t="s">
        <v>39</v>
      </c>
      <c r="AH28" s="125" t="s">
        <v>39</v>
      </c>
      <c r="AI28" s="125" t="s">
        <v>39</v>
      </c>
      <c r="AJ28" s="125" t="s">
        <v>39</v>
      </c>
      <c r="AK28" s="125" t="s">
        <v>39</v>
      </c>
      <c r="AL28" s="125" t="s">
        <v>39</v>
      </c>
      <c r="AM28" s="130" t="s">
        <v>39</v>
      </c>
      <c r="AN28" s="127">
        <v>0.0</v>
      </c>
      <c r="AO28" s="116"/>
      <c r="AP28" s="116"/>
      <c r="AQ28" s="116"/>
      <c r="AR28" s="116"/>
      <c r="AS28" s="116"/>
      <c r="AT28" s="116"/>
      <c r="AU28" s="116"/>
      <c r="AV28" s="116"/>
    </row>
    <row r="29" ht="15.75" customHeight="1">
      <c r="A29" s="123" t="s">
        <v>46</v>
      </c>
      <c r="B29" s="125" t="s">
        <v>39</v>
      </c>
      <c r="C29" s="125" t="s">
        <v>39</v>
      </c>
      <c r="D29" s="125"/>
      <c r="E29" s="125" t="s">
        <v>39</v>
      </c>
      <c r="F29" s="125" t="s">
        <v>39</v>
      </c>
      <c r="G29" s="125" t="s">
        <v>39</v>
      </c>
      <c r="H29" s="125"/>
      <c r="I29" s="125" t="s">
        <v>39</v>
      </c>
      <c r="J29" s="125" t="s">
        <v>39</v>
      </c>
      <c r="K29" s="125" t="s">
        <v>39</v>
      </c>
      <c r="L29" s="125" t="s">
        <v>39</v>
      </c>
      <c r="M29" s="125" t="s">
        <v>39</v>
      </c>
      <c r="N29" s="125" t="s">
        <v>39</v>
      </c>
      <c r="O29" s="125"/>
      <c r="P29" s="125" t="s">
        <v>39</v>
      </c>
      <c r="Q29" s="125" t="s">
        <v>39</v>
      </c>
      <c r="R29" s="125" t="s">
        <v>39</v>
      </c>
      <c r="S29" s="125" t="s">
        <v>39</v>
      </c>
      <c r="T29" s="125" t="s">
        <v>39</v>
      </c>
      <c r="U29" s="125" t="s">
        <v>39</v>
      </c>
      <c r="V29" s="125" t="s">
        <v>39</v>
      </c>
      <c r="W29" s="125" t="s">
        <v>39</v>
      </c>
      <c r="X29" s="125" t="s">
        <v>39</v>
      </c>
      <c r="Y29" s="125" t="s">
        <v>39</v>
      </c>
      <c r="Z29" s="125" t="s">
        <v>39</v>
      </c>
      <c r="AA29" s="125" t="s">
        <v>39</v>
      </c>
      <c r="AB29" s="125" t="s">
        <v>39</v>
      </c>
      <c r="AC29" s="125" t="s">
        <v>39</v>
      </c>
      <c r="AD29" s="125" t="s">
        <v>39</v>
      </c>
      <c r="AE29" s="125" t="s">
        <v>39</v>
      </c>
      <c r="AF29" s="125" t="s">
        <v>39</v>
      </c>
      <c r="AG29" s="125" t="s">
        <v>39</v>
      </c>
      <c r="AH29" s="125" t="s">
        <v>39</v>
      </c>
      <c r="AI29" s="125" t="s">
        <v>39</v>
      </c>
      <c r="AJ29" s="125" t="s">
        <v>39</v>
      </c>
      <c r="AK29" s="125" t="s">
        <v>39</v>
      </c>
      <c r="AL29" s="125">
        <v>12945.0</v>
      </c>
      <c r="AM29" s="126">
        <v>12945.0</v>
      </c>
      <c r="AN29" s="127">
        <v>0.0</v>
      </c>
      <c r="AO29" s="128"/>
      <c r="AP29" s="128"/>
      <c r="AQ29" s="128"/>
      <c r="AR29" s="128"/>
      <c r="AS29" s="128"/>
      <c r="AT29" s="128"/>
      <c r="AU29" s="128"/>
      <c r="AV29" s="128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</row>
    <row r="30" ht="15.75" customHeight="1">
      <c r="A30" s="123" t="s">
        <v>47</v>
      </c>
      <c r="B30" s="125" t="s">
        <v>39</v>
      </c>
      <c r="C30" s="125" t="s">
        <v>39</v>
      </c>
      <c r="D30" s="125"/>
      <c r="E30" s="125" t="s">
        <v>39</v>
      </c>
      <c r="F30" s="125" t="s">
        <v>39</v>
      </c>
      <c r="G30" s="125" t="s">
        <v>39</v>
      </c>
      <c r="H30" s="125"/>
      <c r="I30" s="125" t="s">
        <v>39</v>
      </c>
      <c r="J30" s="125" t="s">
        <v>39</v>
      </c>
      <c r="K30" s="125" t="s">
        <v>39</v>
      </c>
      <c r="L30" s="125" t="s">
        <v>39</v>
      </c>
      <c r="M30" s="125" t="s">
        <v>39</v>
      </c>
      <c r="N30" s="125" t="s">
        <v>39</v>
      </c>
      <c r="O30" s="125"/>
      <c r="P30" s="125" t="s">
        <v>39</v>
      </c>
      <c r="Q30" s="125" t="s">
        <v>39</v>
      </c>
      <c r="R30" s="125" t="s">
        <v>39</v>
      </c>
      <c r="S30" s="125" t="s">
        <v>39</v>
      </c>
      <c r="T30" s="125" t="s">
        <v>39</v>
      </c>
      <c r="U30" s="125" t="s">
        <v>39</v>
      </c>
      <c r="V30" s="125" t="s">
        <v>39</v>
      </c>
      <c r="W30" s="125" t="s">
        <v>39</v>
      </c>
      <c r="X30" s="125" t="s">
        <v>39</v>
      </c>
      <c r="Y30" s="125" t="s">
        <v>39</v>
      </c>
      <c r="Z30" s="125" t="s">
        <v>39</v>
      </c>
      <c r="AA30" s="125" t="s">
        <v>39</v>
      </c>
      <c r="AB30" s="125" t="s">
        <v>39</v>
      </c>
      <c r="AC30" s="125" t="s">
        <v>39</v>
      </c>
      <c r="AD30" s="125" t="s">
        <v>39</v>
      </c>
      <c r="AE30" s="125" t="s">
        <v>39</v>
      </c>
      <c r="AF30" s="125" t="s">
        <v>39</v>
      </c>
      <c r="AG30" s="125" t="s">
        <v>39</v>
      </c>
      <c r="AH30" s="125" t="s">
        <v>39</v>
      </c>
      <c r="AI30" s="125" t="s">
        <v>39</v>
      </c>
      <c r="AJ30" s="125" t="s">
        <v>39</v>
      </c>
      <c r="AK30" s="125" t="s">
        <v>39</v>
      </c>
      <c r="AL30" s="125">
        <v>1600.0</v>
      </c>
      <c r="AM30" s="126">
        <v>1600.0</v>
      </c>
      <c r="AN30" s="127">
        <v>0.0</v>
      </c>
      <c r="AO30" s="116"/>
      <c r="AP30" s="116"/>
      <c r="AQ30" s="116"/>
      <c r="AR30" s="116"/>
      <c r="AS30" s="116"/>
      <c r="AT30" s="116"/>
      <c r="AU30" s="116"/>
      <c r="AV30" s="116"/>
    </row>
    <row r="31" ht="15.75" customHeight="1">
      <c r="A31" s="123" t="s">
        <v>48</v>
      </c>
      <c r="B31" s="125" t="s">
        <v>39</v>
      </c>
      <c r="C31" s="125" t="s">
        <v>39</v>
      </c>
      <c r="D31" s="125"/>
      <c r="E31" s="125" t="s">
        <v>39</v>
      </c>
      <c r="F31" s="125" t="s">
        <v>39</v>
      </c>
      <c r="G31" s="125" t="s">
        <v>39</v>
      </c>
      <c r="H31" s="125"/>
      <c r="I31" s="125" t="s">
        <v>39</v>
      </c>
      <c r="J31" s="125" t="s">
        <v>39</v>
      </c>
      <c r="K31" s="125" t="s">
        <v>39</v>
      </c>
      <c r="L31" s="125" t="s">
        <v>39</v>
      </c>
      <c r="M31" s="125" t="s">
        <v>39</v>
      </c>
      <c r="N31" s="125" t="s">
        <v>39</v>
      </c>
      <c r="O31" s="125"/>
      <c r="P31" s="125" t="s">
        <v>39</v>
      </c>
      <c r="Q31" s="125" t="s">
        <v>39</v>
      </c>
      <c r="R31" s="125" t="s">
        <v>39</v>
      </c>
      <c r="S31" s="125" t="s">
        <v>39</v>
      </c>
      <c r="T31" s="125" t="s">
        <v>39</v>
      </c>
      <c r="U31" s="125" t="s">
        <v>39</v>
      </c>
      <c r="V31" s="125" t="s">
        <v>39</v>
      </c>
      <c r="W31" s="125" t="s">
        <v>39</v>
      </c>
      <c r="X31" s="125" t="s">
        <v>39</v>
      </c>
      <c r="Y31" s="125" t="s">
        <v>39</v>
      </c>
      <c r="Z31" s="125" t="s">
        <v>39</v>
      </c>
      <c r="AA31" s="125" t="s">
        <v>39</v>
      </c>
      <c r="AB31" s="125" t="s">
        <v>39</v>
      </c>
      <c r="AC31" s="125" t="s">
        <v>39</v>
      </c>
      <c r="AD31" s="125" t="s">
        <v>39</v>
      </c>
      <c r="AE31" s="125" t="s">
        <v>39</v>
      </c>
      <c r="AF31" s="125" t="s">
        <v>39</v>
      </c>
      <c r="AG31" s="125" t="s">
        <v>39</v>
      </c>
      <c r="AH31" s="125" t="s">
        <v>39</v>
      </c>
      <c r="AI31" s="125" t="s">
        <v>39</v>
      </c>
      <c r="AJ31" s="125" t="s">
        <v>39</v>
      </c>
      <c r="AK31" s="125" t="s">
        <v>39</v>
      </c>
      <c r="AL31" s="125">
        <v>18703.14</v>
      </c>
      <c r="AM31" s="126">
        <v>18703.14</v>
      </c>
      <c r="AN31" s="127">
        <v>0.01</v>
      </c>
      <c r="AO31" s="128"/>
      <c r="AP31" s="128"/>
      <c r="AQ31" s="128"/>
      <c r="AR31" s="128"/>
      <c r="AS31" s="128"/>
      <c r="AT31" s="128"/>
      <c r="AU31" s="128"/>
      <c r="AV31" s="128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</row>
    <row r="32" ht="15.75" customHeight="1">
      <c r="A32" s="123" t="s">
        <v>49</v>
      </c>
      <c r="B32" s="125" t="s">
        <v>39</v>
      </c>
      <c r="C32" s="125" t="s">
        <v>39</v>
      </c>
      <c r="D32" s="125"/>
      <c r="E32" s="125" t="s">
        <v>39</v>
      </c>
      <c r="F32" s="125" t="s">
        <v>39</v>
      </c>
      <c r="G32" s="125" t="s">
        <v>39</v>
      </c>
      <c r="H32" s="125"/>
      <c r="I32" s="125" t="s">
        <v>39</v>
      </c>
      <c r="J32" s="125" t="s">
        <v>39</v>
      </c>
      <c r="K32" s="125" t="s">
        <v>39</v>
      </c>
      <c r="L32" s="125" t="s">
        <v>39</v>
      </c>
      <c r="M32" s="125" t="s">
        <v>39</v>
      </c>
      <c r="N32" s="125" t="s">
        <v>39</v>
      </c>
      <c r="O32" s="125"/>
      <c r="P32" s="125" t="s">
        <v>39</v>
      </c>
      <c r="Q32" s="125" t="s">
        <v>39</v>
      </c>
      <c r="R32" s="125" t="s">
        <v>39</v>
      </c>
      <c r="S32" s="125" t="s">
        <v>39</v>
      </c>
      <c r="T32" s="125" t="s">
        <v>39</v>
      </c>
      <c r="U32" s="125" t="s">
        <v>39</v>
      </c>
      <c r="V32" s="125" t="s">
        <v>39</v>
      </c>
      <c r="W32" s="125" t="s">
        <v>39</v>
      </c>
      <c r="X32" s="125" t="s">
        <v>39</v>
      </c>
      <c r="Y32" s="125" t="s">
        <v>39</v>
      </c>
      <c r="Z32" s="125" t="s">
        <v>39</v>
      </c>
      <c r="AA32" s="125" t="s">
        <v>39</v>
      </c>
      <c r="AB32" s="125" t="s">
        <v>39</v>
      </c>
      <c r="AC32" s="125" t="s">
        <v>39</v>
      </c>
      <c r="AD32" s="125" t="s">
        <v>39</v>
      </c>
      <c r="AE32" s="125" t="s">
        <v>39</v>
      </c>
      <c r="AF32" s="125" t="s">
        <v>39</v>
      </c>
      <c r="AG32" s="125" t="s">
        <v>39</v>
      </c>
      <c r="AH32" s="125" t="s">
        <v>39</v>
      </c>
      <c r="AI32" s="125" t="s">
        <v>39</v>
      </c>
      <c r="AJ32" s="125" t="s">
        <v>39</v>
      </c>
      <c r="AK32" s="125" t="s">
        <v>39</v>
      </c>
      <c r="AL32" s="125" t="s">
        <v>39</v>
      </c>
      <c r="AM32" s="130" t="s">
        <v>39</v>
      </c>
      <c r="AN32" s="127">
        <v>0.0</v>
      </c>
      <c r="AO32" s="116"/>
      <c r="AP32" s="116"/>
      <c r="AQ32" s="116"/>
      <c r="AR32" s="116"/>
      <c r="AS32" s="116"/>
      <c r="AT32" s="116"/>
      <c r="AU32" s="116"/>
      <c r="AV32" s="116"/>
    </row>
    <row r="33" ht="15.75" customHeight="1">
      <c r="A33" s="123" t="s">
        <v>106</v>
      </c>
      <c r="B33" s="125" t="s">
        <v>39</v>
      </c>
      <c r="C33" s="125" t="s">
        <v>39</v>
      </c>
      <c r="D33" s="125"/>
      <c r="E33" s="125" t="s">
        <v>39</v>
      </c>
      <c r="F33" s="125" t="s">
        <v>39</v>
      </c>
      <c r="G33" s="125" t="s">
        <v>39</v>
      </c>
      <c r="H33" s="125"/>
      <c r="I33" s="125" t="s">
        <v>39</v>
      </c>
      <c r="J33" s="125" t="s">
        <v>39</v>
      </c>
      <c r="K33" s="125" t="s">
        <v>39</v>
      </c>
      <c r="L33" s="125" t="s">
        <v>39</v>
      </c>
      <c r="M33" s="125" t="s">
        <v>39</v>
      </c>
      <c r="N33" s="125" t="s">
        <v>39</v>
      </c>
      <c r="O33" s="125"/>
      <c r="P33" s="125" t="s">
        <v>39</v>
      </c>
      <c r="Q33" s="125" t="s">
        <v>39</v>
      </c>
      <c r="R33" s="125" t="s">
        <v>39</v>
      </c>
      <c r="S33" s="125" t="s">
        <v>39</v>
      </c>
      <c r="T33" s="125" t="s">
        <v>39</v>
      </c>
      <c r="U33" s="125" t="s">
        <v>39</v>
      </c>
      <c r="V33" s="125" t="s">
        <v>39</v>
      </c>
      <c r="W33" s="125" t="s">
        <v>39</v>
      </c>
      <c r="X33" s="125" t="s">
        <v>39</v>
      </c>
      <c r="Y33" s="125" t="s">
        <v>39</v>
      </c>
      <c r="Z33" s="125" t="s">
        <v>39</v>
      </c>
      <c r="AA33" s="125" t="s">
        <v>39</v>
      </c>
      <c r="AB33" s="125" t="s">
        <v>39</v>
      </c>
      <c r="AC33" s="125" t="s">
        <v>39</v>
      </c>
      <c r="AD33" s="125" t="s">
        <v>39</v>
      </c>
      <c r="AE33" s="125" t="s">
        <v>39</v>
      </c>
      <c r="AF33" s="125" t="s">
        <v>39</v>
      </c>
      <c r="AG33" s="125" t="s">
        <v>39</v>
      </c>
      <c r="AH33" s="125" t="s">
        <v>39</v>
      </c>
      <c r="AI33" s="125" t="s">
        <v>39</v>
      </c>
      <c r="AJ33" s="125" t="s">
        <v>39</v>
      </c>
      <c r="AK33" s="125" t="s">
        <v>39</v>
      </c>
      <c r="AL33" s="125">
        <v>15000.0</v>
      </c>
      <c r="AM33" s="126">
        <v>15000.0</v>
      </c>
      <c r="AN33" s="127">
        <v>0.01</v>
      </c>
      <c r="AO33" s="116"/>
      <c r="AP33" s="116"/>
      <c r="AQ33" s="116"/>
      <c r="AR33" s="116"/>
      <c r="AS33" s="116"/>
      <c r="AT33" s="116"/>
      <c r="AU33" s="116"/>
      <c r="AV33" s="116"/>
    </row>
    <row r="34" ht="15.75" customHeight="1">
      <c r="A34" s="123" t="s">
        <v>51</v>
      </c>
      <c r="B34" s="125" t="s">
        <v>39</v>
      </c>
      <c r="C34" s="125" t="s">
        <v>39</v>
      </c>
      <c r="D34" s="125"/>
      <c r="E34" s="125" t="s">
        <v>39</v>
      </c>
      <c r="F34" s="125" t="s">
        <v>39</v>
      </c>
      <c r="G34" s="125" t="s">
        <v>39</v>
      </c>
      <c r="H34" s="125"/>
      <c r="I34" s="125" t="s">
        <v>39</v>
      </c>
      <c r="J34" s="125" t="s">
        <v>39</v>
      </c>
      <c r="K34" s="125" t="s">
        <v>39</v>
      </c>
      <c r="L34" s="125" t="s">
        <v>39</v>
      </c>
      <c r="M34" s="125" t="s">
        <v>39</v>
      </c>
      <c r="N34" s="125" t="s">
        <v>39</v>
      </c>
      <c r="O34" s="125"/>
      <c r="P34" s="125" t="s">
        <v>39</v>
      </c>
      <c r="Q34" s="125" t="s">
        <v>39</v>
      </c>
      <c r="R34" s="125" t="s">
        <v>39</v>
      </c>
      <c r="S34" s="125" t="s">
        <v>39</v>
      </c>
      <c r="T34" s="125" t="s">
        <v>39</v>
      </c>
      <c r="U34" s="125" t="s">
        <v>39</v>
      </c>
      <c r="V34" s="125" t="s">
        <v>39</v>
      </c>
      <c r="W34" s="125" t="s">
        <v>39</v>
      </c>
      <c r="X34" s="125" t="s">
        <v>39</v>
      </c>
      <c r="Y34" s="125" t="s">
        <v>39</v>
      </c>
      <c r="Z34" s="125" t="s">
        <v>39</v>
      </c>
      <c r="AA34" s="125" t="s">
        <v>39</v>
      </c>
      <c r="AB34" s="125" t="s">
        <v>39</v>
      </c>
      <c r="AC34" s="125" t="s">
        <v>39</v>
      </c>
      <c r="AD34" s="125" t="s">
        <v>39</v>
      </c>
      <c r="AE34" s="125">
        <v>145.69</v>
      </c>
      <c r="AF34" s="125" t="s">
        <v>39</v>
      </c>
      <c r="AG34" s="125" t="s">
        <v>39</v>
      </c>
      <c r="AH34" s="125" t="s">
        <v>39</v>
      </c>
      <c r="AI34" s="125" t="s">
        <v>39</v>
      </c>
      <c r="AJ34" s="125" t="s">
        <v>39</v>
      </c>
      <c r="AK34" s="125">
        <v>145.69</v>
      </c>
      <c r="AL34" s="125">
        <v>18400.0</v>
      </c>
      <c r="AM34" s="126">
        <v>18691.38</v>
      </c>
      <c r="AN34" s="127">
        <v>0.01</v>
      </c>
      <c r="AO34" s="116"/>
      <c r="AP34" s="116"/>
      <c r="AQ34" s="116"/>
      <c r="AR34" s="116"/>
      <c r="AS34" s="116"/>
      <c r="AT34" s="116"/>
      <c r="AU34" s="116"/>
      <c r="AV34" s="116"/>
    </row>
    <row r="35" ht="15.75" customHeight="1">
      <c r="A35" s="123" t="s">
        <v>52</v>
      </c>
      <c r="B35" s="125" t="s">
        <v>39</v>
      </c>
      <c r="C35" s="125" t="s">
        <v>39</v>
      </c>
      <c r="D35" s="125"/>
      <c r="E35" s="125" t="s">
        <v>39</v>
      </c>
      <c r="F35" s="125" t="s">
        <v>39</v>
      </c>
      <c r="G35" s="125" t="s">
        <v>39</v>
      </c>
      <c r="H35" s="125"/>
      <c r="I35" s="125" t="s">
        <v>39</v>
      </c>
      <c r="J35" s="125" t="s">
        <v>39</v>
      </c>
      <c r="K35" s="125" t="s">
        <v>39</v>
      </c>
      <c r="L35" s="125" t="s">
        <v>39</v>
      </c>
      <c r="M35" s="125" t="s">
        <v>39</v>
      </c>
      <c r="N35" s="125" t="s">
        <v>39</v>
      </c>
      <c r="O35" s="125"/>
      <c r="P35" s="125" t="s">
        <v>39</v>
      </c>
      <c r="Q35" s="125" t="s">
        <v>39</v>
      </c>
      <c r="R35" s="125" t="s">
        <v>39</v>
      </c>
      <c r="S35" s="125" t="s">
        <v>39</v>
      </c>
      <c r="T35" s="125" t="s">
        <v>39</v>
      </c>
      <c r="U35" s="125" t="s">
        <v>39</v>
      </c>
      <c r="V35" s="125" t="s">
        <v>39</v>
      </c>
      <c r="W35" s="125" t="s">
        <v>39</v>
      </c>
      <c r="X35" s="125" t="s">
        <v>39</v>
      </c>
      <c r="Y35" s="125" t="s">
        <v>39</v>
      </c>
      <c r="Z35" s="125" t="s">
        <v>39</v>
      </c>
      <c r="AA35" s="125" t="s">
        <v>39</v>
      </c>
      <c r="AB35" s="125" t="s">
        <v>39</v>
      </c>
      <c r="AC35" s="125" t="s">
        <v>39</v>
      </c>
      <c r="AD35" s="125" t="s">
        <v>39</v>
      </c>
      <c r="AE35" s="125" t="s">
        <v>39</v>
      </c>
      <c r="AF35" s="125" t="s">
        <v>39</v>
      </c>
      <c r="AG35" s="125" t="s">
        <v>39</v>
      </c>
      <c r="AH35" s="125" t="s">
        <v>39</v>
      </c>
      <c r="AI35" s="125" t="s">
        <v>39</v>
      </c>
      <c r="AJ35" s="125" t="s">
        <v>39</v>
      </c>
      <c r="AK35" s="125" t="s">
        <v>39</v>
      </c>
      <c r="AL35" s="125" t="s">
        <v>39</v>
      </c>
      <c r="AM35" s="130" t="s">
        <v>39</v>
      </c>
      <c r="AN35" s="127">
        <v>0.0</v>
      </c>
      <c r="AO35" s="116"/>
      <c r="AP35" s="116"/>
      <c r="AQ35" s="116"/>
      <c r="AR35" s="116"/>
      <c r="AS35" s="116"/>
      <c r="AT35" s="116"/>
      <c r="AU35" s="116"/>
      <c r="AV35" s="116"/>
    </row>
    <row r="36" ht="15.75" customHeight="1">
      <c r="A36" s="123" t="s">
        <v>53</v>
      </c>
      <c r="B36" s="125" t="s">
        <v>39</v>
      </c>
      <c r="C36" s="125" t="s">
        <v>39</v>
      </c>
      <c r="D36" s="125"/>
      <c r="E36" s="125" t="s">
        <v>39</v>
      </c>
      <c r="F36" s="125" t="s">
        <v>39</v>
      </c>
      <c r="G36" s="125" t="s">
        <v>39</v>
      </c>
      <c r="H36" s="125"/>
      <c r="I36" s="125" t="s">
        <v>39</v>
      </c>
      <c r="J36" s="125" t="s">
        <v>39</v>
      </c>
      <c r="K36" s="125" t="s">
        <v>39</v>
      </c>
      <c r="L36" s="125" t="s">
        <v>39</v>
      </c>
      <c r="M36" s="125" t="s">
        <v>39</v>
      </c>
      <c r="N36" s="125" t="s">
        <v>39</v>
      </c>
      <c r="O36" s="125"/>
      <c r="P36" s="125" t="s">
        <v>39</v>
      </c>
      <c r="Q36" s="125" t="s">
        <v>39</v>
      </c>
      <c r="R36" s="125" t="s">
        <v>39</v>
      </c>
      <c r="S36" s="125" t="s">
        <v>39</v>
      </c>
      <c r="T36" s="125" t="s">
        <v>39</v>
      </c>
      <c r="U36" s="125" t="s">
        <v>39</v>
      </c>
      <c r="V36" s="125" t="s">
        <v>39</v>
      </c>
      <c r="W36" s="125" t="s">
        <v>39</v>
      </c>
      <c r="X36" s="125" t="s">
        <v>39</v>
      </c>
      <c r="Y36" s="125" t="s">
        <v>39</v>
      </c>
      <c r="Z36" s="125" t="s">
        <v>39</v>
      </c>
      <c r="AA36" s="125" t="s">
        <v>39</v>
      </c>
      <c r="AB36" s="125" t="s">
        <v>39</v>
      </c>
      <c r="AC36" s="125" t="s">
        <v>39</v>
      </c>
      <c r="AD36" s="125" t="s">
        <v>39</v>
      </c>
      <c r="AE36" s="125" t="s">
        <v>39</v>
      </c>
      <c r="AF36" s="125" t="s">
        <v>39</v>
      </c>
      <c r="AG36" s="125" t="s">
        <v>39</v>
      </c>
      <c r="AH36" s="125" t="s">
        <v>39</v>
      </c>
      <c r="AI36" s="125" t="s">
        <v>39</v>
      </c>
      <c r="AJ36" s="125" t="s">
        <v>39</v>
      </c>
      <c r="AK36" s="125" t="s">
        <v>39</v>
      </c>
      <c r="AL36" s="125" t="s">
        <v>39</v>
      </c>
      <c r="AM36" s="130" t="s">
        <v>39</v>
      </c>
      <c r="AN36" s="127">
        <v>0.0</v>
      </c>
      <c r="AO36" s="116"/>
      <c r="AP36" s="116"/>
      <c r="AQ36" s="116"/>
      <c r="AR36" s="116"/>
      <c r="AS36" s="116"/>
      <c r="AT36" s="116"/>
      <c r="AU36" s="116"/>
      <c r="AV36" s="116"/>
    </row>
    <row r="37" ht="15.75" customHeight="1">
      <c r="A37" s="123" t="s">
        <v>54</v>
      </c>
      <c r="B37" s="125" t="s">
        <v>39</v>
      </c>
      <c r="C37" s="125" t="s">
        <v>39</v>
      </c>
      <c r="D37" s="125"/>
      <c r="E37" s="125" t="s">
        <v>39</v>
      </c>
      <c r="F37" s="125" t="s">
        <v>39</v>
      </c>
      <c r="G37" s="125" t="s">
        <v>39</v>
      </c>
      <c r="H37" s="125"/>
      <c r="I37" s="125" t="s">
        <v>39</v>
      </c>
      <c r="J37" s="125" t="s">
        <v>39</v>
      </c>
      <c r="K37" s="125" t="s">
        <v>39</v>
      </c>
      <c r="L37" s="125" t="s">
        <v>39</v>
      </c>
      <c r="M37" s="125" t="s">
        <v>39</v>
      </c>
      <c r="N37" s="125" t="s">
        <v>39</v>
      </c>
      <c r="O37" s="125"/>
      <c r="P37" s="125" t="s">
        <v>39</v>
      </c>
      <c r="Q37" s="125" t="s">
        <v>39</v>
      </c>
      <c r="R37" s="125" t="s">
        <v>39</v>
      </c>
      <c r="S37" s="125" t="s">
        <v>39</v>
      </c>
      <c r="T37" s="125" t="s">
        <v>39</v>
      </c>
      <c r="U37" s="125" t="s">
        <v>39</v>
      </c>
      <c r="V37" s="125" t="s">
        <v>39</v>
      </c>
      <c r="W37" s="125" t="s">
        <v>39</v>
      </c>
      <c r="X37" s="125" t="s">
        <v>39</v>
      </c>
      <c r="Y37" s="125" t="s">
        <v>39</v>
      </c>
      <c r="Z37" s="125" t="s">
        <v>39</v>
      </c>
      <c r="AA37" s="125" t="s">
        <v>39</v>
      </c>
      <c r="AB37" s="125" t="s">
        <v>39</v>
      </c>
      <c r="AC37" s="125" t="s">
        <v>39</v>
      </c>
      <c r="AD37" s="125" t="s">
        <v>39</v>
      </c>
      <c r="AE37" s="125" t="s">
        <v>39</v>
      </c>
      <c r="AF37" s="125" t="s">
        <v>39</v>
      </c>
      <c r="AG37" s="125" t="s">
        <v>39</v>
      </c>
      <c r="AH37" s="125" t="s">
        <v>39</v>
      </c>
      <c r="AI37" s="125" t="s">
        <v>39</v>
      </c>
      <c r="AJ37" s="125" t="s">
        <v>39</v>
      </c>
      <c r="AK37" s="125" t="s">
        <v>39</v>
      </c>
      <c r="AL37" s="125" t="s">
        <v>39</v>
      </c>
      <c r="AM37" s="130" t="s">
        <v>39</v>
      </c>
      <c r="AN37" s="127">
        <v>0.0</v>
      </c>
      <c r="AO37" s="116"/>
      <c r="AP37" s="116"/>
      <c r="AQ37" s="116"/>
      <c r="AR37" s="116"/>
      <c r="AS37" s="116"/>
      <c r="AT37" s="116"/>
      <c r="AU37" s="116"/>
      <c r="AV37" s="116"/>
    </row>
    <row r="38" ht="15.75" customHeight="1">
      <c r="A38" s="123" t="s">
        <v>55</v>
      </c>
      <c r="B38" s="125" t="s">
        <v>39</v>
      </c>
      <c r="C38" s="125" t="s">
        <v>39</v>
      </c>
      <c r="D38" s="125"/>
      <c r="E38" s="125" t="s">
        <v>39</v>
      </c>
      <c r="F38" s="125" t="s">
        <v>39</v>
      </c>
      <c r="G38" s="125" t="s">
        <v>39</v>
      </c>
      <c r="H38" s="125"/>
      <c r="I38" s="125" t="s">
        <v>39</v>
      </c>
      <c r="J38" s="125" t="s">
        <v>39</v>
      </c>
      <c r="K38" s="125" t="s">
        <v>39</v>
      </c>
      <c r="L38" s="125" t="s">
        <v>39</v>
      </c>
      <c r="M38" s="125" t="s">
        <v>39</v>
      </c>
      <c r="N38" s="125" t="s">
        <v>39</v>
      </c>
      <c r="O38" s="125"/>
      <c r="P38" s="125" t="s">
        <v>39</v>
      </c>
      <c r="Q38" s="125" t="s">
        <v>39</v>
      </c>
      <c r="R38" s="125" t="s">
        <v>39</v>
      </c>
      <c r="S38" s="125" t="s">
        <v>39</v>
      </c>
      <c r="T38" s="125" t="s">
        <v>39</v>
      </c>
      <c r="U38" s="125" t="s">
        <v>39</v>
      </c>
      <c r="V38" s="125" t="s">
        <v>39</v>
      </c>
      <c r="W38" s="125" t="s">
        <v>39</v>
      </c>
      <c r="X38" s="125" t="s">
        <v>39</v>
      </c>
      <c r="Y38" s="125" t="s">
        <v>39</v>
      </c>
      <c r="Z38" s="125" t="s">
        <v>39</v>
      </c>
      <c r="AA38" s="125" t="s">
        <v>39</v>
      </c>
      <c r="AB38" s="125" t="s">
        <v>39</v>
      </c>
      <c r="AC38" s="125" t="s">
        <v>39</v>
      </c>
      <c r="AD38" s="125" t="s">
        <v>39</v>
      </c>
      <c r="AE38" s="125" t="s">
        <v>39</v>
      </c>
      <c r="AF38" s="125" t="s">
        <v>39</v>
      </c>
      <c r="AG38" s="125" t="s">
        <v>39</v>
      </c>
      <c r="AH38" s="125" t="s">
        <v>39</v>
      </c>
      <c r="AI38" s="125" t="s">
        <v>39</v>
      </c>
      <c r="AJ38" s="125" t="s">
        <v>39</v>
      </c>
      <c r="AK38" s="125" t="s">
        <v>39</v>
      </c>
      <c r="AL38" s="125" t="s">
        <v>39</v>
      </c>
      <c r="AM38" s="130" t="s">
        <v>39</v>
      </c>
      <c r="AN38" s="127">
        <v>0.0</v>
      </c>
      <c r="AO38" s="116"/>
      <c r="AP38" s="116"/>
      <c r="AQ38" s="116"/>
      <c r="AR38" s="116"/>
      <c r="AS38" s="116"/>
      <c r="AT38" s="116"/>
      <c r="AU38" s="116"/>
      <c r="AV38" s="116"/>
    </row>
    <row r="39" ht="15.75" customHeight="1">
      <c r="A39" s="123" t="s">
        <v>107</v>
      </c>
      <c r="B39" s="125">
        <v>2540.0</v>
      </c>
      <c r="C39" s="125" t="s">
        <v>39</v>
      </c>
      <c r="D39" s="125"/>
      <c r="E39" s="125">
        <v>2958.0</v>
      </c>
      <c r="F39" s="125" t="s">
        <v>39</v>
      </c>
      <c r="G39" s="125" t="s">
        <v>39</v>
      </c>
      <c r="H39" s="125"/>
      <c r="I39" s="125" t="s">
        <v>39</v>
      </c>
      <c r="J39" s="125" t="s">
        <v>39</v>
      </c>
      <c r="K39" s="125" t="s">
        <v>39</v>
      </c>
      <c r="L39" s="125" t="s">
        <v>39</v>
      </c>
      <c r="M39" s="125" t="s">
        <v>39</v>
      </c>
      <c r="N39" s="125" t="s">
        <v>39</v>
      </c>
      <c r="O39" s="125"/>
      <c r="P39" s="125" t="s">
        <v>39</v>
      </c>
      <c r="Q39" s="125" t="s">
        <v>39</v>
      </c>
      <c r="R39" s="125" t="s">
        <v>39</v>
      </c>
      <c r="S39" s="125">
        <v>1170.0</v>
      </c>
      <c r="T39" s="125" t="s">
        <v>39</v>
      </c>
      <c r="U39" s="125" t="s">
        <v>39</v>
      </c>
      <c r="V39" s="125" t="s">
        <v>39</v>
      </c>
      <c r="W39" s="125" t="s">
        <v>39</v>
      </c>
      <c r="X39" s="125" t="s">
        <v>39</v>
      </c>
      <c r="Y39" s="125" t="s">
        <v>39</v>
      </c>
      <c r="Z39" s="125" t="s">
        <v>39</v>
      </c>
      <c r="AA39" s="125" t="s">
        <v>39</v>
      </c>
      <c r="AB39" s="125" t="s">
        <v>39</v>
      </c>
      <c r="AC39" s="125" t="s">
        <v>39</v>
      </c>
      <c r="AD39" s="125">
        <v>1000.0</v>
      </c>
      <c r="AE39" s="125" t="s">
        <v>39</v>
      </c>
      <c r="AF39" s="125" t="s">
        <v>39</v>
      </c>
      <c r="AG39" s="125" t="s">
        <v>39</v>
      </c>
      <c r="AH39" s="125" t="s">
        <v>39</v>
      </c>
      <c r="AI39" s="125" t="s">
        <v>39</v>
      </c>
      <c r="AJ39" s="125" t="s">
        <v>39</v>
      </c>
      <c r="AK39" s="125" t="s">
        <v>39</v>
      </c>
      <c r="AL39" s="125">
        <v>3200.0</v>
      </c>
      <c r="AM39" s="126">
        <v>10868.0</v>
      </c>
      <c r="AN39" s="127">
        <v>0.0</v>
      </c>
      <c r="AO39" s="116"/>
      <c r="AP39" s="116"/>
      <c r="AQ39" s="116"/>
      <c r="AR39" s="116"/>
      <c r="AS39" s="116"/>
      <c r="AT39" s="116"/>
      <c r="AU39" s="116"/>
      <c r="AV39" s="116"/>
    </row>
    <row r="40" ht="15.75" customHeight="1">
      <c r="A40" s="123" t="s">
        <v>57</v>
      </c>
      <c r="B40" s="125" t="s">
        <v>39</v>
      </c>
      <c r="C40" s="125" t="s">
        <v>39</v>
      </c>
      <c r="D40" s="125"/>
      <c r="E40" s="125" t="s">
        <v>39</v>
      </c>
      <c r="F40" s="125" t="s">
        <v>39</v>
      </c>
      <c r="G40" s="125" t="s">
        <v>39</v>
      </c>
      <c r="H40" s="125"/>
      <c r="I40" s="125" t="s">
        <v>39</v>
      </c>
      <c r="J40" s="125" t="s">
        <v>39</v>
      </c>
      <c r="K40" s="125" t="s">
        <v>39</v>
      </c>
      <c r="L40" s="125" t="s">
        <v>39</v>
      </c>
      <c r="M40" s="125" t="s">
        <v>39</v>
      </c>
      <c r="N40" s="125" t="s">
        <v>39</v>
      </c>
      <c r="O40" s="125"/>
      <c r="P40" s="125" t="s">
        <v>39</v>
      </c>
      <c r="Q40" s="125" t="s">
        <v>39</v>
      </c>
      <c r="R40" s="125" t="s">
        <v>39</v>
      </c>
      <c r="S40" s="125" t="s">
        <v>39</v>
      </c>
      <c r="T40" s="125" t="s">
        <v>39</v>
      </c>
      <c r="U40" s="125" t="s">
        <v>39</v>
      </c>
      <c r="V40" s="125" t="s">
        <v>39</v>
      </c>
      <c r="W40" s="125" t="s">
        <v>39</v>
      </c>
      <c r="X40" s="125" t="s">
        <v>39</v>
      </c>
      <c r="Y40" s="125" t="s">
        <v>39</v>
      </c>
      <c r="Z40" s="125" t="s">
        <v>39</v>
      </c>
      <c r="AA40" s="125" t="s">
        <v>39</v>
      </c>
      <c r="AB40" s="125" t="s">
        <v>39</v>
      </c>
      <c r="AC40" s="125" t="s">
        <v>39</v>
      </c>
      <c r="AD40" s="125" t="s">
        <v>39</v>
      </c>
      <c r="AE40" s="125" t="s">
        <v>39</v>
      </c>
      <c r="AF40" s="125" t="s">
        <v>39</v>
      </c>
      <c r="AG40" s="125" t="s">
        <v>39</v>
      </c>
      <c r="AH40" s="125" t="s">
        <v>39</v>
      </c>
      <c r="AI40" s="125" t="s">
        <v>39</v>
      </c>
      <c r="AJ40" s="125" t="s">
        <v>39</v>
      </c>
      <c r="AK40" s="125" t="s">
        <v>39</v>
      </c>
      <c r="AL40" s="125">
        <v>590000.0</v>
      </c>
      <c r="AM40" s="126">
        <v>590000.0</v>
      </c>
      <c r="AN40" s="127">
        <v>0.2</v>
      </c>
      <c r="AO40" s="116"/>
      <c r="AP40" s="116"/>
      <c r="AQ40" s="116"/>
      <c r="AR40" s="116"/>
      <c r="AS40" s="116"/>
      <c r="AT40" s="116"/>
      <c r="AU40" s="116"/>
      <c r="AV40" s="116"/>
    </row>
    <row r="41" ht="15.75" customHeight="1">
      <c r="A41" s="123" t="s">
        <v>58</v>
      </c>
      <c r="B41" s="125" t="s">
        <v>39</v>
      </c>
      <c r="C41" s="125" t="s">
        <v>39</v>
      </c>
      <c r="D41" s="125"/>
      <c r="E41" s="125" t="s">
        <v>39</v>
      </c>
      <c r="F41" s="125" t="s">
        <v>39</v>
      </c>
      <c r="G41" s="125" t="s">
        <v>39</v>
      </c>
      <c r="H41" s="125"/>
      <c r="I41" s="125" t="s">
        <v>39</v>
      </c>
      <c r="J41" s="125" t="s">
        <v>39</v>
      </c>
      <c r="K41" s="125" t="s">
        <v>39</v>
      </c>
      <c r="L41" s="125" t="s">
        <v>39</v>
      </c>
      <c r="M41" s="125" t="s">
        <v>39</v>
      </c>
      <c r="N41" s="125" t="s">
        <v>39</v>
      </c>
      <c r="O41" s="125"/>
      <c r="P41" s="125" t="s">
        <v>39</v>
      </c>
      <c r="Q41" s="125" t="s">
        <v>39</v>
      </c>
      <c r="R41" s="125" t="s">
        <v>39</v>
      </c>
      <c r="S41" s="125" t="s">
        <v>39</v>
      </c>
      <c r="T41" s="125" t="s">
        <v>39</v>
      </c>
      <c r="U41" s="125" t="s">
        <v>39</v>
      </c>
      <c r="V41" s="125" t="s">
        <v>39</v>
      </c>
      <c r="W41" s="125" t="s">
        <v>39</v>
      </c>
      <c r="X41" s="125" t="s">
        <v>39</v>
      </c>
      <c r="Y41" s="125" t="s">
        <v>39</v>
      </c>
      <c r="Z41" s="125" t="s">
        <v>39</v>
      </c>
      <c r="AA41" s="125" t="s">
        <v>39</v>
      </c>
      <c r="AB41" s="125" t="s">
        <v>39</v>
      </c>
      <c r="AC41" s="125" t="s">
        <v>39</v>
      </c>
      <c r="AD41" s="125" t="s">
        <v>39</v>
      </c>
      <c r="AE41" s="125" t="s">
        <v>39</v>
      </c>
      <c r="AF41" s="125" t="s">
        <v>39</v>
      </c>
      <c r="AG41" s="125" t="s">
        <v>39</v>
      </c>
      <c r="AH41" s="125" t="s">
        <v>39</v>
      </c>
      <c r="AI41" s="125" t="s">
        <v>39</v>
      </c>
      <c r="AJ41" s="125" t="s">
        <v>39</v>
      </c>
      <c r="AK41" s="125" t="s">
        <v>39</v>
      </c>
      <c r="AL41" s="125">
        <v>983.3</v>
      </c>
      <c r="AM41" s="130">
        <v>983.3</v>
      </c>
      <c r="AN41" s="130"/>
      <c r="AO41" s="116"/>
      <c r="AP41" s="116"/>
      <c r="AQ41" s="116"/>
      <c r="AR41" s="116"/>
      <c r="AS41" s="116"/>
      <c r="AT41" s="116"/>
      <c r="AU41" s="116"/>
      <c r="AV41" s="116"/>
    </row>
    <row r="42" ht="15.75" customHeight="1">
      <c r="A42" s="123" t="s">
        <v>59</v>
      </c>
      <c r="B42" s="125">
        <v>63.45</v>
      </c>
      <c r="C42" s="125">
        <v>101.51</v>
      </c>
      <c r="D42" s="125"/>
      <c r="E42" s="125">
        <v>137.79</v>
      </c>
      <c r="F42" s="125" t="s">
        <v>39</v>
      </c>
      <c r="G42" s="125">
        <v>141.38</v>
      </c>
      <c r="H42" s="125"/>
      <c r="I42" s="125" t="s">
        <v>39</v>
      </c>
      <c r="J42" s="125">
        <v>63.45</v>
      </c>
      <c r="K42" s="125" t="s">
        <v>39</v>
      </c>
      <c r="L42" s="125">
        <v>101.32</v>
      </c>
      <c r="M42" s="125">
        <v>125.15</v>
      </c>
      <c r="N42" s="125" t="s">
        <v>39</v>
      </c>
      <c r="O42" s="125"/>
      <c r="P42" s="125" t="s">
        <v>39</v>
      </c>
      <c r="Q42" s="125">
        <v>151.65</v>
      </c>
      <c r="R42" s="125">
        <v>123.95</v>
      </c>
      <c r="S42" s="125">
        <v>127.01</v>
      </c>
      <c r="T42" s="125">
        <v>65.29</v>
      </c>
      <c r="U42" s="125" t="s">
        <v>39</v>
      </c>
      <c r="V42" s="125">
        <v>126.98</v>
      </c>
      <c r="W42" s="125" t="s">
        <v>39</v>
      </c>
      <c r="X42" s="125">
        <v>45.78</v>
      </c>
      <c r="Y42" s="125">
        <v>127.3</v>
      </c>
      <c r="Z42" s="125">
        <v>137.45</v>
      </c>
      <c r="AA42" s="125">
        <v>51.95</v>
      </c>
      <c r="AB42" s="125" t="s">
        <v>39</v>
      </c>
      <c r="AC42" s="125">
        <v>76.09</v>
      </c>
      <c r="AD42" s="125">
        <v>165.17</v>
      </c>
      <c r="AE42" s="125">
        <v>125.15</v>
      </c>
      <c r="AF42" s="125">
        <v>111.16</v>
      </c>
      <c r="AG42" s="125" t="s">
        <v>39</v>
      </c>
      <c r="AH42" s="125">
        <v>63.45</v>
      </c>
      <c r="AI42" s="125">
        <v>73.19</v>
      </c>
      <c r="AJ42" s="125" t="s">
        <v>39</v>
      </c>
      <c r="AK42" s="125" t="s">
        <v>39</v>
      </c>
      <c r="AL42" s="125">
        <v>142.16</v>
      </c>
      <c r="AM42" s="126">
        <v>2447.78</v>
      </c>
      <c r="AN42" s="130"/>
      <c r="AO42" s="116"/>
      <c r="AP42" s="116"/>
      <c r="AQ42" s="116"/>
      <c r="AR42" s="116"/>
      <c r="AS42" s="116"/>
      <c r="AT42" s="116"/>
      <c r="AU42" s="116"/>
      <c r="AV42" s="116"/>
    </row>
    <row r="43" ht="15.75" customHeight="1">
      <c r="A43" s="123" t="s">
        <v>60</v>
      </c>
      <c r="B43" s="125" t="s">
        <v>39</v>
      </c>
      <c r="C43" s="125" t="s">
        <v>39</v>
      </c>
      <c r="D43" s="125"/>
      <c r="E43" s="125" t="s">
        <v>39</v>
      </c>
      <c r="F43" s="125" t="s">
        <v>39</v>
      </c>
      <c r="G43" s="125" t="s">
        <v>39</v>
      </c>
      <c r="H43" s="125"/>
      <c r="I43" s="125" t="s">
        <v>39</v>
      </c>
      <c r="J43" s="125" t="s">
        <v>39</v>
      </c>
      <c r="K43" s="125" t="s">
        <v>39</v>
      </c>
      <c r="L43" s="125" t="s">
        <v>39</v>
      </c>
      <c r="M43" s="125" t="s">
        <v>39</v>
      </c>
      <c r="N43" s="125" t="s">
        <v>39</v>
      </c>
      <c r="O43" s="125"/>
      <c r="P43" s="125" t="s">
        <v>39</v>
      </c>
      <c r="Q43" s="125" t="s">
        <v>39</v>
      </c>
      <c r="R43" s="125" t="s">
        <v>39</v>
      </c>
      <c r="S43" s="125" t="s">
        <v>39</v>
      </c>
      <c r="T43" s="125" t="s">
        <v>39</v>
      </c>
      <c r="U43" s="125" t="s">
        <v>39</v>
      </c>
      <c r="V43" s="125" t="s">
        <v>39</v>
      </c>
      <c r="W43" s="125" t="s">
        <v>39</v>
      </c>
      <c r="X43" s="125" t="s">
        <v>39</v>
      </c>
      <c r="Y43" s="125" t="s">
        <v>39</v>
      </c>
      <c r="Z43" s="125" t="s">
        <v>39</v>
      </c>
      <c r="AA43" s="125" t="s">
        <v>39</v>
      </c>
      <c r="AB43" s="125" t="s">
        <v>39</v>
      </c>
      <c r="AC43" s="125" t="s">
        <v>39</v>
      </c>
      <c r="AD43" s="125" t="s">
        <v>39</v>
      </c>
      <c r="AE43" s="125" t="s">
        <v>39</v>
      </c>
      <c r="AF43" s="125" t="s">
        <v>39</v>
      </c>
      <c r="AG43" s="125" t="s">
        <v>39</v>
      </c>
      <c r="AH43" s="125" t="s">
        <v>39</v>
      </c>
      <c r="AI43" s="125" t="s">
        <v>39</v>
      </c>
      <c r="AJ43" s="125" t="s">
        <v>39</v>
      </c>
      <c r="AK43" s="125" t="s">
        <v>39</v>
      </c>
      <c r="AL43" s="125">
        <v>75776.36</v>
      </c>
      <c r="AM43" s="126">
        <v>75776.36</v>
      </c>
      <c r="AN43" s="127">
        <v>0.03</v>
      </c>
      <c r="AO43" s="116"/>
      <c r="AP43" s="116"/>
      <c r="AQ43" s="116"/>
      <c r="AR43" s="116"/>
      <c r="AS43" s="116"/>
      <c r="AT43" s="116"/>
      <c r="AU43" s="116"/>
      <c r="AV43" s="116"/>
    </row>
    <row r="44" ht="15.75" customHeight="1">
      <c r="A44" s="123" t="s">
        <v>61</v>
      </c>
      <c r="B44" s="125">
        <v>65.0</v>
      </c>
      <c r="C44" s="125" t="s">
        <v>39</v>
      </c>
      <c r="D44" s="125"/>
      <c r="E44" s="125" t="s">
        <v>39</v>
      </c>
      <c r="F44" s="125" t="s">
        <v>39</v>
      </c>
      <c r="G44" s="125" t="s">
        <v>39</v>
      </c>
      <c r="H44" s="125"/>
      <c r="I44" s="125" t="s">
        <v>39</v>
      </c>
      <c r="J44" s="125" t="s">
        <v>39</v>
      </c>
      <c r="K44" s="125" t="s">
        <v>39</v>
      </c>
      <c r="L44" s="125" t="s">
        <v>39</v>
      </c>
      <c r="M44" s="125" t="s">
        <v>39</v>
      </c>
      <c r="N44" s="125" t="s">
        <v>39</v>
      </c>
      <c r="O44" s="125"/>
      <c r="P44" s="125">
        <v>300.0</v>
      </c>
      <c r="Q44" s="125" t="s">
        <v>39</v>
      </c>
      <c r="R44" s="125" t="s">
        <v>39</v>
      </c>
      <c r="S44" s="125" t="s">
        <v>39</v>
      </c>
      <c r="T44" s="125" t="s">
        <v>39</v>
      </c>
      <c r="U44" s="125" t="s">
        <v>39</v>
      </c>
      <c r="V44" s="125" t="s">
        <v>39</v>
      </c>
      <c r="W44" s="125" t="s">
        <v>39</v>
      </c>
      <c r="X44" s="125" t="s">
        <v>39</v>
      </c>
      <c r="Y44" s="125" t="s">
        <v>39</v>
      </c>
      <c r="Z44" s="125">
        <v>50.0</v>
      </c>
      <c r="AA44" s="125" t="s">
        <v>39</v>
      </c>
      <c r="AB44" s="125" t="s">
        <v>39</v>
      </c>
      <c r="AC44" s="125" t="s">
        <v>39</v>
      </c>
      <c r="AD44" s="125" t="s">
        <v>39</v>
      </c>
      <c r="AE44" s="125">
        <v>140.0</v>
      </c>
      <c r="AF44" s="125" t="s">
        <v>39</v>
      </c>
      <c r="AG44" s="125">
        <v>321.0</v>
      </c>
      <c r="AH44" s="125" t="s">
        <v>39</v>
      </c>
      <c r="AI44" s="125">
        <v>300.0</v>
      </c>
      <c r="AJ44" s="125" t="s">
        <v>39</v>
      </c>
      <c r="AK44" s="125" t="s">
        <v>39</v>
      </c>
      <c r="AL44" s="125">
        <v>26492.2</v>
      </c>
      <c r="AM44" s="126">
        <v>27668.2</v>
      </c>
      <c r="AN44" s="130">
        <v>0.0</v>
      </c>
      <c r="AO44" s="116"/>
      <c r="AP44" s="116"/>
      <c r="AQ44" s="116"/>
      <c r="AR44" s="116"/>
      <c r="AS44" s="116"/>
      <c r="AT44" s="116"/>
      <c r="AU44" s="116"/>
      <c r="AV44" s="116"/>
    </row>
    <row r="45" ht="15.75" customHeight="1">
      <c r="A45" s="131" t="s">
        <v>109</v>
      </c>
      <c r="B45" s="132">
        <v>150490.77</v>
      </c>
      <c r="C45" s="132">
        <v>968.17</v>
      </c>
      <c r="D45" s="132" t="s">
        <v>39</v>
      </c>
      <c r="E45" s="132">
        <v>59596.18</v>
      </c>
      <c r="F45" s="132">
        <v>161173.75</v>
      </c>
      <c r="G45" s="132">
        <v>39658.77</v>
      </c>
      <c r="H45" s="132" t="s">
        <v>39</v>
      </c>
      <c r="I45" s="132">
        <v>243560.41</v>
      </c>
      <c r="J45" s="132">
        <v>120459.93</v>
      </c>
      <c r="K45" s="132">
        <v>11106.57</v>
      </c>
      <c r="L45" s="132">
        <v>51802.88</v>
      </c>
      <c r="M45" s="132">
        <v>26284.27</v>
      </c>
      <c r="N45" s="132">
        <v>567.24</v>
      </c>
      <c r="O45" s="132" t="s">
        <v>39</v>
      </c>
      <c r="P45" s="132">
        <v>49665.24</v>
      </c>
      <c r="Q45" s="132">
        <v>12263.69</v>
      </c>
      <c r="R45" s="132">
        <v>60902.78</v>
      </c>
      <c r="S45" s="132">
        <v>52452.05</v>
      </c>
      <c r="T45" s="132">
        <v>30380.88</v>
      </c>
      <c r="U45" s="132">
        <v>22354.9</v>
      </c>
      <c r="V45" s="132">
        <v>43771.18</v>
      </c>
      <c r="W45" s="132">
        <v>23515.46</v>
      </c>
      <c r="X45" s="132">
        <v>17335.67</v>
      </c>
      <c r="Y45" s="132">
        <v>27123.62</v>
      </c>
      <c r="Z45" s="132">
        <v>48177.68</v>
      </c>
      <c r="AA45" s="132">
        <v>24116.76</v>
      </c>
      <c r="AB45" s="132">
        <v>12576.38</v>
      </c>
      <c r="AC45" s="132">
        <v>53348.5</v>
      </c>
      <c r="AD45" s="132">
        <v>118026.36</v>
      </c>
      <c r="AE45" s="132">
        <v>14024.39</v>
      </c>
      <c r="AF45" s="132">
        <v>38175.15</v>
      </c>
      <c r="AG45" s="132">
        <v>35844.75</v>
      </c>
      <c r="AH45" s="132">
        <v>13517.03</v>
      </c>
      <c r="AI45" s="132">
        <v>142433.16</v>
      </c>
      <c r="AJ45" s="132">
        <v>11110.54</v>
      </c>
      <c r="AK45" s="132">
        <v>2185.69</v>
      </c>
      <c r="AL45" s="132">
        <v>1188205.28</v>
      </c>
      <c r="AM45" s="132">
        <v>2907176.08</v>
      </c>
      <c r="AN45" s="134">
        <v>1.0</v>
      </c>
      <c r="AO45" s="116"/>
      <c r="AP45" s="116"/>
      <c r="AQ45" s="116"/>
      <c r="AR45" s="116"/>
      <c r="AS45" s="116"/>
      <c r="AT45" s="116"/>
      <c r="AU45" s="116"/>
      <c r="AV45" s="116"/>
    </row>
    <row r="46" ht="15.75" customHeight="1">
      <c r="A46" s="123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30"/>
      <c r="AN46" s="123"/>
      <c r="AO46" s="116"/>
      <c r="AP46" s="116"/>
      <c r="AQ46" s="116"/>
      <c r="AR46" s="116"/>
      <c r="AS46" s="116"/>
      <c r="AT46" s="116"/>
      <c r="AU46" s="116"/>
      <c r="AV46" s="116"/>
    </row>
    <row r="47" ht="15.75" customHeight="1">
      <c r="A47" s="131" t="s">
        <v>14</v>
      </c>
      <c r="B47" s="132">
        <v>162509.23</v>
      </c>
      <c r="C47" s="132">
        <v>104531.83</v>
      </c>
      <c r="D47" s="132" t="s">
        <v>39</v>
      </c>
      <c r="E47" s="132">
        <v>29053.82</v>
      </c>
      <c r="F47" s="132">
        <v>111726.25</v>
      </c>
      <c r="G47" s="132">
        <v>11284.83</v>
      </c>
      <c r="H47" s="132" t="s">
        <v>39</v>
      </c>
      <c r="I47" s="132">
        <v>221339.59</v>
      </c>
      <c r="J47" s="132">
        <v>69381.07</v>
      </c>
      <c r="K47" s="132">
        <v>7893.43</v>
      </c>
      <c r="L47" s="132">
        <v>36497.11</v>
      </c>
      <c r="M47" s="132">
        <v>51315.73</v>
      </c>
      <c r="N47" s="132">
        <v>15432.76</v>
      </c>
      <c r="O47" s="132" t="s">
        <v>39</v>
      </c>
      <c r="P47" s="132">
        <v>28584.76</v>
      </c>
      <c r="Q47" s="132">
        <v>11736.31</v>
      </c>
      <c r="R47" s="132">
        <v>36847.22</v>
      </c>
      <c r="S47" s="132">
        <v>26047.95</v>
      </c>
      <c r="T47" s="132">
        <v>25369.12</v>
      </c>
      <c r="U47" s="132">
        <v>33895.1</v>
      </c>
      <c r="V47" s="132">
        <v>14578.82</v>
      </c>
      <c r="W47" s="132">
        <v>12484.54</v>
      </c>
      <c r="X47" s="132">
        <v>20664.33</v>
      </c>
      <c r="Y47" s="132">
        <v>9876.38</v>
      </c>
      <c r="Z47" s="132">
        <v>38322.32</v>
      </c>
      <c r="AA47" s="132">
        <v>13883.24</v>
      </c>
      <c r="AB47" s="132">
        <v>6923.62</v>
      </c>
      <c r="AC47" s="132">
        <v>31151.5</v>
      </c>
      <c r="AD47" s="132">
        <v>134473.64</v>
      </c>
      <c r="AE47" s="132">
        <v>41725.61</v>
      </c>
      <c r="AF47" s="132">
        <v>19824.85</v>
      </c>
      <c r="AG47" s="132">
        <v>25655.25</v>
      </c>
      <c r="AH47" s="132">
        <v>4982.97</v>
      </c>
      <c r="AI47" s="132">
        <v>84728.14</v>
      </c>
      <c r="AJ47" s="132">
        <v>7589.46</v>
      </c>
      <c r="AK47" s="132">
        <v>-2185.69</v>
      </c>
      <c r="AL47" s="132">
        <v>-1188205.28</v>
      </c>
      <c r="AM47" s="132">
        <v>259919.81</v>
      </c>
      <c r="AN47" s="123"/>
      <c r="AO47" s="116"/>
      <c r="AP47" s="116"/>
      <c r="AQ47" s="116"/>
      <c r="AR47" s="116"/>
      <c r="AS47" s="116"/>
      <c r="AT47" s="116"/>
      <c r="AU47" s="116"/>
      <c r="AV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7"/>
      <c r="AN48" s="116"/>
      <c r="AO48" s="116"/>
      <c r="AP48" s="116"/>
      <c r="AQ48" s="116"/>
      <c r="AR48" s="116"/>
      <c r="AS48" s="116"/>
      <c r="AT48" s="116"/>
      <c r="AU48" s="116"/>
      <c r="AV48" s="116"/>
    </row>
    <row r="49" ht="15.7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43">
        <v>193435.8</v>
      </c>
      <c r="AN49" s="117" t="s">
        <v>111</v>
      </c>
      <c r="AP49" s="116"/>
      <c r="AQ49" s="116"/>
      <c r="AR49" s="116"/>
      <c r="AS49" s="116"/>
      <c r="AT49" s="116"/>
      <c r="AU49" s="116"/>
      <c r="AV49" s="116"/>
    </row>
    <row r="50" ht="15.7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44">
        <v>-38449.1</v>
      </c>
      <c r="AN50" s="145" t="s">
        <v>112</v>
      </c>
      <c r="AO50" s="116"/>
      <c r="AP50" s="116"/>
      <c r="AQ50" s="116"/>
      <c r="AR50" s="116"/>
      <c r="AS50" s="116"/>
      <c r="AT50" s="116"/>
      <c r="AU50" s="116"/>
      <c r="AV50" s="11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N2"/>
    <mergeCell ref="A3:AN3"/>
    <mergeCell ref="A4:AN4"/>
    <mergeCell ref="B7:AN7"/>
    <mergeCell ref="A14:AN14"/>
    <mergeCell ref="AN49:AO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3.0"/>
    <col customWidth="1" min="3" max="3" width="10.38"/>
    <col customWidth="1" min="4" max="4" width="10.5"/>
    <col customWidth="1" min="5" max="5" width="8.5"/>
    <col customWidth="1" min="6" max="6" width="11.88"/>
    <col customWidth="1" min="7" max="7" width="19.13"/>
    <col customWidth="1" min="8" max="8" width="11.75"/>
    <col customWidth="1" min="9" max="9" width="9.5"/>
    <col customWidth="1" min="10" max="10" width="15.63"/>
    <col customWidth="1" min="11" max="11" width="12.75"/>
    <col customWidth="1" min="12" max="12" width="13.38"/>
    <col customWidth="1" min="13" max="13" width="13.13"/>
    <col customWidth="1" min="14" max="14" width="11.75"/>
    <col customWidth="1" min="15" max="15" width="12.38"/>
    <col customWidth="1" min="16" max="16" width="12.75"/>
    <col customWidth="1" min="17" max="17" width="12.63"/>
    <col customWidth="1" min="18" max="18" width="22.63"/>
    <col customWidth="1" min="19" max="19" width="11.13"/>
    <col customWidth="1" min="20" max="20" width="17.25"/>
    <col customWidth="1" min="21" max="21" width="8.13"/>
    <col customWidth="1" min="22" max="22" width="14.0"/>
    <col customWidth="1" min="23" max="23" width="9.5"/>
    <col customWidth="1" min="24" max="24" width="22.25"/>
    <col customWidth="1" min="25" max="25" width="11.25"/>
    <col customWidth="1" min="26" max="26" width="14.38"/>
    <col customWidth="1" min="27" max="27" width="17.13"/>
    <col customWidth="1" min="28" max="28" width="10.5"/>
    <col customWidth="1" min="29" max="29" width="13.0"/>
    <col customWidth="1" min="30" max="30" width="15.0"/>
    <col customWidth="1" min="31" max="31" width="17.63"/>
    <col customWidth="1" min="32" max="32" width="10.5"/>
    <col customWidth="1" min="33" max="33" width="9.5"/>
    <col customWidth="1" min="34" max="34" width="10.25"/>
    <col customWidth="1" min="35" max="35" width="15.5"/>
    <col customWidth="1" min="36" max="36" width="15.13"/>
    <col customWidth="1" min="37" max="37" width="8.38"/>
    <col customWidth="1" min="38" max="38" width="8.25"/>
    <col customWidth="1" min="39" max="39" width="12.25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7"/>
      <c r="AM1" s="116"/>
      <c r="AN1" s="116"/>
      <c r="AO1" s="116"/>
    </row>
    <row r="2" ht="15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7"/>
      <c r="AM2" s="116"/>
      <c r="AN2" s="116"/>
      <c r="AO2" s="116"/>
    </row>
    <row r="3" ht="15.75" customHeight="1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7"/>
      <c r="AM3" s="116"/>
      <c r="AN3" s="116"/>
      <c r="AO3" s="116"/>
    </row>
    <row r="4" ht="15.75" customHeight="1">
      <c r="A4" s="14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7"/>
      <c r="AM4" s="116"/>
      <c r="AN4" s="116"/>
      <c r="AO4" s="116"/>
    </row>
    <row r="5" ht="15.75" customHeigh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7"/>
      <c r="AM5" s="116"/>
      <c r="AN5" s="116"/>
      <c r="AO5" s="116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</row>
    <row r="6" ht="15.75" customHeight="1">
      <c r="A6" s="118" t="s">
        <v>28</v>
      </c>
      <c r="B6" s="121" t="s">
        <v>21</v>
      </c>
      <c r="C6" s="121" t="s">
        <v>64</v>
      </c>
      <c r="D6" s="118" t="s">
        <v>65</v>
      </c>
      <c r="E6" s="121" t="s">
        <v>66</v>
      </c>
      <c r="F6" s="121" t="s">
        <v>67</v>
      </c>
      <c r="G6" s="121" t="s">
        <v>68</v>
      </c>
      <c r="H6" s="118" t="s">
        <v>69</v>
      </c>
      <c r="I6" s="121" t="s">
        <v>70</v>
      </c>
      <c r="J6" s="121" t="s">
        <v>71</v>
      </c>
      <c r="K6" s="121" t="s">
        <v>72</v>
      </c>
      <c r="L6" s="121" t="s">
        <v>73</v>
      </c>
      <c r="M6" s="121" t="s">
        <v>74</v>
      </c>
      <c r="N6" s="121" t="s">
        <v>75</v>
      </c>
      <c r="O6" s="121" t="s">
        <v>76</v>
      </c>
      <c r="P6" s="121" t="s">
        <v>77</v>
      </c>
      <c r="Q6" s="121" t="s">
        <v>78</v>
      </c>
      <c r="R6" s="121" t="s">
        <v>79</v>
      </c>
      <c r="S6" s="121" t="s">
        <v>80</v>
      </c>
      <c r="T6" s="121" t="s">
        <v>81</v>
      </c>
      <c r="U6" s="121" t="s">
        <v>82</v>
      </c>
      <c r="V6" s="121" t="s">
        <v>83</v>
      </c>
      <c r="W6" s="121" t="s">
        <v>84</v>
      </c>
      <c r="X6" s="121" t="s">
        <v>85</v>
      </c>
      <c r="Y6" s="121" t="s">
        <v>86</v>
      </c>
      <c r="Z6" s="121" t="s">
        <v>87</v>
      </c>
      <c r="AA6" s="121" t="s">
        <v>88</v>
      </c>
      <c r="AB6" s="121" t="s">
        <v>89</v>
      </c>
      <c r="AC6" s="121" t="s">
        <v>90</v>
      </c>
      <c r="AD6" s="121" t="s">
        <v>91</v>
      </c>
      <c r="AE6" s="121" t="s">
        <v>93</v>
      </c>
      <c r="AF6" s="121" t="s">
        <v>94</v>
      </c>
      <c r="AG6" s="121" t="s">
        <v>95</v>
      </c>
      <c r="AH6" s="121" t="s">
        <v>96</v>
      </c>
      <c r="AI6" s="121" t="s">
        <v>97</v>
      </c>
      <c r="AJ6" s="121" t="s">
        <v>98</v>
      </c>
      <c r="AK6" s="121" t="s">
        <v>99</v>
      </c>
      <c r="AL6" s="118" t="s">
        <v>100</v>
      </c>
      <c r="AM6" s="118" t="s">
        <v>30</v>
      </c>
      <c r="AN6" s="116"/>
      <c r="AO6" s="116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</row>
    <row r="7" ht="15.7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7"/>
      <c r="AM7" s="116"/>
      <c r="AN7" s="116"/>
      <c r="AO7" s="116"/>
    </row>
    <row r="8" ht="15.75" customHeight="1">
      <c r="A8" s="116" t="s">
        <v>102</v>
      </c>
      <c r="B8" s="138">
        <v>313000.0</v>
      </c>
      <c r="C8" s="138">
        <v>105500.0</v>
      </c>
      <c r="D8" s="138">
        <v>56750.0</v>
      </c>
      <c r="E8" s="138">
        <v>88650.0</v>
      </c>
      <c r="F8" s="138">
        <v>272900.0</v>
      </c>
      <c r="G8" s="138">
        <v>50943.6</v>
      </c>
      <c r="H8" s="138"/>
      <c r="I8" s="138">
        <v>464900.0</v>
      </c>
      <c r="J8" s="138">
        <v>190108.38</v>
      </c>
      <c r="K8" s="138">
        <v>19000.0</v>
      </c>
      <c r="L8" s="138">
        <v>88299.99</v>
      </c>
      <c r="M8" s="125">
        <v>53600.0</v>
      </c>
      <c r="N8" s="138" t="s">
        <v>39</v>
      </c>
      <c r="O8" s="138">
        <v>78250.0</v>
      </c>
      <c r="P8" s="138">
        <v>24000.0</v>
      </c>
      <c r="Q8" s="138">
        <v>97750.0</v>
      </c>
      <c r="R8" s="138">
        <v>98250.0</v>
      </c>
      <c r="S8" s="138">
        <v>55750.0</v>
      </c>
      <c r="T8" s="138">
        <v>56250.0</v>
      </c>
      <c r="U8" s="138">
        <v>54000.0</v>
      </c>
      <c r="V8" s="138">
        <v>36000.0</v>
      </c>
      <c r="W8" s="138">
        <v>38000.0</v>
      </c>
      <c r="X8" s="138">
        <v>8354.85</v>
      </c>
      <c r="Y8" s="138">
        <v>86500.0</v>
      </c>
      <c r="Z8" s="138">
        <v>38000.0</v>
      </c>
      <c r="AA8" s="138">
        <v>19500.0</v>
      </c>
      <c r="AB8" s="138">
        <v>84500.0</v>
      </c>
      <c r="AC8" s="138">
        <v>252500.0</v>
      </c>
      <c r="AD8" s="138">
        <v>55750.0</v>
      </c>
      <c r="AE8" s="138">
        <v>57200.0</v>
      </c>
      <c r="AF8" s="138">
        <v>61500.0</v>
      </c>
      <c r="AG8" s="138">
        <v>18500.0</v>
      </c>
      <c r="AH8" s="138">
        <v>230600.0</v>
      </c>
      <c r="AI8" s="138">
        <v>18700.0</v>
      </c>
      <c r="AJ8" s="138"/>
      <c r="AK8" s="138"/>
      <c r="AL8" s="147">
        <v>3173506.82</v>
      </c>
      <c r="AM8" s="127">
        <v>0.99</v>
      </c>
      <c r="AN8" s="128"/>
      <c r="AO8" s="128"/>
      <c r="AP8" s="129"/>
      <c r="AQ8" s="129"/>
      <c r="AR8" s="129"/>
      <c r="AS8" s="129"/>
      <c r="AT8" s="129"/>
      <c r="AU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</row>
    <row r="9" ht="15.75" customHeight="1">
      <c r="A9" s="116" t="s">
        <v>113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25">
        <v>21600.0</v>
      </c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47">
        <v>21600.0</v>
      </c>
      <c r="AM9" s="127">
        <v>0.01</v>
      </c>
      <c r="AN9" s="116"/>
      <c r="AO9" s="116"/>
    </row>
    <row r="10" ht="15.75" customHeight="1">
      <c r="A10" s="116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47" t="s">
        <v>39</v>
      </c>
      <c r="AM10" s="127">
        <v>0.0</v>
      </c>
      <c r="AN10" s="116"/>
      <c r="AO10" s="116"/>
    </row>
    <row r="11" ht="15.75" customHeight="1">
      <c r="A11" s="116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47" t="s">
        <v>39</v>
      </c>
      <c r="AM11" s="127">
        <v>0.0</v>
      </c>
      <c r="AN11" s="116"/>
      <c r="AO11" s="116"/>
    </row>
    <row r="12" ht="15.75" customHeight="1">
      <c r="A12" s="116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47" t="s">
        <v>39</v>
      </c>
      <c r="AM12" s="127">
        <v>0.0</v>
      </c>
      <c r="AN12" s="116"/>
      <c r="AO12" s="116"/>
    </row>
    <row r="13" ht="15.75" customHeight="1">
      <c r="A13" s="131" t="s">
        <v>104</v>
      </c>
      <c r="B13" s="132">
        <v>313000.0</v>
      </c>
      <c r="C13" s="132">
        <v>105500.0</v>
      </c>
      <c r="D13" s="132">
        <v>56750.0</v>
      </c>
      <c r="E13" s="132">
        <v>88650.0</v>
      </c>
      <c r="F13" s="132">
        <v>272900.0</v>
      </c>
      <c r="G13" s="132">
        <v>50943.6</v>
      </c>
      <c r="H13" s="132" t="s">
        <v>39</v>
      </c>
      <c r="I13" s="132">
        <v>464900.0</v>
      </c>
      <c r="J13" s="132">
        <v>190108.38</v>
      </c>
      <c r="K13" s="132">
        <v>19000.0</v>
      </c>
      <c r="L13" s="132">
        <v>88299.99</v>
      </c>
      <c r="M13" s="132">
        <v>75200.0</v>
      </c>
      <c r="N13" s="132" t="s">
        <v>39</v>
      </c>
      <c r="O13" s="132">
        <v>78250.0</v>
      </c>
      <c r="P13" s="132">
        <v>24000.0</v>
      </c>
      <c r="Q13" s="132">
        <v>97750.0</v>
      </c>
      <c r="R13" s="132">
        <v>98250.0</v>
      </c>
      <c r="S13" s="132">
        <v>55750.0</v>
      </c>
      <c r="T13" s="132">
        <v>56250.0</v>
      </c>
      <c r="U13" s="132">
        <v>54000.0</v>
      </c>
      <c r="V13" s="132">
        <v>36000.0</v>
      </c>
      <c r="W13" s="132">
        <v>38000.0</v>
      </c>
      <c r="X13" s="132">
        <v>8354.85</v>
      </c>
      <c r="Y13" s="132">
        <v>86500.0</v>
      </c>
      <c r="Z13" s="132">
        <v>38000.0</v>
      </c>
      <c r="AA13" s="132">
        <v>19500.0</v>
      </c>
      <c r="AB13" s="132">
        <v>84500.0</v>
      </c>
      <c r="AC13" s="132">
        <v>252500.0</v>
      </c>
      <c r="AD13" s="132">
        <v>55750.0</v>
      </c>
      <c r="AE13" s="132">
        <v>57200.0</v>
      </c>
      <c r="AF13" s="132">
        <v>61500.0</v>
      </c>
      <c r="AG13" s="132">
        <v>18500.0</v>
      </c>
      <c r="AH13" s="132">
        <v>230600.0</v>
      </c>
      <c r="AI13" s="132">
        <v>18700.0</v>
      </c>
      <c r="AJ13" s="132" t="s">
        <v>39</v>
      </c>
      <c r="AK13" s="132" t="s">
        <v>39</v>
      </c>
      <c r="AL13" s="132">
        <v>3195106.82</v>
      </c>
      <c r="AM13" s="134">
        <v>1.0</v>
      </c>
      <c r="AN13" s="128"/>
      <c r="AO13" s="128"/>
      <c r="AP13" s="129"/>
      <c r="AQ13" s="129"/>
      <c r="AR13" s="129"/>
      <c r="AS13" s="129"/>
      <c r="AT13" s="129"/>
      <c r="AU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</row>
    <row r="14" ht="15.75" customHeight="1">
      <c r="A14" s="116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47"/>
      <c r="AM14" s="116"/>
      <c r="AN14" s="116"/>
      <c r="AO14" s="116"/>
    </row>
    <row r="15" ht="15.75" customHeight="1">
      <c r="A15" s="116" t="s">
        <v>31</v>
      </c>
      <c r="B15" s="138">
        <v>120111.06</v>
      </c>
      <c r="C15" s="138" t="s">
        <v>39</v>
      </c>
      <c r="D15" s="138">
        <v>29572.32</v>
      </c>
      <c r="E15" s="138">
        <v>46868.56</v>
      </c>
      <c r="F15" s="138">
        <v>122229.25</v>
      </c>
      <c r="G15" s="138">
        <v>30426.32</v>
      </c>
      <c r="H15" s="138"/>
      <c r="I15" s="138">
        <v>187450.2</v>
      </c>
      <c r="J15" s="138">
        <v>83274.4</v>
      </c>
      <c r="K15" s="138">
        <v>8535.0</v>
      </c>
      <c r="L15" s="138">
        <v>38099.32</v>
      </c>
      <c r="M15" s="138">
        <v>19797.84</v>
      </c>
      <c r="N15" s="138" t="s">
        <v>39</v>
      </c>
      <c r="O15" s="138">
        <v>25396.6</v>
      </c>
      <c r="P15" s="138">
        <v>9435.0</v>
      </c>
      <c r="Q15" s="138">
        <v>42506.7</v>
      </c>
      <c r="R15" s="138">
        <v>36643.32</v>
      </c>
      <c r="S15" s="138">
        <v>11858.84</v>
      </c>
      <c r="T15" s="138">
        <v>25997.86</v>
      </c>
      <c r="U15" s="138">
        <v>21381.78</v>
      </c>
      <c r="V15" s="138">
        <v>17838.0</v>
      </c>
      <c r="W15" s="138">
        <v>8819.0</v>
      </c>
      <c r="X15" s="138">
        <v>13427.39</v>
      </c>
      <c r="Y15" s="138">
        <v>40880.44</v>
      </c>
      <c r="Z15" s="138">
        <v>18568.18</v>
      </c>
      <c r="AA15" s="138">
        <v>8805.0</v>
      </c>
      <c r="AB15" s="138">
        <v>39787.3</v>
      </c>
      <c r="AC15" s="138">
        <v>111197.39</v>
      </c>
      <c r="AD15" s="138">
        <v>11731.33</v>
      </c>
      <c r="AE15" s="138">
        <v>29302.88</v>
      </c>
      <c r="AF15" s="138">
        <v>25576.0</v>
      </c>
      <c r="AG15" s="138">
        <v>9085.0</v>
      </c>
      <c r="AH15" s="138">
        <v>89574.93</v>
      </c>
      <c r="AI15" s="138">
        <v>8245.0</v>
      </c>
      <c r="AJ15" s="138"/>
      <c r="AK15" s="148">
        <v>311883.68</v>
      </c>
      <c r="AL15" s="147">
        <v>1604305.89</v>
      </c>
      <c r="AM15" s="127">
        <v>0.56</v>
      </c>
      <c r="AN15" s="128"/>
      <c r="AO15" s="128"/>
      <c r="AP15" s="129"/>
      <c r="AQ15" s="129"/>
      <c r="AR15" s="129"/>
      <c r="AS15" s="129"/>
      <c r="AT15" s="129"/>
      <c r="AU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</row>
    <row r="16" ht="15.75" customHeight="1">
      <c r="A16" s="116" t="s">
        <v>32</v>
      </c>
      <c r="B16" s="138">
        <v>16345.36</v>
      </c>
      <c r="C16" s="138" t="s">
        <v>39</v>
      </c>
      <c r="D16" s="138">
        <v>3682.71</v>
      </c>
      <c r="E16" s="138">
        <v>6417.41</v>
      </c>
      <c r="F16" s="138">
        <v>17693.71</v>
      </c>
      <c r="G16" s="138">
        <v>3853.38</v>
      </c>
      <c r="H16" s="138"/>
      <c r="I16" s="138">
        <v>26462.35</v>
      </c>
      <c r="J16" s="138">
        <v>12391.56</v>
      </c>
      <c r="K16" s="138">
        <v>1282.74</v>
      </c>
      <c r="L16" s="138">
        <v>5132.44</v>
      </c>
      <c r="M16" s="138">
        <v>2625.42</v>
      </c>
      <c r="N16" s="138" t="s">
        <v>39</v>
      </c>
      <c r="O16" s="138">
        <v>3521.62</v>
      </c>
      <c r="P16" s="138">
        <v>1283.47</v>
      </c>
      <c r="Q16" s="138">
        <v>6478.31</v>
      </c>
      <c r="R16" s="138">
        <v>5878.21</v>
      </c>
      <c r="S16" s="138">
        <v>1338.74</v>
      </c>
      <c r="T16" s="138">
        <v>3850.45</v>
      </c>
      <c r="U16" s="138">
        <v>3021.2</v>
      </c>
      <c r="V16" s="138">
        <v>2568.43</v>
      </c>
      <c r="W16" s="138">
        <v>1283.47</v>
      </c>
      <c r="X16" s="138">
        <v>635.66</v>
      </c>
      <c r="Y16" s="138">
        <v>6428.5</v>
      </c>
      <c r="Z16" s="138">
        <v>2569.91</v>
      </c>
      <c r="AA16" s="138">
        <v>1284.22</v>
      </c>
      <c r="AB16" s="138">
        <v>5798.92</v>
      </c>
      <c r="AC16" s="138">
        <v>13894.43</v>
      </c>
      <c r="AD16" s="138">
        <v>1739.39</v>
      </c>
      <c r="AE16" s="138">
        <v>3885.59</v>
      </c>
      <c r="AF16" s="138">
        <v>3848.19</v>
      </c>
      <c r="AG16" s="138">
        <v>1282.71</v>
      </c>
      <c r="AH16" s="138">
        <v>14562.35</v>
      </c>
      <c r="AI16" s="138">
        <v>1282.74</v>
      </c>
      <c r="AJ16" s="138"/>
      <c r="AK16" s="148">
        <v>17675.62</v>
      </c>
      <c r="AL16" s="147">
        <v>199999.21</v>
      </c>
      <c r="AM16" s="127">
        <v>0.07</v>
      </c>
      <c r="AN16" s="138"/>
      <c r="AO16" s="138"/>
      <c r="AP16" s="139"/>
      <c r="AQ16" s="139"/>
      <c r="AR16" s="139"/>
      <c r="AS16" s="139"/>
      <c r="AT16" s="139"/>
      <c r="AU16" s="139"/>
      <c r="AW16" s="139"/>
      <c r="AX16" s="139"/>
      <c r="AZ16" s="139"/>
      <c r="BA16" s="139"/>
      <c r="BB16" s="139"/>
      <c r="BC16" s="139"/>
      <c r="BE16" s="139"/>
      <c r="BF16" s="139"/>
      <c r="BG16" s="139"/>
    </row>
    <row r="17" ht="15.75" customHeight="1">
      <c r="A17" s="116" t="s">
        <v>33</v>
      </c>
      <c r="B17" s="138">
        <v>9819.43</v>
      </c>
      <c r="C17" s="138" t="s">
        <v>39</v>
      </c>
      <c r="D17" s="138">
        <v>1858.06</v>
      </c>
      <c r="E17" s="138">
        <v>3782.99</v>
      </c>
      <c r="F17" s="138">
        <v>10771.64</v>
      </c>
      <c r="G17" s="138">
        <v>2273.72</v>
      </c>
      <c r="H17" s="138"/>
      <c r="I17" s="138">
        <v>16310.3</v>
      </c>
      <c r="J17" s="138">
        <v>7153.88</v>
      </c>
      <c r="K17" s="138">
        <v>755.61</v>
      </c>
      <c r="L17" s="138">
        <v>3024.42</v>
      </c>
      <c r="M17" s="138">
        <v>1962.69</v>
      </c>
      <c r="N17" s="138" t="s">
        <v>39</v>
      </c>
      <c r="O17" s="138">
        <v>1802.03</v>
      </c>
      <c r="P17" s="138">
        <v>756.59</v>
      </c>
      <c r="Q17" s="138">
        <v>3864.13</v>
      </c>
      <c r="R17" s="138">
        <v>3325.03</v>
      </c>
      <c r="S17" s="138">
        <v>830.22</v>
      </c>
      <c r="T17" s="138">
        <v>1996.21</v>
      </c>
      <c r="U17" s="138">
        <v>2062.59</v>
      </c>
      <c r="V17" s="138">
        <v>1515.16</v>
      </c>
      <c r="W17" s="138">
        <v>756.59</v>
      </c>
      <c r="X17" s="138">
        <v>195.96</v>
      </c>
      <c r="Y17" s="138">
        <v>3797.79</v>
      </c>
      <c r="Z17" s="138">
        <v>1517.14</v>
      </c>
      <c r="AA17" s="138">
        <v>757.59</v>
      </c>
      <c r="AB17" s="138">
        <v>2894.05</v>
      </c>
      <c r="AC17" s="138">
        <v>8999.27</v>
      </c>
      <c r="AD17" s="138">
        <v>1265.46</v>
      </c>
      <c r="AE17" s="138">
        <v>2316.62</v>
      </c>
      <c r="AF17" s="138">
        <v>2266.81</v>
      </c>
      <c r="AG17" s="138">
        <v>755.59</v>
      </c>
      <c r="AH17" s="138">
        <v>7910.19</v>
      </c>
      <c r="AI17" s="138">
        <v>755.61</v>
      </c>
      <c r="AJ17" s="138"/>
      <c r="AK17" s="148">
        <v>12960.92</v>
      </c>
      <c r="AL17" s="147">
        <v>121014.29</v>
      </c>
      <c r="AM17" s="127">
        <v>0.04</v>
      </c>
      <c r="AN17" s="138"/>
      <c r="AO17" s="138"/>
      <c r="AP17" s="139"/>
      <c r="AQ17" s="139"/>
      <c r="AR17" s="139"/>
      <c r="AS17" s="139"/>
      <c r="AT17" s="139"/>
      <c r="AU17" s="139"/>
      <c r="AW17" s="139"/>
      <c r="AX17" s="139"/>
      <c r="AZ17" s="139"/>
      <c r="BA17" s="139"/>
      <c r="BC17" s="139"/>
      <c r="BF17" s="139"/>
    </row>
    <row r="18" ht="15.75" customHeight="1">
      <c r="A18" s="116" t="s">
        <v>34</v>
      </c>
      <c r="B18" s="138">
        <v>5779.1</v>
      </c>
      <c r="C18" s="138" t="s">
        <v>39</v>
      </c>
      <c r="D18" s="138">
        <v>1101.79</v>
      </c>
      <c r="E18" s="138">
        <v>2243.23</v>
      </c>
      <c r="F18" s="138">
        <v>6366.92</v>
      </c>
      <c r="G18" s="138">
        <v>1348.27</v>
      </c>
      <c r="H18" s="138"/>
      <c r="I18" s="138">
        <v>9811.4</v>
      </c>
      <c r="J18" s="138">
        <v>4242.11</v>
      </c>
      <c r="K18" s="138">
        <v>448.06</v>
      </c>
      <c r="L18" s="138">
        <v>1793.42</v>
      </c>
      <c r="M18" s="138">
        <v>1163.83</v>
      </c>
      <c r="N18" s="138" t="s">
        <v>39</v>
      </c>
      <c r="O18" s="138">
        <v>1068.57</v>
      </c>
      <c r="P18" s="138">
        <v>448.64</v>
      </c>
      <c r="Q18" s="138">
        <v>2291.35</v>
      </c>
      <c r="R18" s="138">
        <v>2044.9</v>
      </c>
      <c r="S18" s="138">
        <v>492.3</v>
      </c>
      <c r="T18" s="138">
        <v>1183.71</v>
      </c>
      <c r="U18" s="138">
        <v>1223.07</v>
      </c>
      <c r="V18" s="138">
        <v>898.46</v>
      </c>
      <c r="W18" s="138">
        <v>448.64</v>
      </c>
      <c r="X18" s="138">
        <v>116.2</v>
      </c>
      <c r="Y18" s="138">
        <v>2252.02</v>
      </c>
      <c r="Z18" s="138">
        <v>899.63</v>
      </c>
      <c r="AA18" s="138">
        <v>449.24</v>
      </c>
      <c r="AB18" s="138">
        <v>1716.12</v>
      </c>
      <c r="AC18" s="138">
        <v>5336.38</v>
      </c>
      <c r="AD18" s="138">
        <v>750.39</v>
      </c>
      <c r="AE18" s="138">
        <v>1373.71</v>
      </c>
      <c r="AF18" s="138">
        <v>1344.17</v>
      </c>
      <c r="AG18" s="138">
        <v>448.05</v>
      </c>
      <c r="AH18" s="138">
        <v>4690.58</v>
      </c>
      <c r="AI18" s="138">
        <v>448.06</v>
      </c>
      <c r="AJ18" s="138"/>
      <c r="AK18" s="148">
        <v>7267.12</v>
      </c>
      <c r="AL18" s="147">
        <v>71489.44</v>
      </c>
      <c r="AM18" s="127">
        <v>0.03</v>
      </c>
      <c r="AN18" s="138"/>
      <c r="AO18" s="138"/>
      <c r="AP18" s="139"/>
      <c r="AQ18" s="139"/>
      <c r="AR18" s="139"/>
      <c r="AS18" s="139"/>
      <c r="AT18" s="139"/>
      <c r="AU18" s="139"/>
      <c r="AW18" s="139"/>
      <c r="AX18" s="139"/>
      <c r="AZ18" s="139"/>
      <c r="BA18" s="139"/>
      <c r="BC18" s="139"/>
      <c r="BF18" s="139"/>
    </row>
    <row r="19" ht="15.75" customHeight="1">
      <c r="A19" s="149" t="s">
        <v>35</v>
      </c>
      <c r="B19" s="138">
        <v>5163.99</v>
      </c>
      <c r="C19" s="138" t="s">
        <v>39</v>
      </c>
      <c r="D19" s="138">
        <v>1271.42</v>
      </c>
      <c r="E19" s="138">
        <v>2015.04</v>
      </c>
      <c r="F19" s="138">
        <v>5255.05</v>
      </c>
      <c r="G19" s="138">
        <v>1308.13</v>
      </c>
      <c r="H19" s="138"/>
      <c r="I19" s="138">
        <v>8059.13</v>
      </c>
      <c r="J19" s="138">
        <v>3580.25</v>
      </c>
      <c r="K19" s="138">
        <v>366.95</v>
      </c>
      <c r="L19" s="138">
        <v>1638.02</v>
      </c>
      <c r="M19" s="138">
        <v>851.18</v>
      </c>
      <c r="N19" s="138" t="s">
        <v>39</v>
      </c>
      <c r="O19" s="138">
        <v>1091.89</v>
      </c>
      <c r="P19" s="138">
        <v>405.64</v>
      </c>
      <c r="Q19" s="138">
        <v>1827.51</v>
      </c>
      <c r="R19" s="138">
        <v>1575.42</v>
      </c>
      <c r="S19" s="138">
        <v>509.85</v>
      </c>
      <c r="T19" s="138">
        <v>1117.74</v>
      </c>
      <c r="U19" s="138">
        <v>919.28</v>
      </c>
      <c r="V19" s="138">
        <v>766.92</v>
      </c>
      <c r="W19" s="138">
        <v>379.16</v>
      </c>
      <c r="X19" s="138">
        <v>577.29</v>
      </c>
      <c r="Y19" s="138">
        <v>1757.59</v>
      </c>
      <c r="Z19" s="138">
        <v>798.31</v>
      </c>
      <c r="AA19" s="138">
        <v>378.56</v>
      </c>
      <c r="AB19" s="138">
        <v>1710.59</v>
      </c>
      <c r="AC19" s="138">
        <v>4780.76</v>
      </c>
      <c r="AD19" s="138">
        <v>504.37</v>
      </c>
      <c r="AE19" s="138">
        <v>1259.83</v>
      </c>
      <c r="AF19" s="138">
        <v>1099.6</v>
      </c>
      <c r="AG19" s="138">
        <v>390.6</v>
      </c>
      <c r="AH19" s="138">
        <v>3851.13</v>
      </c>
      <c r="AI19" s="138">
        <v>354.48</v>
      </c>
      <c r="AJ19" s="138"/>
      <c r="AK19" s="148">
        <v>8490.16</v>
      </c>
      <c r="AL19" s="147">
        <v>64055.84</v>
      </c>
      <c r="AM19" s="127">
        <v>0.02</v>
      </c>
      <c r="AN19" s="138"/>
      <c r="AO19" s="138"/>
      <c r="AP19" s="139"/>
      <c r="AQ19" s="139"/>
      <c r="AR19" s="139"/>
      <c r="AS19" s="139"/>
      <c r="AT19" s="139"/>
      <c r="AU19" s="139"/>
      <c r="AW19" s="139"/>
      <c r="AZ19" s="139"/>
      <c r="BC19" s="139"/>
      <c r="BF19" s="139"/>
    </row>
    <row r="20" ht="15.75" customHeight="1">
      <c r="A20" s="116" t="s">
        <v>36</v>
      </c>
      <c r="B20" s="138" t="s">
        <v>39</v>
      </c>
      <c r="C20" s="138" t="s">
        <v>39</v>
      </c>
      <c r="D20" s="138" t="s">
        <v>39</v>
      </c>
      <c r="E20" s="138" t="s">
        <v>39</v>
      </c>
      <c r="F20" s="138" t="s">
        <v>39</v>
      </c>
      <c r="G20" s="138" t="s">
        <v>39</v>
      </c>
      <c r="H20" s="138"/>
      <c r="I20" s="138" t="s">
        <v>39</v>
      </c>
      <c r="J20" s="138" t="s">
        <v>39</v>
      </c>
      <c r="K20" s="138" t="s">
        <v>39</v>
      </c>
      <c r="L20" s="138" t="s">
        <v>39</v>
      </c>
      <c r="M20" s="138" t="s">
        <v>39</v>
      </c>
      <c r="N20" s="138" t="s">
        <v>39</v>
      </c>
      <c r="O20" s="138" t="s">
        <v>39</v>
      </c>
      <c r="P20" s="138" t="s">
        <v>39</v>
      </c>
      <c r="Q20" s="138" t="s">
        <v>39</v>
      </c>
      <c r="R20" s="138" t="s">
        <v>39</v>
      </c>
      <c r="S20" s="138" t="s">
        <v>39</v>
      </c>
      <c r="T20" s="138" t="s">
        <v>39</v>
      </c>
      <c r="U20" s="138" t="s">
        <v>39</v>
      </c>
      <c r="V20" s="138" t="s">
        <v>39</v>
      </c>
      <c r="W20" s="138" t="s">
        <v>39</v>
      </c>
      <c r="X20" s="138" t="s">
        <v>39</v>
      </c>
      <c r="Y20" s="138" t="s">
        <v>39</v>
      </c>
      <c r="Z20" s="138" t="s">
        <v>39</v>
      </c>
      <c r="AA20" s="138" t="s">
        <v>39</v>
      </c>
      <c r="AB20" s="138" t="s">
        <v>39</v>
      </c>
      <c r="AC20" s="138" t="s">
        <v>39</v>
      </c>
      <c r="AD20" s="138" t="s">
        <v>39</v>
      </c>
      <c r="AE20" s="138" t="s">
        <v>39</v>
      </c>
      <c r="AF20" s="138" t="s">
        <v>39</v>
      </c>
      <c r="AG20" s="138" t="s">
        <v>39</v>
      </c>
      <c r="AH20" s="138" t="s">
        <v>39</v>
      </c>
      <c r="AI20" s="138" t="s">
        <v>39</v>
      </c>
      <c r="AJ20" s="138"/>
      <c r="AK20" s="148">
        <v>1447.0</v>
      </c>
      <c r="AL20" s="147">
        <v>1447.0</v>
      </c>
      <c r="AM20" s="127">
        <v>0.0</v>
      </c>
      <c r="AN20" s="116"/>
      <c r="AO20" s="116"/>
    </row>
    <row r="21" ht="15.75" customHeight="1">
      <c r="A21" s="116" t="s">
        <v>37</v>
      </c>
      <c r="B21" s="138" t="s">
        <v>39</v>
      </c>
      <c r="C21" s="138" t="s">
        <v>39</v>
      </c>
      <c r="D21" s="138" t="s">
        <v>39</v>
      </c>
      <c r="E21" s="138" t="s">
        <v>39</v>
      </c>
      <c r="F21" s="138" t="s">
        <v>39</v>
      </c>
      <c r="G21" s="138" t="s">
        <v>39</v>
      </c>
      <c r="H21" s="138"/>
      <c r="I21" s="138" t="s">
        <v>39</v>
      </c>
      <c r="J21" s="138" t="s">
        <v>39</v>
      </c>
      <c r="K21" s="138" t="s">
        <v>39</v>
      </c>
      <c r="L21" s="138" t="s">
        <v>39</v>
      </c>
      <c r="M21" s="138" t="s">
        <v>39</v>
      </c>
      <c r="N21" s="138" t="s">
        <v>39</v>
      </c>
      <c r="O21" s="138" t="s">
        <v>39</v>
      </c>
      <c r="P21" s="138" t="s">
        <v>39</v>
      </c>
      <c r="Q21" s="138" t="s">
        <v>39</v>
      </c>
      <c r="R21" s="138" t="s">
        <v>39</v>
      </c>
      <c r="S21" s="138" t="s">
        <v>39</v>
      </c>
      <c r="T21" s="138" t="s">
        <v>39</v>
      </c>
      <c r="U21" s="138" t="s">
        <v>39</v>
      </c>
      <c r="V21" s="138" t="s">
        <v>39</v>
      </c>
      <c r="W21" s="138" t="s">
        <v>39</v>
      </c>
      <c r="X21" s="138" t="s">
        <v>39</v>
      </c>
      <c r="Y21" s="138" t="s">
        <v>39</v>
      </c>
      <c r="Z21" s="138" t="s">
        <v>39</v>
      </c>
      <c r="AA21" s="138" t="s">
        <v>39</v>
      </c>
      <c r="AB21" s="138" t="s">
        <v>39</v>
      </c>
      <c r="AC21" s="138" t="s">
        <v>39</v>
      </c>
      <c r="AD21" s="138" t="s">
        <v>39</v>
      </c>
      <c r="AE21" s="138" t="s">
        <v>39</v>
      </c>
      <c r="AF21" s="138" t="s">
        <v>39</v>
      </c>
      <c r="AG21" s="138" t="s">
        <v>39</v>
      </c>
      <c r="AH21" s="138" t="s">
        <v>39</v>
      </c>
      <c r="AI21" s="138">
        <v>4400.0</v>
      </c>
      <c r="AJ21" s="138"/>
      <c r="AK21" s="148">
        <v>985.0</v>
      </c>
      <c r="AL21" s="147">
        <v>5385.0</v>
      </c>
      <c r="AM21" s="127">
        <v>0.0</v>
      </c>
      <c r="AN21" s="116"/>
      <c r="AO21" s="116"/>
    </row>
    <row r="22" ht="15.75" customHeight="1">
      <c r="A22" s="116" t="s">
        <v>38</v>
      </c>
      <c r="B22" s="138">
        <v>5440.0</v>
      </c>
      <c r="C22" s="138" t="s">
        <v>39</v>
      </c>
      <c r="D22" s="138">
        <v>2040.0</v>
      </c>
      <c r="E22" s="138" t="s">
        <v>39</v>
      </c>
      <c r="F22" s="138">
        <v>3400.0</v>
      </c>
      <c r="G22" s="138">
        <v>1360.0</v>
      </c>
      <c r="H22" s="138"/>
      <c r="I22" s="138">
        <v>5650.0</v>
      </c>
      <c r="J22" s="138">
        <v>6120.0</v>
      </c>
      <c r="K22" s="138">
        <v>680.0</v>
      </c>
      <c r="L22" s="138">
        <v>3400.0</v>
      </c>
      <c r="M22" s="138">
        <v>4080.0</v>
      </c>
      <c r="N22" s="138" t="s">
        <v>39</v>
      </c>
      <c r="O22" s="138">
        <v>1360.0</v>
      </c>
      <c r="P22" s="138" t="s">
        <v>39</v>
      </c>
      <c r="Q22" s="138" t="s">
        <v>39</v>
      </c>
      <c r="R22" s="138">
        <v>2040.0</v>
      </c>
      <c r="S22" s="138">
        <v>1360.0</v>
      </c>
      <c r="T22" s="138">
        <v>1360.0</v>
      </c>
      <c r="U22" s="138" t="s">
        <v>39</v>
      </c>
      <c r="V22" s="138" t="s">
        <v>39</v>
      </c>
      <c r="W22" s="138" t="s">
        <v>39</v>
      </c>
      <c r="X22" s="138" t="s">
        <v>39</v>
      </c>
      <c r="Y22" s="138">
        <v>2040.0</v>
      </c>
      <c r="Z22" s="138" t="s">
        <v>39</v>
      </c>
      <c r="AA22" s="138">
        <v>680.0</v>
      </c>
      <c r="AB22" s="138">
        <v>2720.0</v>
      </c>
      <c r="AC22" s="138">
        <v>7480.0</v>
      </c>
      <c r="AD22" s="138">
        <v>1360.0</v>
      </c>
      <c r="AE22" s="138">
        <v>1360.0</v>
      </c>
      <c r="AF22" s="138">
        <v>2040.0</v>
      </c>
      <c r="AG22" s="138">
        <v>680.0</v>
      </c>
      <c r="AH22" s="138">
        <v>8160.0</v>
      </c>
      <c r="AI22" s="138" t="s">
        <v>39</v>
      </c>
      <c r="AJ22" s="138"/>
      <c r="AK22" s="148">
        <v>6660.0</v>
      </c>
      <c r="AL22" s="147">
        <v>71470.0</v>
      </c>
      <c r="AM22" s="127">
        <v>0.03</v>
      </c>
      <c r="AN22" s="116"/>
      <c r="AO22" s="116"/>
      <c r="AT22" s="129"/>
    </row>
    <row r="23" ht="15.75" customHeight="1">
      <c r="A23" s="116" t="s">
        <v>40</v>
      </c>
      <c r="B23" s="138" t="s">
        <v>39</v>
      </c>
      <c r="C23" s="138" t="s">
        <v>39</v>
      </c>
      <c r="D23" s="138" t="s">
        <v>39</v>
      </c>
      <c r="E23" s="138" t="s">
        <v>39</v>
      </c>
      <c r="F23" s="138" t="s">
        <v>39</v>
      </c>
      <c r="G23" s="138" t="s">
        <v>39</v>
      </c>
      <c r="H23" s="138"/>
      <c r="I23" s="138" t="s">
        <v>39</v>
      </c>
      <c r="J23" s="138" t="s">
        <v>39</v>
      </c>
      <c r="K23" s="138" t="s">
        <v>39</v>
      </c>
      <c r="L23" s="138" t="s">
        <v>39</v>
      </c>
      <c r="M23" s="138" t="s">
        <v>39</v>
      </c>
      <c r="N23" s="138" t="s">
        <v>39</v>
      </c>
      <c r="O23" s="138" t="s">
        <v>39</v>
      </c>
      <c r="P23" s="138" t="s">
        <v>39</v>
      </c>
      <c r="Q23" s="138" t="s">
        <v>39</v>
      </c>
      <c r="R23" s="138" t="s">
        <v>39</v>
      </c>
      <c r="S23" s="138" t="s">
        <v>39</v>
      </c>
      <c r="T23" s="138" t="s">
        <v>39</v>
      </c>
      <c r="U23" s="138" t="s">
        <v>39</v>
      </c>
      <c r="V23" s="138" t="s">
        <v>39</v>
      </c>
      <c r="W23" s="138" t="s">
        <v>39</v>
      </c>
      <c r="X23" s="138" t="s">
        <v>39</v>
      </c>
      <c r="Y23" s="138" t="s">
        <v>39</v>
      </c>
      <c r="Z23" s="138" t="s">
        <v>39</v>
      </c>
      <c r="AA23" s="138" t="s">
        <v>39</v>
      </c>
      <c r="AB23" s="138" t="s">
        <v>39</v>
      </c>
      <c r="AC23" s="138" t="s">
        <v>39</v>
      </c>
      <c r="AD23" s="138" t="s">
        <v>39</v>
      </c>
      <c r="AE23" s="138" t="s">
        <v>39</v>
      </c>
      <c r="AF23" s="138" t="s">
        <v>39</v>
      </c>
      <c r="AG23" s="138" t="s">
        <v>39</v>
      </c>
      <c r="AH23" s="138" t="s">
        <v>39</v>
      </c>
      <c r="AI23" s="138" t="s">
        <v>39</v>
      </c>
      <c r="AJ23" s="138"/>
      <c r="AK23" s="148">
        <v>1293.0</v>
      </c>
      <c r="AL23" s="147">
        <v>1293.0</v>
      </c>
      <c r="AM23" s="127">
        <v>0.0</v>
      </c>
      <c r="AN23" s="116"/>
      <c r="AO23" s="116"/>
    </row>
    <row r="24" ht="15.75" customHeight="1">
      <c r="A24" s="116" t="s">
        <v>41</v>
      </c>
      <c r="B24" s="138">
        <v>283.62</v>
      </c>
      <c r="C24" s="138">
        <v>283.62</v>
      </c>
      <c r="D24" s="138" t="s">
        <v>39</v>
      </c>
      <c r="E24" s="138">
        <v>283.62</v>
      </c>
      <c r="F24" s="138">
        <v>283.62</v>
      </c>
      <c r="G24" s="138">
        <v>283.62</v>
      </c>
      <c r="H24" s="138"/>
      <c r="I24" s="138">
        <v>283.62</v>
      </c>
      <c r="J24" s="138">
        <v>283.62</v>
      </c>
      <c r="K24" s="138" t="s">
        <v>39</v>
      </c>
      <c r="L24" s="138">
        <v>283.62</v>
      </c>
      <c r="M24" s="138">
        <v>283.62</v>
      </c>
      <c r="N24" s="138" t="s">
        <v>39</v>
      </c>
      <c r="O24" s="138">
        <v>283.62</v>
      </c>
      <c r="P24" s="138">
        <v>283.62</v>
      </c>
      <c r="Q24" s="138">
        <v>567.24</v>
      </c>
      <c r="R24" s="138">
        <v>283.62</v>
      </c>
      <c r="S24" s="138">
        <v>283.62</v>
      </c>
      <c r="T24" s="138">
        <v>283.62</v>
      </c>
      <c r="U24" s="138">
        <v>283.62</v>
      </c>
      <c r="V24" s="138">
        <v>283.62</v>
      </c>
      <c r="W24" s="138">
        <v>283.62</v>
      </c>
      <c r="X24" s="138">
        <v>283.62</v>
      </c>
      <c r="Y24" s="138">
        <v>283.62</v>
      </c>
      <c r="Z24" s="138">
        <v>283.62</v>
      </c>
      <c r="AA24" s="138">
        <v>283.62</v>
      </c>
      <c r="AB24" s="138">
        <v>567.24</v>
      </c>
      <c r="AC24" s="138">
        <v>283.62</v>
      </c>
      <c r="AD24" s="138">
        <v>283.62</v>
      </c>
      <c r="AE24" s="138">
        <v>283.62</v>
      </c>
      <c r="AF24" s="138">
        <v>283.62</v>
      </c>
      <c r="AG24" s="138">
        <v>283.62</v>
      </c>
      <c r="AH24" s="138">
        <v>567.24</v>
      </c>
      <c r="AI24" s="138">
        <v>283.62</v>
      </c>
      <c r="AJ24" s="138"/>
      <c r="AK24" s="148">
        <v>4314.67</v>
      </c>
      <c r="AL24" s="147">
        <v>13674.13</v>
      </c>
      <c r="AM24" s="127">
        <v>0.0</v>
      </c>
      <c r="AN24" s="116"/>
      <c r="AO24" s="116"/>
    </row>
    <row r="25" ht="15.75" customHeight="1">
      <c r="A25" s="116" t="s">
        <v>42</v>
      </c>
      <c r="B25" s="138">
        <v>91.84</v>
      </c>
      <c r="C25" s="138">
        <v>65.6</v>
      </c>
      <c r="D25" s="138" t="s">
        <v>39</v>
      </c>
      <c r="E25" s="138">
        <v>385.36</v>
      </c>
      <c r="F25" s="138">
        <v>274.73</v>
      </c>
      <c r="G25" s="138">
        <v>41.64</v>
      </c>
      <c r="H25" s="138"/>
      <c r="I25" s="138">
        <v>429.69</v>
      </c>
      <c r="J25" s="138">
        <v>391.59</v>
      </c>
      <c r="K25" s="138">
        <v>114.53</v>
      </c>
      <c r="L25" s="138">
        <v>127.3</v>
      </c>
      <c r="M25" s="138">
        <v>78.8</v>
      </c>
      <c r="N25" s="138" t="s">
        <v>39</v>
      </c>
      <c r="O25" s="138">
        <v>296.62</v>
      </c>
      <c r="P25" s="138">
        <v>78.13</v>
      </c>
      <c r="Q25" s="138">
        <v>335.25</v>
      </c>
      <c r="R25" s="138">
        <v>181.63</v>
      </c>
      <c r="S25" s="138">
        <v>87.52</v>
      </c>
      <c r="T25" s="138">
        <v>206.51</v>
      </c>
      <c r="U25" s="138" t="s">
        <v>39</v>
      </c>
      <c r="V25" s="138" t="s">
        <v>39</v>
      </c>
      <c r="W25" s="138">
        <v>61.14</v>
      </c>
      <c r="X25" s="138" t="s">
        <v>39</v>
      </c>
      <c r="Y25" s="138">
        <v>200.17</v>
      </c>
      <c r="Z25" s="138">
        <v>32.66</v>
      </c>
      <c r="AA25" s="138">
        <v>45.23</v>
      </c>
      <c r="AB25" s="138">
        <v>113.5</v>
      </c>
      <c r="AC25" s="138">
        <v>164.55</v>
      </c>
      <c r="AD25" s="138">
        <v>24.65</v>
      </c>
      <c r="AE25" s="138">
        <v>52.78</v>
      </c>
      <c r="AF25" s="138">
        <v>109.91</v>
      </c>
      <c r="AG25" s="138">
        <v>68.4</v>
      </c>
      <c r="AH25" s="138">
        <v>124.92</v>
      </c>
      <c r="AI25" s="138" t="s">
        <v>39</v>
      </c>
      <c r="AJ25" s="138"/>
      <c r="AK25" s="148">
        <v>2653.51</v>
      </c>
      <c r="AL25" s="147">
        <v>6838.16</v>
      </c>
      <c r="AM25" s="127">
        <v>0.0</v>
      </c>
      <c r="AN25" s="116"/>
      <c r="AO25" s="116"/>
    </row>
    <row r="26" ht="15.75" customHeight="1">
      <c r="A26" s="116" t="s">
        <v>43</v>
      </c>
      <c r="B26" s="138" t="s">
        <v>39</v>
      </c>
      <c r="C26" s="138" t="s">
        <v>39</v>
      </c>
      <c r="D26" s="138" t="s">
        <v>39</v>
      </c>
      <c r="E26" s="138" t="s">
        <v>39</v>
      </c>
      <c r="F26" s="138" t="s">
        <v>39</v>
      </c>
      <c r="G26" s="138" t="s">
        <v>39</v>
      </c>
      <c r="H26" s="138"/>
      <c r="I26" s="138" t="s">
        <v>39</v>
      </c>
      <c r="J26" s="138" t="s">
        <v>39</v>
      </c>
      <c r="K26" s="138" t="s">
        <v>39</v>
      </c>
      <c r="L26" s="138" t="s">
        <v>39</v>
      </c>
      <c r="M26" s="138" t="s">
        <v>39</v>
      </c>
      <c r="N26" s="138" t="s">
        <v>39</v>
      </c>
      <c r="O26" s="138" t="s">
        <v>39</v>
      </c>
      <c r="P26" s="138" t="s">
        <v>39</v>
      </c>
      <c r="Q26" s="138" t="s">
        <v>39</v>
      </c>
      <c r="R26" s="138" t="s">
        <v>39</v>
      </c>
      <c r="S26" s="138" t="s">
        <v>39</v>
      </c>
      <c r="T26" s="138" t="s">
        <v>39</v>
      </c>
      <c r="U26" s="138" t="s">
        <v>39</v>
      </c>
      <c r="V26" s="138" t="s">
        <v>39</v>
      </c>
      <c r="W26" s="138" t="s">
        <v>39</v>
      </c>
      <c r="X26" s="138" t="s">
        <v>39</v>
      </c>
      <c r="Y26" s="138" t="s">
        <v>39</v>
      </c>
      <c r="Z26" s="138" t="s">
        <v>39</v>
      </c>
      <c r="AA26" s="138" t="s">
        <v>39</v>
      </c>
      <c r="AB26" s="138" t="s">
        <v>39</v>
      </c>
      <c r="AC26" s="138" t="s">
        <v>39</v>
      </c>
      <c r="AD26" s="138" t="s">
        <v>39</v>
      </c>
      <c r="AE26" s="138" t="s">
        <v>39</v>
      </c>
      <c r="AF26" s="138" t="s">
        <v>39</v>
      </c>
      <c r="AG26" s="138" t="s">
        <v>39</v>
      </c>
      <c r="AH26" s="138" t="s">
        <v>39</v>
      </c>
      <c r="AI26" s="138" t="s">
        <v>39</v>
      </c>
      <c r="AJ26" s="138"/>
      <c r="AK26" s="148">
        <v>44837.96</v>
      </c>
      <c r="AL26" s="147">
        <v>44837.96</v>
      </c>
      <c r="AM26" s="127">
        <v>0.02</v>
      </c>
      <c r="AN26" s="116"/>
      <c r="AO26" s="116"/>
    </row>
    <row r="27" ht="15.75" customHeight="1">
      <c r="A27" s="116" t="s">
        <v>44</v>
      </c>
      <c r="B27" s="138" t="s">
        <v>39</v>
      </c>
      <c r="C27" s="138" t="s">
        <v>39</v>
      </c>
      <c r="D27" s="138" t="s">
        <v>39</v>
      </c>
      <c r="E27" s="138" t="s">
        <v>39</v>
      </c>
      <c r="F27" s="138" t="s">
        <v>39</v>
      </c>
      <c r="G27" s="138" t="s">
        <v>39</v>
      </c>
      <c r="H27" s="138"/>
      <c r="I27" s="138" t="s">
        <v>39</v>
      </c>
      <c r="J27" s="138" t="s">
        <v>39</v>
      </c>
      <c r="K27" s="138" t="s">
        <v>39</v>
      </c>
      <c r="L27" s="138" t="s">
        <v>39</v>
      </c>
      <c r="M27" s="138" t="s">
        <v>39</v>
      </c>
      <c r="N27" s="138" t="s">
        <v>39</v>
      </c>
      <c r="O27" s="138" t="s">
        <v>39</v>
      </c>
      <c r="P27" s="138" t="s">
        <v>39</v>
      </c>
      <c r="Q27" s="138" t="s">
        <v>39</v>
      </c>
      <c r="R27" s="138" t="s">
        <v>39</v>
      </c>
      <c r="S27" s="138" t="s">
        <v>39</v>
      </c>
      <c r="T27" s="138" t="s">
        <v>39</v>
      </c>
      <c r="U27" s="138" t="s">
        <v>39</v>
      </c>
      <c r="V27" s="138" t="s">
        <v>39</v>
      </c>
      <c r="W27" s="138" t="s">
        <v>39</v>
      </c>
      <c r="X27" s="138" t="s">
        <v>39</v>
      </c>
      <c r="Y27" s="138" t="s">
        <v>39</v>
      </c>
      <c r="Z27" s="138" t="s">
        <v>39</v>
      </c>
      <c r="AA27" s="138" t="s">
        <v>39</v>
      </c>
      <c r="AB27" s="138" t="s">
        <v>39</v>
      </c>
      <c r="AC27" s="138" t="s">
        <v>39</v>
      </c>
      <c r="AD27" s="138" t="s">
        <v>39</v>
      </c>
      <c r="AE27" s="138" t="s">
        <v>39</v>
      </c>
      <c r="AF27" s="138" t="s">
        <v>39</v>
      </c>
      <c r="AG27" s="138" t="s">
        <v>39</v>
      </c>
      <c r="AH27" s="138" t="s">
        <v>39</v>
      </c>
      <c r="AI27" s="138" t="s">
        <v>39</v>
      </c>
      <c r="AJ27" s="138"/>
      <c r="AK27" s="148">
        <v>0.0</v>
      </c>
      <c r="AL27" s="147" t="s">
        <v>39</v>
      </c>
      <c r="AM27" s="127">
        <v>0.0</v>
      </c>
      <c r="AN27" s="116"/>
      <c r="AO27" s="116"/>
      <c r="AV27" s="129"/>
      <c r="BC27" s="129"/>
    </row>
    <row r="28" ht="15.75" customHeight="1">
      <c r="A28" s="116" t="s">
        <v>45</v>
      </c>
      <c r="B28" s="138" t="s">
        <v>39</v>
      </c>
      <c r="C28" s="138" t="s">
        <v>39</v>
      </c>
      <c r="D28" s="138" t="s">
        <v>39</v>
      </c>
      <c r="E28" s="138" t="s">
        <v>39</v>
      </c>
      <c r="F28" s="138" t="s">
        <v>39</v>
      </c>
      <c r="G28" s="138" t="s">
        <v>39</v>
      </c>
      <c r="H28" s="138"/>
      <c r="I28" s="138" t="s">
        <v>39</v>
      </c>
      <c r="J28" s="138" t="s">
        <v>39</v>
      </c>
      <c r="K28" s="138" t="s">
        <v>39</v>
      </c>
      <c r="L28" s="138" t="s">
        <v>39</v>
      </c>
      <c r="M28" s="138" t="s">
        <v>39</v>
      </c>
      <c r="N28" s="138" t="s">
        <v>39</v>
      </c>
      <c r="O28" s="138" t="s">
        <v>39</v>
      </c>
      <c r="P28" s="138" t="s">
        <v>39</v>
      </c>
      <c r="Q28" s="138" t="s">
        <v>39</v>
      </c>
      <c r="R28" s="138" t="s">
        <v>39</v>
      </c>
      <c r="S28" s="138" t="s">
        <v>39</v>
      </c>
      <c r="T28" s="138" t="s">
        <v>39</v>
      </c>
      <c r="U28" s="138" t="s">
        <v>39</v>
      </c>
      <c r="V28" s="138" t="s">
        <v>39</v>
      </c>
      <c r="W28" s="138" t="s">
        <v>39</v>
      </c>
      <c r="X28" s="138" t="s">
        <v>39</v>
      </c>
      <c r="Y28" s="138" t="s">
        <v>39</v>
      </c>
      <c r="Z28" s="138" t="s">
        <v>39</v>
      </c>
      <c r="AA28" s="138" t="s">
        <v>39</v>
      </c>
      <c r="AB28" s="138" t="s">
        <v>39</v>
      </c>
      <c r="AC28" s="138" t="s">
        <v>39</v>
      </c>
      <c r="AD28" s="138" t="s">
        <v>39</v>
      </c>
      <c r="AE28" s="138" t="s">
        <v>39</v>
      </c>
      <c r="AF28" s="138" t="s">
        <v>39</v>
      </c>
      <c r="AG28" s="138" t="s">
        <v>39</v>
      </c>
      <c r="AH28" s="138" t="s">
        <v>39</v>
      </c>
      <c r="AI28" s="138" t="s">
        <v>39</v>
      </c>
      <c r="AJ28" s="138"/>
      <c r="AK28" s="148">
        <v>0.0</v>
      </c>
      <c r="AL28" s="147" t="s">
        <v>39</v>
      </c>
      <c r="AM28" s="127">
        <v>0.0</v>
      </c>
      <c r="AN28" s="116"/>
      <c r="AO28" s="116"/>
    </row>
    <row r="29" ht="15.75" customHeight="1">
      <c r="A29" s="116" t="s">
        <v>46</v>
      </c>
      <c r="B29" s="138" t="s">
        <v>39</v>
      </c>
      <c r="C29" s="138" t="s">
        <v>39</v>
      </c>
      <c r="D29" s="138" t="s">
        <v>39</v>
      </c>
      <c r="E29" s="138" t="s">
        <v>39</v>
      </c>
      <c r="F29" s="138" t="s">
        <v>39</v>
      </c>
      <c r="G29" s="138" t="s">
        <v>39</v>
      </c>
      <c r="H29" s="138"/>
      <c r="I29" s="138" t="s">
        <v>39</v>
      </c>
      <c r="J29" s="138" t="s">
        <v>39</v>
      </c>
      <c r="K29" s="138" t="s">
        <v>39</v>
      </c>
      <c r="L29" s="138" t="s">
        <v>39</v>
      </c>
      <c r="M29" s="138" t="s">
        <v>39</v>
      </c>
      <c r="N29" s="138" t="s">
        <v>39</v>
      </c>
      <c r="O29" s="138" t="s">
        <v>39</v>
      </c>
      <c r="P29" s="138" t="s">
        <v>39</v>
      </c>
      <c r="Q29" s="138" t="s">
        <v>39</v>
      </c>
      <c r="R29" s="138" t="s">
        <v>39</v>
      </c>
      <c r="S29" s="138" t="s">
        <v>39</v>
      </c>
      <c r="T29" s="138" t="s">
        <v>39</v>
      </c>
      <c r="U29" s="138" t="s">
        <v>39</v>
      </c>
      <c r="V29" s="138" t="s">
        <v>39</v>
      </c>
      <c r="W29" s="138" t="s">
        <v>39</v>
      </c>
      <c r="X29" s="138" t="s">
        <v>39</v>
      </c>
      <c r="Y29" s="138" t="s">
        <v>39</v>
      </c>
      <c r="Z29" s="138" t="s">
        <v>39</v>
      </c>
      <c r="AA29" s="138" t="s">
        <v>39</v>
      </c>
      <c r="AB29" s="138" t="s">
        <v>39</v>
      </c>
      <c r="AC29" s="138" t="s">
        <v>39</v>
      </c>
      <c r="AD29" s="138" t="s">
        <v>39</v>
      </c>
      <c r="AE29" s="138" t="s">
        <v>39</v>
      </c>
      <c r="AF29" s="138" t="s">
        <v>39</v>
      </c>
      <c r="AG29" s="138" t="s">
        <v>39</v>
      </c>
      <c r="AH29" s="138" t="s">
        <v>39</v>
      </c>
      <c r="AI29" s="138" t="s">
        <v>39</v>
      </c>
      <c r="AJ29" s="138"/>
      <c r="AK29" s="148">
        <v>441.16</v>
      </c>
      <c r="AL29" s="147">
        <v>441.16</v>
      </c>
      <c r="AM29" s="127">
        <v>0.0</v>
      </c>
      <c r="AN29" s="128"/>
      <c r="AO29" s="128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</row>
    <row r="30" ht="15.75" customHeight="1">
      <c r="A30" s="116" t="s">
        <v>47</v>
      </c>
      <c r="B30" s="138" t="s">
        <v>39</v>
      </c>
      <c r="C30" s="138" t="s">
        <v>39</v>
      </c>
      <c r="D30" s="138" t="s">
        <v>39</v>
      </c>
      <c r="E30" s="138" t="s">
        <v>39</v>
      </c>
      <c r="F30" s="138" t="s">
        <v>39</v>
      </c>
      <c r="G30" s="138" t="s">
        <v>39</v>
      </c>
      <c r="H30" s="138"/>
      <c r="I30" s="138" t="s">
        <v>39</v>
      </c>
      <c r="J30" s="138" t="s">
        <v>39</v>
      </c>
      <c r="K30" s="138" t="s">
        <v>39</v>
      </c>
      <c r="L30" s="138" t="s">
        <v>39</v>
      </c>
      <c r="M30" s="138" t="s">
        <v>39</v>
      </c>
      <c r="N30" s="138" t="s">
        <v>39</v>
      </c>
      <c r="O30" s="138" t="s">
        <v>39</v>
      </c>
      <c r="P30" s="138" t="s">
        <v>39</v>
      </c>
      <c r="Q30" s="138" t="s">
        <v>39</v>
      </c>
      <c r="R30" s="138" t="s">
        <v>39</v>
      </c>
      <c r="S30" s="138" t="s">
        <v>39</v>
      </c>
      <c r="T30" s="138" t="s">
        <v>39</v>
      </c>
      <c r="U30" s="138" t="s">
        <v>39</v>
      </c>
      <c r="V30" s="138" t="s">
        <v>39</v>
      </c>
      <c r="W30" s="138" t="s">
        <v>39</v>
      </c>
      <c r="X30" s="138" t="s">
        <v>39</v>
      </c>
      <c r="Y30" s="138" t="s">
        <v>39</v>
      </c>
      <c r="Z30" s="138" t="s">
        <v>39</v>
      </c>
      <c r="AA30" s="138" t="s">
        <v>39</v>
      </c>
      <c r="AB30" s="138" t="s">
        <v>39</v>
      </c>
      <c r="AC30" s="138" t="s">
        <v>39</v>
      </c>
      <c r="AD30" s="138" t="s">
        <v>39</v>
      </c>
      <c r="AE30" s="138" t="s">
        <v>39</v>
      </c>
      <c r="AF30" s="138" t="s">
        <v>39</v>
      </c>
      <c r="AG30" s="138" t="s">
        <v>39</v>
      </c>
      <c r="AH30" s="138" t="s">
        <v>39</v>
      </c>
      <c r="AI30" s="138" t="s">
        <v>39</v>
      </c>
      <c r="AJ30" s="138"/>
      <c r="AK30" s="148">
        <v>0.0</v>
      </c>
      <c r="AL30" s="147" t="s">
        <v>39</v>
      </c>
      <c r="AM30" s="127">
        <v>0.0</v>
      </c>
      <c r="AN30" s="116"/>
      <c r="AO30" s="116"/>
    </row>
    <row r="31" ht="15.75" customHeight="1">
      <c r="A31" s="116" t="s">
        <v>48</v>
      </c>
      <c r="B31" s="138" t="s">
        <v>39</v>
      </c>
      <c r="C31" s="138" t="s">
        <v>39</v>
      </c>
      <c r="D31" s="138" t="s">
        <v>39</v>
      </c>
      <c r="E31" s="138" t="s">
        <v>39</v>
      </c>
      <c r="F31" s="138" t="s">
        <v>39</v>
      </c>
      <c r="G31" s="138" t="s">
        <v>39</v>
      </c>
      <c r="H31" s="138"/>
      <c r="I31" s="138" t="s">
        <v>39</v>
      </c>
      <c r="J31" s="138" t="s">
        <v>39</v>
      </c>
      <c r="K31" s="138" t="s">
        <v>39</v>
      </c>
      <c r="L31" s="138" t="s">
        <v>39</v>
      </c>
      <c r="M31" s="138" t="s">
        <v>39</v>
      </c>
      <c r="N31" s="138" t="s">
        <v>39</v>
      </c>
      <c r="O31" s="138" t="s">
        <v>39</v>
      </c>
      <c r="P31" s="138" t="s">
        <v>39</v>
      </c>
      <c r="Q31" s="138" t="s">
        <v>39</v>
      </c>
      <c r="R31" s="138" t="s">
        <v>39</v>
      </c>
      <c r="S31" s="138" t="s">
        <v>39</v>
      </c>
      <c r="T31" s="138" t="s">
        <v>39</v>
      </c>
      <c r="U31" s="138" t="s">
        <v>39</v>
      </c>
      <c r="V31" s="138" t="s">
        <v>39</v>
      </c>
      <c r="W31" s="138" t="s">
        <v>39</v>
      </c>
      <c r="X31" s="138" t="s">
        <v>39</v>
      </c>
      <c r="Y31" s="138" t="s">
        <v>39</v>
      </c>
      <c r="Z31" s="138" t="s">
        <v>39</v>
      </c>
      <c r="AA31" s="138" t="s">
        <v>39</v>
      </c>
      <c r="AB31" s="138" t="s">
        <v>39</v>
      </c>
      <c r="AC31" s="138" t="s">
        <v>39</v>
      </c>
      <c r="AD31" s="138" t="s">
        <v>39</v>
      </c>
      <c r="AE31" s="138" t="s">
        <v>39</v>
      </c>
      <c r="AF31" s="138" t="s">
        <v>39</v>
      </c>
      <c r="AG31" s="138" t="s">
        <v>39</v>
      </c>
      <c r="AH31" s="138" t="s">
        <v>39</v>
      </c>
      <c r="AI31" s="138" t="s">
        <v>39</v>
      </c>
      <c r="AJ31" s="138"/>
      <c r="AK31" s="148">
        <v>18703.14</v>
      </c>
      <c r="AL31" s="147">
        <v>18703.14</v>
      </c>
      <c r="AM31" s="127">
        <v>0.01</v>
      </c>
      <c r="AN31" s="128"/>
      <c r="AO31" s="128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</row>
    <row r="32" ht="15.75" customHeight="1">
      <c r="A32" s="116" t="s">
        <v>49</v>
      </c>
      <c r="B32" s="138" t="s">
        <v>39</v>
      </c>
      <c r="C32" s="138" t="s">
        <v>39</v>
      </c>
      <c r="D32" s="138" t="s">
        <v>39</v>
      </c>
      <c r="E32" s="138" t="s">
        <v>39</v>
      </c>
      <c r="F32" s="138" t="s">
        <v>39</v>
      </c>
      <c r="G32" s="138" t="s">
        <v>39</v>
      </c>
      <c r="H32" s="138"/>
      <c r="I32" s="138" t="s">
        <v>39</v>
      </c>
      <c r="J32" s="138" t="s">
        <v>39</v>
      </c>
      <c r="K32" s="138" t="s">
        <v>39</v>
      </c>
      <c r="L32" s="138" t="s">
        <v>39</v>
      </c>
      <c r="M32" s="138" t="s">
        <v>39</v>
      </c>
      <c r="N32" s="138" t="s">
        <v>39</v>
      </c>
      <c r="O32" s="138" t="s">
        <v>39</v>
      </c>
      <c r="P32" s="138" t="s">
        <v>39</v>
      </c>
      <c r="Q32" s="138" t="s">
        <v>39</v>
      </c>
      <c r="R32" s="138" t="s">
        <v>39</v>
      </c>
      <c r="S32" s="138" t="s">
        <v>39</v>
      </c>
      <c r="T32" s="138" t="s">
        <v>39</v>
      </c>
      <c r="U32" s="138" t="s">
        <v>39</v>
      </c>
      <c r="V32" s="138" t="s">
        <v>39</v>
      </c>
      <c r="W32" s="138" t="s">
        <v>39</v>
      </c>
      <c r="X32" s="138" t="s">
        <v>39</v>
      </c>
      <c r="Y32" s="138" t="s">
        <v>39</v>
      </c>
      <c r="Z32" s="138" t="s">
        <v>39</v>
      </c>
      <c r="AA32" s="138" t="s">
        <v>39</v>
      </c>
      <c r="AB32" s="138" t="s">
        <v>39</v>
      </c>
      <c r="AC32" s="138" t="s">
        <v>39</v>
      </c>
      <c r="AD32" s="138" t="s">
        <v>39</v>
      </c>
      <c r="AE32" s="138" t="s">
        <v>39</v>
      </c>
      <c r="AF32" s="138" t="s">
        <v>39</v>
      </c>
      <c r="AG32" s="138" t="s">
        <v>39</v>
      </c>
      <c r="AH32" s="138" t="s">
        <v>39</v>
      </c>
      <c r="AI32" s="138" t="s">
        <v>39</v>
      </c>
      <c r="AJ32" s="138"/>
      <c r="AK32" s="148">
        <v>0.0</v>
      </c>
      <c r="AL32" s="147" t="s">
        <v>39</v>
      </c>
      <c r="AM32" s="127">
        <v>0.0</v>
      </c>
      <c r="AN32" s="116"/>
      <c r="AO32" s="116"/>
    </row>
    <row r="33" ht="15.75" customHeight="1">
      <c r="A33" s="116" t="s">
        <v>106</v>
      </c>
      <c r="B33" s="138" t="s">
        <v>39</v>
      </c>
      <c r="C33" s="138" t="s">
        <v>39</v>
      </c>
      <c r="D33" s="138" t="s">
        <v>39</v>
      </c>
      <c r="E33" s="138" t="s">
        <v>39</v>
      </c>
      <c r="F33" s="138" t="s">
        <v>39</v>
      </c>
      <c r="G33" s="138" t="s">
        <v>39</v>
      </c>
      <c r="H33" s="138"/>
      <c r="I33" s="138" t="s">
        <v>39</v>
      </c>
      <c r="J33" s="138" t="s">
        <v>39</v>
      </c>
      <c r="K33" s="138" t="s">
        <v>39</v>
      </c>
      <c r="L33" s="138" t="s">
        <v>39</v>
      </c>
      <c r="M33" s="138" t="s">
        <v>39</v>
      </c>
      <c r="N33" s="138" t="s">
        <v>39</v>
      </c>
      <c r="O33" s="138" t="s">
        <v>39</v>
      </c>
      <c r="P33" s="138" t="s">
        <v>39</v>
      </c>
      <c r="Q33" s="138" t="s">
        <v>39</v>
      </c>
      <c r="R33" s="138" t="s">
        <v>39</v>
      </c>
      <c r="S33" s="138" t="s">
        <v>39</v>
      </c>
      <c r="T33" s="138" t="s">
        <v>39</v>
      </c>
      <c r="U33" s="138" t="s">
        <v>39</v>
      </c>
      <c r="V33" s="138" t="s">
        <v>39</v>
      </c>
      <c r="W33" s="138" t="s">
        <v>39</v>
      </c>
      <c r="X33" s="138" t="s">
        <v>39</v>
      </c>
      <c r="Y33" s="138" t="s">
        <v>39</v>
      </c>
      <c r="Z33" s="138" t="s">
        <v>39</v>
      </c>
      <c r="AA33" s="138" t="s">
        <v>39</v>
      </c>
      <c r="AB33" s="138" t="s">
        <v>39</v>
      </c>
      <c r="AC33" s="138" t="s">
        <v>39</v>
      </c>
      <c r="AD33" s="138" t="s">
        <v>39</v>
      </c>
      <c r="AE33" s="138" t="s">
        <v>39</v>
      </c>
      <c r="AF33" s="138" t="s">
        <v>39</v>
      </c>
      <c r="AG33" s="138" t="s">
        <v>39</v>
      </c>
      <c r="AH33" s="138" t="s">
        <v>39</v>
      </c>
      <c r="AI33" s="138" t="s">
        <v>39</v>
      </c>
      <c r="AJ33" s="138"/>
      <c r="AK33" s="148">
        <v>5000.0</v>
      </c>
      <c r="AL33" s="147">
        <v>5000.0</v>
      </c>
      <c r="AM33" s="127">
        <v>0.0</v>
      </c>
      <c r="AN33" s="116"/>
      <c r="AO33" s="116"/>
    </row>
    <row r="34" ht="15.75" customHeight="1">
      <c r="A34" s="116" t="s">
        <v>51</v>
      </c>
      <c r="B34" s="138" t="s">
        <v>39</v>
      </c>
      <c r="C34" s="138" t="s">
        <v>39</v>
      </c>
      <c r="D34" s="138">
        <v>215.52</v>
      </c>
      <c r="E34" s="138" t="s">
        <v>39</v>
      </c>
      <c r="F34" s="138" t="s">
        <v>39</v>
      </c>
      <c r="G34" s="138" t="s">
        <v>39</v>
      </c>
      <c r="H34" s="138"/>
      <c r="I34" s="138" t="s">
        <v>39</v>
      </c>
      <c r="J34" s="138" t="s">
        <v>39</v>
      </c>
      <c r="K34" s="138" t="s">
        <v>39</v>
      </c>
      <c r="L34" s="138" t="s">
        <v>39</v>
      </c>
      <c r="M34" s="138" t="s">
        <v>39</v>
      </c>
      <c r="N34" s="138" t="s">
        <v>39</v>
      </c>
      <c r="O34" s="138" t="s">
        <v>39</v>
      </c>
      <c r="P34" s="138" t="s">
        <v>39</v>
      </c>
      <c r="Q34" s="138" t="s">
        <v>39</v>
      </c>
      <c r="R34" s="138" t="s">
        <v>39</v>
      </c>
      <c r="S34" s="138" t="s">
        <v>39</v>
      </c>
      <c r="T34" s="138" t="s">
        <v>39</v>
      </c>
      <c r="U34" s="138" t="s">
        <v>39</v>
      </c>
      <c r="V34" s="138" t="s">
        <v>39</v>
      </c>
      <c r="W34" s="138" t="s">
        <v>39</v>
      </c>
      <c r="X34" s="138" t="s">
        <v>39</v>
      </c>
      <c r="Y34" s="138" t="s">
        <v>39</v>
      </c>
      <c r="Z34" s="138" t="s">
        <v>39</v>
      </c>
      <c r="AA34" s="138" t="s">
        <v>39</v>
      </c>
      <c r="AB34" s="138" t="s">
        <v>39</v>
      </c>
      <c r="AC34" s="138" t="s">
        <v>39</v>
      </c>
      <c r="AD34" s="138" t="s">
        <v>39</v>
      </c>
      <c r="AE34" s="138" t="s">
        <v>39</v>
      </c>
      <c r="AF34" s="138" t="s">
        <v>39</v>
      </c>
      <c r="AG34" s="138" t="s">
        <v>39</v>
      </c>
      <c r="AH34" s="138">
        <v>6060.0</v>
      </c>
      <c r="AI34" s="138" t="s">
        <v>39</v>
      </c>
      <c r="AJ34" s="138"/>
      <c r="AK34" s="148">
        <v>0.0</v>
      </c>
      <c r="AL34" s="147">
        <v>6275.52</v>
      </c>
      <c r="AM34" s="127">
        <v>0.0</v>
      </c>
      <c r="AN34" s="116"/>
      <c r="AO34" s="116"/>
    </row>
    <row r="35" ht="15.75" customHeight="1">
      <c r="A35" s="116" t="s">
        <v>52</v>
      </c>
      <c r="B35" s="138" t="s">
        <v>39</v>
      </c>
      <c r="C35" s="138" t="s">
        <v>39</v>
      </c>
      <c r="D35" s="138" t="s">
        <v>39</v>
      </c>
      <c r="E35" s="138" t="s">
        <v>39</v>
      </c>
      <c r="F35" s="138" t="s">
        <v>39</v>
      </c>
      <c r="G35" s="138" t="s">
        <v>39</v>
      </c>
      <c r="H35" s="138"/>
      <c r="I35" s="138" t="s">
        <v>39</v>
      </c>
      <c r="J35" s="138" t="s">
        <v>39</v>
      </c>
      <c r="K35" s="138" t="s">
        <v>39</v>
      </c>
      <c r="L35" s="138" t="s">
        <v>39</v>
      </c>
      <c r="M35" s="138" t="s">
        <v>39</v>
      </c>
      <c r="N35" s="138" t="s">
        <v>39</v>
      </c>
      <c r="O35" s="138" t="s">
        <v>39</v>
      </c>
      <c r="P35" s="138" t="s">
        <v>39</v>
      </c>
      <c r="Q35" s="138" t="s">
        <v>39</v>
      </c>
      <c r="R35" s="138" t="s">
        <v>39</v>
      </c>
      <c r="S35" s="138" t="s">
        <v>39</v>
      </c>
      <c r="T35" s="138" t="s">
        <v>39</v>
      </c>
      <c r="U35" s="138" t="s">
        <v>39</v>
      </c>
      <c r="V35" s="138" t="s">
        <v>39</v>
      </c>
      <c r="W35" s="138" t="s">
        <v>39</v>
      </c>
      <c r="X35" s="138" t="s">
        <v>39</v>
      </c>
      <c r="Y35" s="138" t="s">
        <v>39</v>
      </c>
      <c r="Z35" s="138" t="s">
        <v>39</v>
      </c>
      <c r="AA35" s="138" t="s">
        <v>39</v>
      </c>
      <c r="AB35" s="138" t="s">
        <v>39</v>
      </c>
      <c r="AC35" s="138" t="s">
        <v>39</v>
      </c>
      <c r="AD35" s="138" t="s">
        <v>39</v>
      </c>
      <c r="AE35" s="138" t="s">
        <v>39</v>
      </c>
      <c r="AF35" s="138" t="s">
        <v>39</v>
      </c>
      <c r="AG35" s="138" t="s">
        <v>39</v>
      </c>
      <c r="AH35" s="138" t="s">
        <v>39</v>
      </c>
      <c r="AI35" s="138" t="s">
        <v>39</v>
      </c>
      <c r="AJ35" s="138"/>
      <c r="AK35" s="148">
        <v>0.0</v>
      </c>
      <c r="AL35" s="147" t="s">
        <v>39</v>
      </c>
      <c r="AM35" s="127">
        <v>0.0</v>
      </c>
      <c r="AN35" s="116"/>
      <c r="AO35" s="116"/>
    </row>
    <row r="36" ht="15.75" customHeight="1">
      <c r="A36" s="116" t="s">
        <v>53</v>
      </c>
      <c r="B36" s="138" t="s">
        <v>39</v>
      </c>
      <c r="C36" s="138" t="s">
        <v>39</v>
      </c>
      <c r="D36" s="138" t="s">
        <v>39</v>
      </c>
      <c r="E36" s="138" t="s">
        <v>39</v>
      </c>
      <c r="F36" s="138" t="s">
        <v>39</v>
      </c>
      <c r="G36" s="138" t="s">
        <v>39</v>
      </c>
      <c r="H36" s="138"/>
      <c r="I36" s="138" t="s">
        <v>39</v>
      </c>
      <c r="J36" s="138" t="s">
        <v>39</v>
      </c>
      <c r="K36" s="138" t="s">
        <v>39</v>
      </c>
      <c r="L36" s="138" t="s">
        <v>39</v>
      </c>
      <c r="M36" s="138" t="s">
        <v>39</v>
      </c>
      <c r="N36" s="138" t="s">
        <v>39</v>
      </c>
      <c r="O36" s="138" t="s">
        <v>39</v>
      </c>
      <c r="P36" s="138" t="s">
        <v>39</v>
      </c>
      <c r="Q36" s="138" t="s">
        <v>39</v>
      </c>
      <c r="R36" s="138" t="s">
        <v>39</v>
      </c>
      <c r="S36" s="138" t="s">
        <v>39</v>
      </c>
      <c r="T36" s="138" t="s">
        <v>39</v>
      </c>
      <c r="U36" s="138" t="s">
        <v>39</v>
      </c>
      <c r="V36" s="138" t="s">
        <v>39</v>
      </c>
      <c r="W36" s="138" t="s">
        <v>39</v>
      </c>
      <c r="X36" s="138" t="s">
        <v>39</v>
      </c>
      <c r="Y36" s="138" t="s">
        <v>39</v>
      </c>
      <c r="Z36" s="138" t="s">
        <v>39</v>
      </c>
      <c r="AA36" s="138" t="s">
        <v>39</v>
      </c>
      <c r="AB36" s="138" t="s">
        <v>39</v>
      </c>
      <c r="AC36" s="138" t="s">
        <v>39</v>
      </c>
      <c r="AD36" s="138" t="s">
        <v>39</v>
      </c>
      <c r="AE36" s="138" t="s">
        <v>39</v>
      </c>
      <c r="AF36" s="138" t="s">
        <v>39</v>
      </c>
      <c r="AG36" s="138" t="s">
        <v>39</v>
      </c>
      <c r="AH36" s="138" t="s">
        <v>39</v>
      </c>
      <c r="AI36" s="138" t="s">
        <v>39</v>
      </c>
      <c r="AJ36" s="138"/>
      <c r="AK36" s="148">
        <v>0.0</v>
      </c>
      <c r="AL36" s="147" t="s">
        <v>39</v>
      </c>
      <c r="AM36" s="127">
        <v>0.0</v>
      </c>
      <c r="AN36" s="116"/>
      <c r="AO36" s="116"/>
    </row>
    <row r="37" ht="15.75" customHeight="1">
      <c r="A37" s="116" t="s">
        <v>54</v>
      </c>
      <c r="B37" s="138" t="s">
        <v>39</v>
      </c>
      <c r="C37" s="138" t="s">
        <v>39</v>
      </c>
      <c r="D37" s="138" t="s">
        <v>39</v>
      </c>
      <c r="E37" s="138" t="s">
        <v>39</v>
      </c>
      <c r="F37" s="138" t="s">
        <v>39</v>
      </c>
      <c r="G37" s="138" t="s">
        <v>39</v>
      </c>
      <c r="H37" s="138"/>
      <c r="I37" s="138" t="s">
        <v>39</v>
      </c>
      <c r="J37" s="138" t="s">
        <v>39</v>
      </c>
      <c r="K37" s="138" t="s">
        <v>39</v>
      </c>
      <c r="L37" s="138" t="s">
        <v>39</v>
      </c>
      <c r="M37" s="138" t="s">
        <v>39</v>
      </c>
      <c r="N37" s="138" t="s">
        <v>39</v>
      </c>
      <c r="O37" s="138" t="s">
        <v>39</v>
      </c>
      <c r="P37" s="138" t="s">
        <v>39</v>
      </c>
      <c r="Q37" s="138" t="s">
        <v>39</v>
      </c>
      <c r="R37" s="138" t="s">
        <v>39</v>
      </c>
      <c r="S37" s="138" t="s">
        <v>39</v>
      </c>
      <c r="T37" s="138" t="s">
        <v>39</v>
      </c>
      <c r="U37" s="138" t="s">
        <v>39</v>
      </c>
      <c r="V37" s="138" t="s">
        <v>39</v>
      </c>
      <c r="W37" s="138" t="s">
        <v>39</v>
      </c>
      <c r="X37" s="138" t="s">
        <v>39</v>
      </c>
      <c r="Y37" s="138" t="s">
        <v>39</v>
      </c>
      <c r="Z37" s="138" t="s">
        <v>39</v>
      </c>
      <c r="AA37" s="138" t="s">
        <v>39</v>
      </c>
      <c r="AB37" s="138" t="s">
        <v>39</v>
      </c>
      <c r="AC37" s="138" t="s">
        <v>39</v>
      </c>
      <c r="AD37" s="138" t="s">
        <v>39</v>
      </c>
      <c r="AE37" s="138" t="s">
        <v>39</v>
      </c>
      <c r="AF37" s="138" t="s">
        <v>39</v>
      </c>
      <c r="AG37" s="138" t="s">
        <v>39</v>
      </c>
      <c r="AH37" s="138" t="s">
        <v>39</v>
      </c>
      <c r="AI37" s="138" t="s">
        <v>39</v>
      </c>
      <c r="AJ37" s="138"/>
      <c r="AK37" s="148">
        <v>18400.0</v>
      </c>
      <c r="AL37" s="147">
        <v>18400.0</v>
      </c>
      <c r="AM37" s="127">
        <v>0.01</v>
      </c>
      <c r="AN37" s="116"/>
      <c r="AO37" s="116"/>
    </row>
    <row r="38" ht="15.75" customHeight="1">
      <c r="A38" s="116" t="s">
        <v>55</v>
      </c>
      <c r="B38" s="138" t="s">
        <v>39</v>
      </c>
      <c r="C38" s="138" t="s">
        <v>39</v>
      </c>
      <c r="D38" s="138" t="s">
        <v>39</v>
      </c>
      <c r="E38" s="138" t="s">
        <v>39</v>
      </c>
      <c r="F38" s="138" t="s">
        <v>39</v>
      </c>
      <c r="G38" s="138" t="s">
        <v>39</v>
      </c>
      <c r="H38" s="138"/>
      <c r="I38" s="138" t="s">
        <v>39</v>
      </c>
      <c r="J38" s="138" t="s">
        <v>39</v>
      </c>
      <c r="K38" s="138" t="s">
        <v>39</v>
      </c>
      <c r="L38" s="138" t="s">
        <v>39</v>
      </c>
      <c r="M38" s="138" t="s">
        <v>39</v>
      </c>
      <c r="N38" s="138" t="s">
        <v>39</v>
      </c>
      <c r="O38" s="138" t="s">
        <v>39</v>
      </c>
      <c r="P38" s="138" t="s">
        <v>39</v>
      </c>
      <c r="Q38" s="138" t="s">
        <v>39</v>
      </c>
      <c r="R38" s="138" t="s">
        <v>39</v>
      </c>
      <c r="S38" s="138" t="s">
        <v>39</v>
      </c>
      <c r="T38" s="138" t="s">
        <v>39</v>
      </c>
      <c r="U38" s="138" t="s">
        <v>39</v>
      </c>
      <c r="V38" s="138" t="s">
        <v>39</v>
      </c>
      <c r="W38" s="138" t="s">
        <v>39</v>
      </c>
      <c r="X38" s="138" t="s">
        <v>39</v>
      </c>
      <c r="Y38" s="138" t="s">
        <v>39</v>
      </c>
      <c r="Z38" s="138" t="s">
        <v>39</v>
      </c>
      <c r="AA38" s="138" t="s">
        <v>39</v>
      </c>
      <c r="AB38" s="138" t="s">
        <v>39</v>
      </c>
      <c r="AC38" s="138" t="s">
        <v>39</v>
      </c>
      <c r="AD38" s="138" t="s">
        <v>39</v>
      </c>
      <c r="AE38" s="138" t="s">
        <v>39</v>
      </c>
      <c r="AF38" s="138" t="s">
        <v>39</v>
      </c>
      <c r="AG38" s="138" t="s">
        <v>39</v>
      </c>
      <c r="AH38" s="138" t="s">
        <v>39</v>
      </c>
      <c r="AI38" s="138" t="s">
        <v>39</v>
      </c>
      <c r="AJ38" s="138"/>
      <c r="AK38" s="148">
        <v>0.0</v>
      </c>
      <c r="AL38" s="147" t="s">
        <v>39</v>
      </c>
      <c r="AM38" s="127">
        <v>0.0</v>
      </c>
      <c r="AN38" s="116"/>
      <c r="AO38" s="116"/>
    </row>
    <row r="39" ht="15.75" customHeight="1">
      <c r="A39" s="116" t="s">
        <v>107</v>
      </c>
      <c r="B39" s="138">
        <v>2476.0</v>
      </c>
      <c r="C39" s="138" t="s">
        <v>39</v>
      </c>
      <c r="D39" s="138" t="s">
        <v>39</v>
      </c>
      <c r="E39" s="138" t="s">
        <v>39</v>
      </c>
      <c r="F39" s="138" t="s">
        <v>39</v>
      </c>
      <c r="G39" s="138" t="s">
        <v>39</v>
      </c>
      <c r="H39" s="138"/>
      <c r="I39" s="138" t="s">
        <v>39</v>
      </c>
      <c r="J39" s="138">
        <v>1768.0</v>
      </c>
      <c r="K39" s="138" t="s">
        <v>39</v>
      </c>
      <c r="L39" s="138" t="s">
        <v>39</v>
      </c>
      <c r="M39" s="138" t="s">
        <v>39</v>
      </c>
      <c r="N39" s="138" t="s">
        <v>39</v>
      </c>
      <c r="O39" s="138" t="s">
        <v>39</v>
      </c>
      <c r="P39" s="138" t="s">
        <v>39</v>
      </c>
      <c r="Q39" s="138" t="s">
        <v>39</v>
      </c>
      <c r="R39" s="138" t="s">
        <v>39</v>
      </c>
      <c r="S39" s="138" t="s">
        <v>39</v>
      </c>
      <c r="T39" s="138" t="s">
        <v>39</v>
      </c>
      <c r="U39" s="138" t="s">
        <v>39</v>
      </c>
      <c r="V39" s="138" t="s">
        <v>39</v>
      </c>
      <c r="W39" s="138" t="s">
        <v>39</v>
      </c>
      <c r="X39" s="138" t="s">
        <v>39</v>
      </c>
      <c r="Y39" s="138" t="s">
        <v>39</v>
      </c>
      <c r="Z39" s="138" t="s">
        <v>39</v>
      </c>
      <c r="AA39" s="138" t="s">
        <v>39</v>
      </c>
      <c r="AB39" s="138" t="s">
        <v>39</v>
      </c>
      <c r="AC39" s="138" t="s">
        <v>39</v>
      </c>
      <c r="AD39" s="138" t="s">
        <v>39</v>
      </c>
      <c r="AE39" s="138" t="s">
        <v>39</v>
      </c>
      <c r="AF39" s="138" t="s">
        <v>39</v>
      </c>
      <c r="AG39" s="138" t="s">
        <v>39</v>
      </c>
      <c r="AH39" s="138" t="s">
        <v>39</v>
      </c>
      <c r="AI39" s="138" t="s">
        <v>39</v>
      </c>
      <c r="AJ39" s="138"/>
      <c r="AK39" s="148">
        <v>0.0</v>
      </c>
      <c r="AL39" s="147">
        <v>4244.0</v>
      </c>
      <c r="AM39" s="127">
        <v>0.0</v>
      </c>
      <c r="AN39" s="116"/>
      <c r="AO39" s="116"/>
    </row>
    <row r="40" ht="15.75" customHeight="1">
      <c r="A40" s="116" t="s">
        <v>57</v>
      </c>
      <c r="B40" s="138" t="s">
        <v>39</v>
      </c>
      <c r="C40" s="138" t="s">
        <v>39</v>
      </c>
      <c r="D40" s="138" t="s">
        <v>39</v>
      </c>
      <c r="E40" s="138" t="s">
        <v>39</v>
      </c>
      <c r="F40" s="138" t="s">
        <v>39</v>
      </c>
      <c r="G40" s="138" t="s">
        <v>39</v>
      </c>
      <c r="H40" s="138"/>
      <c r="I40" s="138" t="s">
        <v>39</v>
      </c>
      <c r="J40" s="138" t="s">
        <v>39</v>
      </c>
      <c r="K40" s="138" t="s">
        <v>39</v>
      </c>
      <c r="L40" s="138" t="s">
        <v>39</v>
      </c>
      <c r="M40" s="138" t="s">
        <v>39</v>
      </c>
      <c r="N40" s="138" t="s">
        <v>39</v>
      </c>
      <c r="O40" s="138" t="s">
        <v>39</v>
      </c>
      <c r="P40" s="138" t="s">
        <v>39</v>
      </c>
      <c r="Q40" s="138" t="s">
        <v>39</v>
      </c>
      <c r="R40" s="138" t="s">
        <v>39</v>
      </c>
      <c r="S40" s="138" t="s">
        <v>39</v>
      </c>
      <c r="T40" s="138" t="s">
        <v>39</v>
      </c>
      <c r="U40" s="138" t="s">
        <v>39</v>
      </c>
      <c r="V40" s="138" t="s">
        <v>39</v>
      </c>
      <c r="W40" s="138" t="s">
        <v>39</v>
      </c>
      <c r="X40" s="138" t="s">
        <v>39</v>
      </c>
      <c r="Y40" s="138" t="s">
        <v>39</v>
      </c>
      <c r="Z40" s="138" t="s">
        <v>39</v>
      </c>
      <c r="AA40" s="138" t="s">
        <v>39</v>
      </c>
      <c r="AB40" s="138" t="s">
        <v>39</v>
      </c>
      <c r="AC40" s="138" t="s">
        <v>39</v>
      </c>
      <c r="AD40" s="138" t="s">
        <v>39</v>
      </c>
      <c r="AE40" s="138" t="s">
        <v>39</v>
      </c>
      <c r="AF40" s="138" t="s">
        <v>39</v>
      </c>
      <c r="AG40" s="138" t="s">
        <v>39</v>
      </c>
      <c r="AH40" s="138" t="s">
        <v>39</v>
      </c>
      <c r="AI40" s="138" t="s">
        <v>39</v>
      </c>
      <c r="AJ40" s="138"/>
      <c r="AK40" s="148">
        <v>565000.0</v>
      </c>
      <c r="AL40" s="147">
        <v>565000.0</v>
      </c>
      <c r="AM40" s="127">
        <v>0.2</v>
      </c>
      <c r="AN40" s="116"/>
      <c r="AO40" s="116"/>
    </row>
    <row r="41" ht="15.75" customHeight="1">
      <c r="A41" s="116" t="s">
        <v>58</v>
      </c>
      <c r="B41" s="138" t="s">
        <v>39</v>
      </c>
      <c r="C41" s="138" t="s">
        <v>39</v>
      </c>
      <c r="D41" s="138" t="s">
        <v>39</v>
      </c>
      <c r="E41" s="138" t="s">
        <v>39</v>
      </c>
      <c r="F41" s="138" t="s">
        <v>39</v>
      </c>
      <c r="G41" s="138" t="s">
        <v>39</v>
      </c>
      <c r="H41" s="138"/>
      <c r="I41" s="138" t="s">
        <v>39</v>
      </c>
      <c r="J41" s="138" t="s">
        <v>39</v>
      </c>
      <c r="K41" s="138" t="s">
        <v>39</v>
      </c>
      <c r="L41" s="138" t="s">
        <v>39</v>
      </c>
      <c r="M41" s="138" t="s">
        <v>39</v>
      </c>
      <c r="N41" s="138" t="s">
        <v>39</v>
      </c>
      <c r="O41" s="138" t="s">
        <v>39</v>
      </c>
      <c r="P41" s="138" t="s">
        <v>39</v>
      </c>
      <c r="Q41" s="138" t="s">
        <v>39</v>
      </c>
      <c r="R41" s="138" t="s">
        <v>39</v>
      </c>
      <c r="S41" s="138" t="s">
        <v>39</v>
      </c>
      <c r="T41" s="138" t="s">
        <v>39</v>
      </c>
      <c r="U41" s="138" t="s">
        <v>39</v>
      </c>
      <c r="V41" s="138" t="s">
        <v>39</v>
      </c>
      <c r="W41" s="138" t="s">
        <v>39</v>
      </c>
      <c r="X41" s="138" t="s">
        <v>39</v>
      </c>
      <c r="Y41" s="138" t="s">
        <v>39</v>
      </c>
      <c r="Z41" s="138" t="s">
        <v>39</v>
      </c>
      <c r="AA41" s="138" t="s">
        <v>39</v>
      </c>
      <c r="AB41" s="138" t="s">
        <v>39</v>
      </c>
      <c r="AC41" s="138" t="s">
        <v>39</v>
      </c>
      <c r="AD41" s="138" t="s">
        <v>39</v>
      </c>
      <c r="AE41" s="138" t="s">
        <v>39</v>
      </c>
      <c r="AF41" s="138" t="s">
        <v>39</v>
      </c>
      <c r="AG41" s="138" t="s">
        <v>39</v>
      </c>
      <c r="AH41" s="138" t="s">
        <v>39</v>
      </c>
      <c r="AI41" s="138" t="s">
        <v>39</v>
      </c>
      <c r="AJ41" s="138"/>
      <c r="AK41" s="148">
        <v>181.17</v>
      </c>
      <c r="AL41" s="147">
        <v>181.17</v>
      </c>
      <c r="AM41" s="127">
        <v>0.0</v>
      </c>
      <c r="AN41" s="116"/>
      <c r="AO41" s="116"/>
    </row>
    <row r="42" ht="15.75" customHeight="1">
      <c r="A42" s="116" t="s">
        <v>59</v>
      </c>
      <c r="B42" s="138" t="s">
        <v>39</v>
      </c>
      <c r="C42" s="138">
        <v>152.26</v>
      </c>
      <c r="D42" s="138" t="s">
        <v>39</v>
      </c>
      <c r="E42" s="138">
        <v>183.22</v>
      </c>
      <c r="F42" s="138" t="s">
        <v>39</v>
      </c>
      <c r="G42" s="138">
        <v>177.16</v>
      </c>
      <c r="H42" s="138"/>
      <c r="I42" s="138">
        <v>42.59</v>
      </c>
      <c r="J42" s="138">
        <v>111.81</v>
      </c>
      <c r="K42" s="138" t="s">
        <v>39</v>
      </c>
      <c r="L42" s="138">
        <v>25.98</v>
      </c>
      <c r="M42" s="138">
        <v>131.27</v>
      </c>
      <c r="N42" s="138" t="s">
        <v>39</v>
      </c>
      <c r="O42" s="138" t="s">
        <v>39</v>
      </c>
      <c r="P42" s="138">
        <v>138.98</v>
      </c>
      <c r="Q42" s="138">
        <v>79.31</v>
      </c>
      <c r="R42" s="138">
        <v>68.56</v>
      </c>
      <c r="S42" s="138">
        <v>105.29</v>
      </c>
      <c r="T42" s="138" t="s">
        <v>39</v>
      </c>
      <c r="U42" s="138" t="s">
        <v>39</v>
      </c>
      <c r="V42" s="138" t="s">
        <v>39</v>
      </c>
      <c r="W42" s="138">
        <v>105.29</v>
      </c>
      <c r="X42" s="138" t="s">
        <v>39</v>
      </c>
      <c r="Y42" s="138">
        <v>125.59</v>
      </c>
      <c r="Z42" s="138">
        <v>25.98</v>
      </c>
      <c r="AA42" s="138" t="s">
        <v>39</v>
      </c>
      <c r="AB42" s="138">
        <v>118.68</v>
      </c>
      <c r="AC42" s="138">
        <v>221.78</v>
      </c>
      <c r="AD42" s="138">
        <v>131.27</v>
      </c>
      <c r="AE42" s="138">
        <v>94.54</v>
      </c>
      <c r="AF42" s="138" t="s">
        <v>39</v>
      </c>
      <c r="AG42" s="138">
        <v>102.85</v>
      </c>
      <c r="AH42" s="138">
        <v>79.31</v>
      </c>
      <c r="AI42" s="138" t="s">
        <v>39</v>
      </c>
      <c r="AJ42" s="138"/>
      <c r="AK42" s="148">
        <v>227.7</v>
      </c>
      <c r="AL42" s="147">
        <v>2449.42</v>
      </c>
      <c r="AM42" s="127">
        <v>0.0</v>
      </c>
      <c r="AN42" s="116"/>
      <c r="AO42" s="116"/>
    </row>
    <row r="43" ht="15.75" customHeight="1">
      <c r="A43" s="116" t="s">
        <v>60</v>
      </c>
      <c r="B43" s="138" t="s">
        <v>39</v>
      </c>
      <c r="C43" s="138" t="s">
        <v>39</v>
      </c>
      <c r="D43" s="138" t="s">
        <v>39</v>
      </c>
      <c r="E43" s="138" t="s">
        <v>39</v>
      </c>
      <c r="F43" s="138" t="s">
        <v>39</v>
      </c>
      <c r="G43" s="138" t="s">
        <v>39</v>
      </c>
      <c r="H43" s="138"/>
      <c r="I43" s="138" t="s">
        <v>39</v>
      </c>
      <c r="J43" s="138" t="s">
        <v>39</v>
      </c>
      <c r="K43" s="138" t="s">
        <v>39</v>
      </c>
      <c r="L43" s="138" t="s">
        <v>39</v>
      </c>
      <c r="M43" s="138" t="s">
        <v>39</v>
      </c>
      <c r="N43" s="138" t="s">
        <v>39</v>
      </c>
      <c r="O43" s="138" t="s">
        <v>39</v>
      </c>
      <c r="P43" s="138" t="s">
        <v>39</v>
      </c>
      <c r="Q43" s="138" t="s">
        <v>39</v>
      </c>
      <c r="R43" s="138" t="s">
        <v>39</v>
      </c>
      <c r="S43" s="138" t="s">
        <v>39</v>
      </c>
      <c r="T43" s="138" t="s">
        <v>39</v>
      </c>
      <c r="U43" s="138" t="s">
        <v>39</v>
      </c>
      <c r="V43" s="138" t="s">
        <v>39</v>
      </c>
      <c r="W43" s="138" t="s">
        <v>39</v>
      </c>
      <c r="X43" s="138" t="s">
        <v>39</v>
      </c>
      <c r="Y43" s="138" t="s">
        <v>39</v>
      </c>
      <c r="Z43" s="138" t="s">
        <v>39</v>
      </c>
      <c r="AA43" s="138" t="s">
        <v>39</v>
      </c>
      <c r="AB43" s="138" t="s">
        <v>39</v>
      </c>
      <c r="AC43" s="138">
        <v>30.0</v>
      </c>
      <c r="AD43" s="138" t="s">
        <v>39</v>
      </c>
      <c r="AE43" s="138" t="s">
        <v>39</v>
      </c>
      <c r="AF43" s="138" t="s">
        <v>39</v>
      </c>
      <c r="AG43" s="138" t="s">
        <v>39</v>
      </c>
      <c r="AH43" s="138" t="s">
        <v>39</v>
      </c>
      <c r="AI43" s="138" t="s">
        <v>39</v>
      </c>
      <c r="AJ43" s="138"/>
      <c r="AK43" s="148">
        <v>21667.91</v>
      </c>
      <c r="AL43" s="147">
        <v>21697.91</v>
      </c>
      <c r="AM43" s="127">
        <v>0.01</v>
      </c>
      <c r="AN43" s="116"/>
      <c r="AO43" s="116"/>
    </row>
    <row r="44" ht="15.75" customHeight="1">
      <c r="A44" s="116" t="s">
        <v>61</v>
      </c>
      <c r="B44" s="138" t="s">
        <v>39</v>
      </c>
      <c r="C44" s="138" t="s">
        <v>39</v>
      </c>
      <c r="D44" s="138" t="s">
        <v>39</v>
      </c>
      <c r="E44" s="138" t="s">
        <v>39</v>
      </c>
      <c r="F44" s="138" t="s">
        <v>39</v>
      </c>
      <c r="G44" s="138" t="s">
        <v>39</v>
      </c>
      <c r="H44" s="138"/>
      <c r="I44" s="138" t="s">
        <v>39</v>
      </c>
      <c r="J44" s="138" t="s">
        <v>39</v>
      </c>
      <c r="K44" s="138" t="s">
        <v>39</v>
      </c>
      <c r="L44" s="138" t="s">
        <v>39</v>
      </c>
      <c r="M44" s="138" t="s">
        <v>39</v>
      </c>
      <c r="N44" s="138" t="s">
        <v>39</v>
      </c>
      <c r="O44" s="138" t="s">
        <v>39</v>
      </c>
      <c r="P44" s="138" t="s">
        <v>39</v>
      </c>
      <c r="Q44" s="138" t="s">
        <v>39</v>
      </c>
      <c r="R44" s="138" t="s">
        <v>39</v>
      </c>
      <c r="S44" s="138" t="s">
        <v>39</v>
      </c>
      <c r="T44" s="138" t="s">
        <v>39</v>
      </c>
      <c r="U44" s="138">
        <v>40.0</v>
      </c>
      <c r="V44" s="138" t="s">
        <v>39</v>
      </c>
      <c r="W44" s="138" t="s">
        <v>39</v>
      </c>
      <c r="X44" s="138" t="s">
        <v>39</v>
      </c>
      <c r="Y44" s="138" t="s">
        <v>39</v>
      </c>
      <c r="Z44" s="138" t="s">
        <v>39</v>
      </c>
      <c r="AA44" s="138">
        <v>500.0</v>
      </c>
      <c r="AB44" s="138">
        <v>1600.0</v>
      </c>
      <c r="AC44" s="138" t="s">
        <v>39</v>
      </c>
      <c r="AD44" s="138" t="s">
        <v>39</v>
      </c>
      <c r="AE44" s="138" t="s">
        <v>39</v>
      </c>
      <c r="AF44" s="138" t="s">
        <v>39</v>
      </c>
      <c r="AG44" s="138" t="s">
        <v>39</v>
      </c>
      <c r="AH44" s="138">
        <v>60.0</v>
      </c>
      <c r="AI44" s="138">
        <v>87.0</v>
      </c>
      <c r="AJ44" s="138"/>
      <c r="AK44" s="148">
        <v>1555.17</v>
      </c>
      <c r="AL44" s="147">
        <v>3842.17</v>
      </c>
      <c r="AM44" s="127">
        <v>0.0</v>
      </c>
      <c r="AN44" s="116"/>
      <c r="AO44" s="116"/>
    </row>
    <row r="45" ht="15.75" customHeight="1">
      <c r="A45" s="131" t="s">
        <v>109</v>
      </c>
      <c r="B45" s="150">
        <v>165510.4</v>
      </c>
      <c r="C45" s="150">
        <v>501.48</v>
      </c>
      <c r="D45" s="150">
        <v>39741.82</v>
      </c>
      <c r="E45" s="150">
        <v>62179.43</v>
      </c>
      <c r="F45" s="150">
        <v>166274.92</v>
      </c>
      <c r="G45" s="150">
        <v>41072.24</v>
      </c>
      <c r="H45" s="150" t="s">
        <v>39</v>
      </c>
      <c r="I45" s="150">
        <v>254499.28</v>
      </c>
      <c r="J45" s="150">
        <v>119317.22</v>
      </c>
      <c r="K45" s="150">
        <v>12182.89</v>
      </c>
      <c r="L45" s="150">
        <v>53524.52</v>
      </c>
      <c r="M45" s="150">
        <v>30974.65</v>
      </c>
      <c r="N45" s="150" t="s">
        <v>39</v>
      </c>
      <c r="O45" s="150">
        <v>34820.95</v>
      </c>
      <c r="P45" s="150">
        <v>12830.07</v>
      </c>
      <c r="Q45" s="150">
        <v>57949.8</v>
      </c>
      <c r="R45" s="150">
        <v>52040.69</v>
      </c>
      <c r="S45" s="150">
        <v>16866.38</v>
      </c>
      <c r="T45" s="150">
        <v>35996.1</v>
      </c>
      <c r="U45" s="150">
        <v>28931.54</v>
      </c>
      <c r="V45" s="150">
        <v>23870.59</v>
      </c>
      <c r="W45" s="150">
        <v>12136.91</v>
      </c>
      <c r="X45" s="150">
        <v>15236.12</v>
      </c>
      <c r="Y45" s="150">
        <v>57765.72</v>
      </c>
      <c r="Z45" s="150">
        <v>24695.43</v>
      </c>
      <c r="AA45" s="150">
        <v>13183.46</v>
      </c>
      <c r="AB45" s="150">
        <v>57026.4</v>
      </c>
      <c r="AC45" s="150">
        <v>152388.18</v>
      </c>
      <c r="AD45" s="150">
        <v>17790.48</v>
      </c>
      <c r="AE45" s="150">
        <v>39929.57</v>
      </c>
      <c r="AF45" s="150">
        <v>36568.3</v>
      </c>
      <c r="AG45" s="150">
        <v>13096.82</v>
      </c>
      <c r="AH45" s="150">
        <v>135640.65</v>
      </c>
      <c r="AI45" s="150">
        <v>15856.51</v>
      </c>
      <c r="AJ45" s="150" t="s">
        <v>39</v>
      </c>
      <c r="AK45" s="150">
        <v>1051644.89</v>
      </c>
      <c r="AL45" s="150">
        <v>2852044.41</v>
      </c>
      <c r="AM45" s="134">
        <v>1.0</v>
      </c>
      <c r="AN45" s="116"/>
      <c r="AO45" s="116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7"/>
      <c r="AM46" s="116"/>
      <c r="AN46" s="116"/>
      <c r="AO46" s="116"/>
    </row>
    <row r="47" ht="15.75" customHeight="1">
      <c r="A47" s="131" t="s">
        <v>14</v>
      </c>
      <c r="B47" s="132">
        <v>147489.6</v>
      </c>
      <c r="C47" s="132">
        <v>104998.52</v>
      </c>
      <c r="D47" s="132">
        <v>17008.18</v>
      </c>
      <c r="E47" s="132">
        <v>26470.57</v>
      </c>
      <c r="F47" s="132">
        <v>106625.08</v>
      </c>
      <c r="G47" s="132">
        <v>9871.36</v>
      </c>
      <c r="H47" s="131" t="s">
        <v>39</v>
      </c>
      <c r="I47" s="132">
        <v>210400.72</v>
      </c>
      <c r="J47" s="132">
        <v>70791.16</v>
      </c>
      <c r="K47" s="132">
        <v>6817.11</v>
      </c>
      <c r="L47" s="132">
        <v>34775.47</v>
      </c>
      <c r="M47" s="132">
        <v>44225.35</v>
      </c>
      <c r="N47" s="131" t="s">
        <v>39</v>
      </c>
      <c r="O47" s="132">
        <v>43429.05</v>
      </c>
      <c r="P47" s="132">
        <v>11169.93</v>
      </c>
      <c r="Q47" s="132">
        <v>39800.2</v>
      </c>
      <c r="R47" s="132">
        <v>46209.31</v>
      </c>
      <c r="S47" s="132">
        <v>38883.62</v>
      </c>
      <c r="T47" s="132">
        <v>20253.9</v>
      </c>
      <c r="U47" s="132">
        <v>25068.46</v>
      </c>
      <c r="V47" s="132">
        <v>12129.41</v>
      </c>
      <c r="W47" s="132">
        <v>25863.09</v>
      </c>
      <c r="X47" s="132">
        <v>-6881.27</v>
      </c>
      <c r="Y47" s="132">
        <v>28734.28</v>
      </c>
      <c r="Z47" s="132">
        <v>13304.57</v>
      </c>
      <c r="AA47" s="132">
        <v>6316.54</v>
      </c>
      <c r="AB47" s="132">
        <v>27473.6</v>
      </c>
      <c r="AC47" s="132">
        <v>100111.82</v>
      </c>
      <c r="AD47" s="132">
        <v>37959.52</v>
      </c>
      <c r="AE47" s="132">
        <v>17270.43</v>
      </c>
      <c r="AF47" s="132">
        <v>24931.7</v>
      </c>
      <c r="AG47" s="132">
        <v>5403.18</v>
      </c>
      <c r="AH47" s="132">
        <v>94959.35</v>
      </c>
      <c r="AI47" s="132">
        <v>2843.49</v>
      </c>
      <c r="AJ47" s="131" t="s">
        <v>39</v>
      </c>
      <c r="AK47" s="132">
        <v>-1051644.89</v>
      </c>
      <c r="AL47" s="132">
        <v>343062.41</v>
      </c>
      <c r="AM47" s="123"/>
      <c r="AN47" s="116"/>
      <c r="AO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7"/>
      <c r="AM48" s="116"/>
      <c r="AN48" s="116"/>
      <c r="AO48" s="116"/>
    </row>
    <row r="49" ht="15.7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7"/>
      <c r="O49" s="117"/>
      <c r="P49" s="117"/>
      <c r="Q49" s="117"/>
      <c r="R49" s="117"/>
      <c r="S49" s="117"/>
      <c r="T49" s="117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</row>
    <row r="50" ht="15.7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7"/>
      <c r="O50" s="117"/>
      <c r="P50" s="117"/>
      <c r="Q50" s="117"/>
      <c r="R50" s="117"/>
      <c r="S50" s="117"/>
      <c r="T50" s="117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6.13"/>
    <col customWidth="1" min="3" max="3" width="10.38"/>
    <col customWidth="1" min="4" max="4" width="10.5"/>
    <col customWidth="1" min="5" max="5" width="8.5"/>
    <col customWidth="1" min="6" max="6" width="11.88"/>
    <col customWidth="1" min="7" max="7" width="19.13"/>
    <col customWidth="1" min="8" max="8" width="11.75"/>
    <col customWidth="1" min="9" max="9" width="9.75"/>
    <col customWidth="1" min="10" max="10" width="15.63"/>
    <col customWidth="1" min="11" max="11" width="12.75"/>
    <col customWidth="1" min="12" max="12" width="13.38"/>
    <col customWidth="1" min="13" max="13" width="13.13"/>
    <col customWidth="1" min="14" max="14" width="11.75"/>
    <col customWidth="1" min="15" max="15" width="12.38"/>
    <col customWidth="1" min="16" max="16" width="12.75"/>
    <col customWidth="1" min="17" max="17" width="22.63"/>
    <col customWidth="1" min="18" max="18" width="17.63"/>
    <col customWidth="1" min="19" max="19" width="13.0"/>
    <col customWidth="1" min="20" max="20" width="14.0"/>
    <col customWidth="1" min="21" max="21" width="9.75"/>
    <col customWidth="1" min="22" max="22" width="22.25"/>
    <col customWidth="1" min="23" max="23" width="17.75"/>
    <col customWidth="1" min="24" max="24" width="14.38"/>
    <col customWidth="1" min="25" max="25" width="17.13"/>
    <col customWidth="1" min="26" max="26" width="13.13"/>
    <col customWidth="1" min="27" max="27" width="13.0"/>
    <col customWidth="1" min="28" max="28" width="15.0"/>
    <col customWidth="1" min="29" max="29" width="17.63"/>
    <col customWidth="1" min="30" max="30" width="12.88"/>
    <col customWidth="1" min="31" max="31" width="10.25"/>
    <col customWidth="1" min="32" max="33" width="15.5"/>
    <col customWidth="1" min="34" max="34" width="18.38"/>
    <col customWidth="1" min="35" max="35" width="16.88"/>
    <col customWidth="1" min="36" max="36" width="11.63"/>
    <col customWidth="1" min="37" max="37" width="19.63"/>
    <col customWidth="1" min="38" max="38" width="15.13"/>
    <col customWidth="1" min="39" max="39" width="11.5"/>
    <col customWidth="1" min="40" max="40" width="12.38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7"/>
      <c r="AM1" s="116"/>
      <c r="AN1" s="116"/>
    </row>
    <row r="2" ht="15.75" customHeight="1">
      <c r="A2" s="116" t="s">
        <v>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7"/>
      <c r="AM2" s="116"/>
      <c r="AN2" s="116"/>
    </row>
    <row r="3" ht="15.75" customHeight="1">
      <c r="A3" s="116" t="s">
        <v>63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7"/>
      <c r="AM3" s="116"/>
      <c r="AN3" s="116"/>
    </row>
    <row r="4" ht="15.75" customHeight="1">
      <c r="A4" s="14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7"/>
      <c r="AM4" s="116"/>
      <c r="AN4" s="116"/>
    </row>
    <row r="5" ht="15.75" customHeigh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7"/>
      <c r="AM5" s="116"/>
      <c r="AN5" s="116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</row>
    <row r="6" ht="15.75" customHeight="1">
      <c r="A6" s="118" t="s">
        <v>28</v>
      </c>
      <c r="B6" s="118" t="s">
        <v>21</v>
      </c>
      <c r="C6" s="118" t="s">
        <v>64</v>
      </c>
      <c r="D6" s="118" t="s">
        <v>65</v>
      </c>
      <c r="E6" s="118" t="s">
        <v>66</v>
      </c>
      <c r="F6" s="118" t="s">
        <v>67</v>
      </c>
      <c r="G6" s="118" t="s">
        <v>68</v>
      </c>
      <c r="H6" s="118" t="s">
        <v>69</v>
      </c>
      <c r="I6" s="118" t="s">
        <v>70</v>
      </c>
      <c r="J6" s="118" t="s">
        <v>71</v>
      </c>
      <c r="K6" s="118" t="s">
        <v>72</v>
      </c>
      <c r="L6" s="118" t="s">
        <v>73</v>
      </c>
      <c r="M6" s="118" t="s">
        <v>74</v>
      </c>
      <c r="N6" s="118" t="s">
        <v>76</v>
      </c>
      <c r="O6" s="118" t="s">
        <v>77</v>
      </c>
      <c r="P6" s="118" t="s">
        <v>78</v>
      </c>
      <c r="Q6" s="118" t="s">
        <v>79</v>
      </c>
      <c r="R6" s="118" t="s">
        <v>80</v>
      </c>
      <c r="S6" s="118" t="s">
        <v>81</v>
      </c>
      <c r="T6" s="121" t="s">
        <v>82</v>
      </c>
      <c r="U6" s="118" t="s">
        <v>83</v>
      </c>
      <c r="V6" s="118" t="s">
        <v>84</v>
      </c>
      <c r="W6" s="118" t="s">
        <v>85</v>
      </c>
      <c r="X6" s="118" t="s">
        <v>86</v>
      </c>
      <c r="Y6" s="118" t="s">
        <v>87</v>
      </c>
      <c r="Z6" s="118" t="s">
        <v>88</v>
      </c>
      <c r="AA6" s="118" t="s">
        <v>89</v>
      </c>
      <c r="AB6" s="118" t="s">
        <v>90</v>
      </c>
      <c r="AC6" s="118" t="s">
        <v>91</v>
      </c>
      <c r="AD6" s="151" t="s">
        <v>93</v>
      </c>
      <c r="AE6" s="118"/>
      <c r="AF6" s="118" t="s">
        <v>94</v>
      </c>
      <c r="AG6" s="118" t="s">
        <v>114</v>
      </c>
      <c r="AH6" s="118" t="s">
        <v>115</v>
      </c>
      <c r="AI6" s="121" t="s">
        <v>97</v>
      </c>
      <c r="AJ6" s="121" t="s">
        <v>98</v>
      </c>
      <c r="AK6" s="121" t="s">
        <v>99</v>
      </c>
      <c r="AL6" s="118" t="s">
        <v>100</v>
      </c>
      <c r="AM6" s="118" t="s">
        <v>30</v>
      </c>
      <c r="AN6" s="116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</row>
    <row r="7" ht="15.7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7"/>
      <c r="AM7" s="116"/>
      <c r="AN7" s="116"/>
    </row>
    <row r="8" ht="15.75" customHeight="1">
      <c r="A8" s="116" t="s">
        <v>102</v>
      </c>
      <c r="B8" s="128">
        <v>313000.0</v>
      </c>
      <c r="C8" s="128">
        <v>105500.0</v>
      </c>
      <c r="D8" s="128">
        <v>56750.0</v>
      </c>
      <c r="E8" s="128">
        <v>88650.0</v>
      </c>
      <c r="F8" s="128">
        <v>272900.0</v>
      </c>
      <c r="G8" s="128">
        <v>50943.5</v>
      </c>
      <c r="H8" s="128"/>
      <c r="I8" s="128">
        <v>464900.0</v>
      </c>
      <c r="J8" s="128">
        <v>189513.5</v>
      </c>
      <c r="K8" s="128">
        <v>19000.0</v>
      </c>
      <c r="L8" s="128">
        <v>88299.99</v>
      </c>
      <c r="M8" s="128">
        <v>53600.0</v>
      </c>
      <c r="N8" s="128">
        <v>39125.0</v>
      </c>
      <c r="O8" s="128">
        <v>24000.0</v>
      </c>
      <c r="P8" s="128">
        <v>97750.0</v>
      </c>
      <c r="Q8" s="128">
        <v>98250.0</v>
      </c>
      <c r="R8" s="128">
        <v>55750.0</v>
      </c>
      <c r="S8" s="128"/>
      <c r="T8" s="128">
        <v>54000.0</v>
      </c>
      <c r="U8" s="128">
        <v>36000.0</v>
      </c>
      <c r="V8" s="128">
        <v>38000.0</v>
      </c>
      <c r="W8" s="128"/>
      <c r="X8" s="128">
        <v>86500.0</v>
      </c>
      <c r="Y8" s="128">
        <v>38000.0</v>
      </c>
      <c r="Z8" s="128">
        <v>19500.0</v>
      </c>
      <c r="AA8" s="128">
        <v>84500.0</v>
      </c>
      <c r="AB8" s="128">
        <v>252500.0</v>
      </c>
      <c r="AC8" s="128">
        <v>8.0</v>
      </c>
      <c r="AD8" s="128">
        <v>57200.0</v>
      </c>
      <c r="AE8" s="128"/>
      <c r="AF8" s="128">
        <v>61500.0</v>
      </c>
      <c r="AG8" s="128">
        <v>18500.0</v>
      </c>
      <c r="AH8" s="128">
        <v>232000.0</v>
      </c>
      <c r="AI8" s="128">
        <v>18700.0</v>
      </c>
      <c r="AJ8" s="128">
        <v>2900.0</v>
      </c>
      <c r="AK8" s="128"/>
      <c r="AL8" s="152">
        <v>3017739.99</v>
      </c>
      <c r="AM8" s="153">
        <v>1.0</v>
      </c>
      <c r="AN8" s="128"/>
      <c r="AO8" s="129"/>
      <c r="AP8" s="129"/>
      <c r="AQ8" s="129"/>
      <c r="AR8" s="129"/>
      <c r="AS8" s="129"/>
      <c r="AT8" s="129"/>
      <c r="AU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</row>
    <row r="9" ht="15.75" customHeight="1">
      <c r="A9" s="116" t="s">
        <v>113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38">
        <v>21600.0</v>
      </c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47">
        <v>21600.0</v>
      </c>
      <c r="AM9" s="153">
        <v>0.0</v>
      </c>
      <c r="AN9" s="116"/>
    </row>
    <row r="10" ht="15.7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7" t="s">
        <v>39</v>
      </c>
      <c r="AM10" s="153">
        <v>0.0</v>
      </c>
      <c r="AN10" s="116"/>
    </row>
    <row r="11" ht="15.75" customHeight="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7" t="s">
        <v>39</v>
      </c>
      <c r="AM11" s="153">
        <v>0.0</v>
      </c>
      <c r="AN11" s="116"/>
    </row>
    <row r="12" ht="15.7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7" t="s">
        <v>39</v>
      </c>
      <c r="AM12" s="153">
        <v>0.0</v>
      </c>
      <c r="AN12" s="116"/>
    </row>
    <row r="13" ht="15.75" customHeight="1">
      <c r="A13" s="131" t="s">
        <v>104</v>
      </c>
      <c r="B13" s="133">
        <v>313000.0</v>
      </c>
      <c r="C13" s="133">
        <v>105500.0</v>
      </c>
      <c r="D13" s="133">
        <v>56750.0</v>
      </c>
      <c r="E13" s="133">
        <v>88650.0</v>
      </c>
      <c r="F13" s="133">
        <v>272900.0</v>
      </c>
      <c r="G13" s="133">
        <v>50943.5</v>
      </c>
      <c r="H13" s="133" t="s">
        <v>39</v>
      </c>
      <c r="I13" s="133">
        <v>464900.0</v>
      </c>
      <c r="J13" s="133">
        <v>189513.5</v>
      </c>
      <c r="K13" s="133">
        <v>19000.0</v>
      </c>
      <c r="L13" s="133">
        <v>88299.99</v>
      </c>
      <c r="M13" s="133">
        <v>75200.0</v>
      </c>
      <c r="N13" s="133">
        <v>39125.0</v>
      </c>
      <c r="O13" s="133">
        <v>24000.0</v>
      </c>
      <c r="P13" s="133">
        <v>97750.0</v>
      </c>
      <c r="Q13" s="133">
        <v>98250.0</v>
      </c>
      <c r="R13" s="133">
        <v>55750.0</v>
      </c>
      <c r="S13" s="133" t="s">
        <v>39</v>
      </c>
      <c r="T13" s="133">
        <v>54000.0</v>
      </c>
      <c r="U13" s="133">
        <v>36000.0</v>
      </c>
      <c r="V13" s="133">
        <v>38000.0</v>
      </c>
      <c r="W13" s="133" t="s">
        <v>39</v>
      </c>
      <c r="X13" s="133">
        <v>86500.0</v>
      </c>
      <c r="Y13" s="133">
        <v>38000.0</v>
      </c>
      <c r="Z13" s="133">
        <v>19500.0</v>
      </c>
      <c r="AA13" s="133">
        <v>84500.0</v>
      </c>
      <c r="AB13" s="133">
        <v>252500.0</v>
      </c>
      <c r="AC13" s="133">
        <v>8.0</v>
      </c>
      <c r="AD13" s="133">
        <v>57200.0</v>
      </c>
      <c r="AE13" s="133" t="s">
        <v>39</v>
      </c>
      <c r="AF13" s="133">
        <v>61500.0</v>
      </c>
      <c r="AG13" s="133">
        <v>18500.0</v>
      </c>
      <c r="AH13" s="133">
        <v>232000.0</v>
      </c>
      <c r="AI13" s="133">
        <v>18700.0</v>
      </c>
      <c r="AJ13" s="133">
        <v>2900.0</v>
      </c>
      <c r="AK13" s="133" t="s">
        <v>39</v>
      </c>
      <c r="AL13" s="133">
        <v>3039339.99</v>
      </c>
      <c r="AM13" s="134">
        <v>1.0</v>
      </c>
      <c r="AN13" s="128"/>
      <c r="AO13" s="129"/>
      <c r="AP13" s="129"/>
      <c r="AQ13" s="129"/>
      <c r="AR13" s="129"/>
      <c r="AS13" s="129"/>
      <c r="AT13" s="129"/>
      <c r="AU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</row>
    <row r="14" ht="15.7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7"/>
      <c r="AM14" s="116"/>
      <c r="AN14" s="116"/>
    </row>
    <row r="15" ht="15.75" customHeight="1">
      <c r="A15" s="116" t="s">
        <v>31</v>
      </c>
      <c r="B15" s="128">
        <v>136849.57</v>
      </c>
      <c r="C15" s="128" t="s">
        <v>39</v>
      </c>
      <c r="D15" s="128">
        <v>27210.29</v>
      </c>
      <c r="E15" s="128">
        <v>47135.56</v>
      </c>
      <c r="F15" s="128">
        <v>121258.16</v>
      </c>
      <c r="G15" s="128">
        <v>28596.32</v>
      </c>
      <c r="H15" s="128"/>
      <c r="I15" s="128">
        <v>199001.83</v>
      </c>
      <c r="J15" s="128">
        <v>79276.25</v>
      </c>
      <c r="K15" s="128">
        <v>8875.0</v>
      </c>
      <c r="L15" s="128">
        <v>35861.32</v>
      </c>
      <c r="M15" s="128">
        <v>28272.84</v>
      </c>
      <c r="N15" s="128">
        <v>21447.9</v>
      </c>
      <c r="O15" s="128">
        <v>8735.0</v>
      </c>
      <c r="P15" s="128">
        <v>42987.7</v>
      </c>
      <c r="Q15" s="128">
        <v>31886.06</v>
      </c>
      <c r="R15" s="128">
        <v>22459.5</v>
      </c>
      <c r="S15" s="128">
        <v>6671.44</v>
      </c>
      <c r="T15" s="128">
        <v>29003.03</v>
      </c>
      <c r="U15" s="128">
        <v>16618.0</v>
      </c>
      <c r="V15" s="128">
        <v>18737.84</v>
      </c>
      <c r="W15" s="128" t="s">
        <v>39</v>
      </c>
      <c r="X15" s="128">
        <v>34915.44</v>
      </c>
      <c r="Y15" s="128">
        <v>14018.18</v>
      </c>
      <c r="Z15" s="128">
        <v>8875.0</v>
      </c>
      <c r="AA15" s="128">
        <v>28935.62</v>
      </c>
      <c r="AB15" s="128">
        <v>109586.91</v>
      </c>
      <c r="AC15" s="128">
        <v>8875.0</v>
      </c>
      <c r="AD15" s="128">
        <v>28962.88</v>
      </c>
      <c r="AE15" s="128"/>
      <c r="AF15" s="128">
        <v>24787.0</v>
      </c>
      <c r="AG15" s="128">
        <v>8805.0</v>
      </c>
      <c r="AH15" s="128">
        <v>69439.36</v>
      </c>
      <c r="AI15" s="128">
        <v>7025.0</v>
      </c>
      <c r="AJ15" s="128"/>
      <c r="AK15" s="128">
        <v>301670.11</v>
      </c>
      <c r="AL15" s="152">
        <v>1556779.11</v>
      </c>
      <c r="AM15" s="153">
        <v>0.77</v>
      </c>
      <c r="AN15" s="128"/>
      <c r="AO15" s="129"/>
      <c r="AP15" s="129"/>
      <c r="AQ15" s="129"/>
      <c r="AR15" s="129"/>
      <c r="AS15" s="129"/>
      <c r="AT15" s="129"/>
      <c r="AU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</row>
    <row r="16" ht="15.75" customHeight="1">
      <c r="A16" s="116" t="s">
        <v>32</v>
      </c>
      <c r="B16" s="138">
        <v>16179.67</v>
      </c>
      <c r="C16" s="138" t="s">
        <v>39</v>
      </c>
      <c r="D16" s="138">
        <v>2896.63</v>
      </c>
      <c r="E16" s="138">
        <v>5241.27</v>
      </c>
      <c r="F16" s="138">
        <v>13675.4</v>
      </c>
      <c r="G16" s="138">
        <v>3183.3</v>
      </c>
      <c r="H16" s="138"/>
      <c r="I16" s="138">
        <v>23707.09</v>
      </c>
      <c r="J16" s="138">
        <v>10369.84</v>
      </c>
      <c r="K16" s="138">
        <v>1036.33</v>
      </c>
      <c r="L16" s="138">
        <v>3726.9</v>
      </c>
      <c r="M16" s="138">
        <v>3208.64</v>
      </c>
      <c r="N16" s="138">
        <v>1541.11</v>
      </c>
      <c r="O16" s="138">
        <v>1074.86</v>
      </c>
      <c r="P16" s="138">
        <v>5345.19</v>
      </c>
      <c r="Q16" s="138">
        <v>3761.7</v>
      </c>
      <c r="R16" s="138">
        <v>2151.6</v>
      </c>
      <c r="S16" s="138">
        <v>1648.74</v>
      </c>
      <c r="T16" s="138">
        <v>3179.3</v>
      </c>
      <c r="U16" s="138">
        <v>2109.68</v>
      </c>
      <c r="V16" s="138">
        <v>3750.89</v>
      </c>
      <c r="W16" s="138" t="s">
        <v>39</v>
      </c>
      <c r="X16" s="138">
        <v>4230.48</v>
      </c>
      <c r="Y16" s="138">
        <v>1546.51</v>
      </c>
      <c r="Z16" s="138">
        <v>1049.94</v>
      </c>
      <c r="AA16" s="138">
        <v>3280.39</v>
      </c>
      <c r="AB16" s="138">
        <v>11491.39</v>
      </c>
      <c r="AC16" s="138">
        <v>1060.4</v>
      </c>
      <c r="AD16" s="138">
        <v>3152.5</v>
      </c>
      <c r="AE16" s="138"/>
      <c r="AF16" s="138">
        <v>3164.08</v>
      </c>
      <c r="AG16" s="138">
        <v>1045.36</v>
      </c>
      <c r="AH16" s="138">
        <v>8995.47</v>
      </c>
      <c r="AI16" s="138">
        <v>1072.94</v>
      </c>
      <c r="AJ16" s="138"/>
      <c r="AK16" s="138">
        <v>15575.45</v>
      </c>
      <c r="AL16" s="147">
        <v>163453.05</v>
      </c>
      <c r="AM16" s="153">
        <v>0.1</v>
      </c>
      <c r="AN16" s="138"/>
      <c r="AO16" s="139"/>
      <c r="AP16" s="139"/>
      <c r="AQ16" s="139"/>
      <c r="AR16" s="139"/>
      <c r="AS16" s="139"/>
      <c r="AT16" s="139"/>
      <c r="AU16" s="139"/>
      <c r="AW16" s="139"/>
      <c r="AX16" s="139"/>
      <c r="AZ16" s="139"/>
      <c r="BA16" s="139"/>
      <c r="BB16" s="139"/>
      <c r="BC16" s="139"/>
      <c r="BE16" s="139"/>
      <c r="BF16" s="139"/>
      <c r="BG16" s="139"/>
    </row>
    <row r="17" ht="15.75" customHeight="1">
      <c r="A17" s="116" t="s">
        <v>33</v>
      </c>
      <c r="B17" s="138">
        <v>14775.63</v>
      </c>
      <c r="C17" s="138" t="s">
        <v>39</v>
      </c>
      <c r="D17" s="138">
        <v>2427.86</v>
      </c>
      <c r="E17" s="138">
        <v>3955.82</v>
      </c>
      <c r="F17" s="138">
        <v>9511.73</v>
      </c>
      <c r="G17" s="138">
        <v>2410.43</v>
      </c>
      <c r="H17" s="138"/>
      <c r="I17" s="138">
        <v>17228.12</v>
      </c>
      <c r="J17" s="138">
        <v>7755.25</v>
      </c>
      <c r="K17" s="138">
        <v>765.04</v>
      </c>
      <c r="L17" s="138">
        <v>2905.85</v>
      </c>
      <c r="M17" s="138">
        <v>2101.68</v>
      </c>
      <c r="N17" s="138">
        <v>1449.07</v>
      </c>
      <c r="O17" s="138">
        <v>836.88</v>
      </c>
      <c r="P17" s="138">
        <v>4045.38</v>
      </c>
      <c r="Q17" s="138">
        <v>2479.33</v>
      </c>
      <c r="R17" s="138">
        <v>2192.34</v>
      </c>
      <c r="S17" s="138">
        <v>1351.59</v>
      </c>
      <c r="T17" s="138">
        <v>2212.41</v>
      </c>
      <c r="U17" s="138">
        <v>1577.21</v>
      </c>
      <c r="V17" s="138">
        <v>3628.61</v>
      </c>
      <c r="W17" s="138">
        <v>195.96</v>
      </c>
      <c r="X17" s="138">
        <v>2455.63</v>
      </c>
      <c r="Y17" s="138">
        <v>1293.83</v>
      </c>
      <c r="Z17" s="138">
        <v>794.87</v>
      </c>
      <c r="AA17" s="138">
        <v>2982.33</v>
      </c>
      <c r="AB17" s="138">
        <v>7765.38</v>
      </c>
      <c r="AC17" s="138">
        <v>309.92</v>
      </c>
      <c r="AD17" s="138">
        <v>2368.33</v>
      </c>
      <c r="AE17" s="138"/>
      <c r="AF17" s="138">
        <v>2323.47</v>
      </c>
      <c r="AG17" s="138">
        <v>784.83</v>
      </c>
      <c r="AH17" s="138">
        <v>5154.88</v>
      </c>
      <c r="AI17" s="138">
        <v>775.85</v>
      </c>
      <c r="AJ17" s="138"/>
      <c r="AK17" s="138">
        <v>15924.03</v>
      </c>
      <c r="AL17" s="147">
        <v>126739.54</v>
      </c>
      <c r="AM17" s="153">
        <v>0.06</v>
      </c>
      <c r="AN17" s="138"/>
      <c r="AO17" s="139"/>
      <c r="AP17" s="139"/>
      <c r="AQ17" s="139"/>
      <c r="AR17" s="139"/>
      <c r="AS17" s="139"/>
      <c r="AT17" s="139"/>
      <c r="AU17" s="139"/>
      <c r="AW17" s="139"/>
      <c r="AX17" s="139"/>
      <c r="AZ17" s="139"/>
      <c r="BA17" s="139"/>
      <c r="BC17" s="139"/>
      <c r="BF17" s="139"/>
    </row>
    <row r="18" ht="15.75" customHeight="1">
      <c r="A18" s="116" t="s">
        <v>34</v>
      </c>
      <c r="B18" s="138">
        <v>8810.68</v>
      </c>
      <c r="C18" s="138" t="s">
        <v>39</v>
      </c>
      <c r="D18" s="138">
        <v>1439.67</v>
      </c>
      <c r="E18" s="138">
        <v>2345.74</v>
      </c>
      <c r="F18" s="138">
        <v>5664.79</v>
      </c>
      <c r="G18" s="138">
        <v>1429.34</v>
      </c>
      <c r="H18" s="138"/>
      <c r="I18" s="138">
        <v>10402.38</v>
      </c>
      <c r="J18" s="138">
        <v>4598.74</v>
      </c>
      <c r="K18" s="138">
        <v>453.66</v>
      </c>
      <c r="L18" s="138">
        <v>1860.68</v>
      </c>
      <c r="M18" s="138">
        <v>1230.6</v>
      </c>
      <c r="N18" s="138">
        <v>859.26</v>
      </c>
      <c r="O18" s="138">
        <v>496.25</v>
      </c>
      <c r="P18" s="138">
        <v>2383.43</v>
      </c>
      <c r="Q18" s="138">
        <v>1396.97</v>
      </c>
      <c r="R18" s="138">
        <v>1446.46</v>
      </c>
      <c r="S18" s="138">
        <v>801.46</v>
      </c>
      <c r="T18" s="138">
        <v>1296.35</v>
      </c>
      <c r="U18" s="138">
        <v>935.26</v>
      </c>
      <c r="V18" s="138">
        <v>2136.14</v>
      </c>
      <c r="W18" s="138">
        <v>116.2</v>
      </c>
      <c r="X18" s="138">
        <v>1456.12</v>
      </c>
      <c r="Y18" s="138">
        <v>945.55</v>
      </c>
      <c r="Z18" s="138">
        <v>471.05</v>
      </c>
      <c r="AA18" s="138">
        <v>1768.48</v>
      </c>
      <c r="AB18" s="138">
        <v>4604.74</v>
      </c>
      <c r="AC18" s="138">
        <v>183.78</v>
      </c>
      <c r="AD18" s="138">
        <v>1404.37</v>
      </c>
      <c r="AE18" s="138"/>
      <c r="AF18" s="138">
        <v>1377.78</v>
      </c>
      <c r="AG18" s="138">
        <v>465.39</v>
      </c>
      <c r="AH18" s="138">
        <v>3056.75</v>
      </c>
      <c r="AI18" s="138">
        <v>460.07</v>
      </c>
      <c r="AJ18" s="138"/>
      <c r="AK18" s="138">
        <v>8980.28</v>
      </c>
      <c r="AL18" s="147">
        <v>75278.42</v>
      </c>
      <c r="AM18" s="153">
        <v>0.04</v>
      </c>
      <c r="AN18" s="138"/>
      <c r="AO18" s="139"/>
      <c r="AP18" s="139"/>
      <c r="AQ18" s="139"/>
      <c r="AR18" s="139"/>
      <c r="AS18" s="139"/>
      <c r="AT18" s="139"/>
      <c r="AU18" s="139"/>
      <c r="AW18" s="139"/>
      <c r="AX18" s="139"/>
      <c r="AZ18" s="139"/>
      <c r="BA18" s="139"/>
      <c r="BC18" s="139"/>
      <c r="BF18" s="139"/>
    </row>
    <row r="19" ht="15.75" customHeight="1">
      <c r="A19" s="149" t="s">
        <v>35</v>
      </c>
      <c r="B19" s="138">
        <v>5824.68</v>
      </c>
      <c r="C19" s="116" t="s">
        <v>39</v>
      </c>
      <c r="D19" s="138">
        <v>1158.14</v>
      </c>
      <c r="E19" s="138">
        <v>2006.21</v>
      </c>
      <c r="F19" s="138">
        <v>5161.07</v>
      </c>
      <c r="G19" s="138">
        <v>1217.13</v>
      </c>
      <c r="H19" s="138"/>
      <c r="I19" s="138">
        <v>8470.04</v>
      </c>
      <c r="J19" s="138">
        <v>3374.21</v>
      </c>
      <c r="K19" s="138">
        <v>377.74</v>
      </c>
      <c r="L19" s="138">
        <v>1526.35</v>
      </c>
      <c r="M19" s="138">
        <v>1203.37</v>
      </c>
      <c r="N19" s="138">
        <v>912.88</v>
      </c>
      <c r="O19" s="138">
        <v>371.78</v>
      </c>
      <c r="P19" s="138">
        <v>1829.67</v>
      </c>
      <c r="Q19" s="138">
        <v>1357.15</v>
      </c>
      <c r="R19" s="138">
        <v>955.94</v>
      </c>
      <c r="S19" s="138">
        <v>283.95</v>
      </c>
      <c r="T19" s="138">
        <v>1234.45</v>
      </c>
      <c r="U19" s="138">
        <v>707.31</v>
      </c>
      <c r="V19" s="138">
        <v>797.53</v>
      </c>
      <c r="W19" s="138" t="s">
        <v>39</v>
      </c>
      <c r="X19" s="138">
        <v>1486.09</v>
      </c>
      <c r="Y19" s="138">
        <v>596.65</v>
      </c>
      <c r="Z19" s="138">
        <v>377.74</v>
      </c>
      <c r="AA19" s="138">
        <v>1231.58</v>
      </c>
      <c r="AB19" s="138">
        <v>4664.31</v>
      </c>
      <c r="AC19" s="138">
        <v>377.74</v>
      </c>
      <c r="AD19" s="138">
        <v>1232.74</v>
      </c>
      <c r="AE19" s="138"/>
      <c r="AF19" s="138">
        <v>1055.0</v>
      </c>
      <c r="AG19" s="138">
        <v>374.76</v>
      </c>
      <c r="AH19" s="138">
        <v>2955.52</v>
      </c>
      <c r="AI19" s="138">
        <v>299.0</v>
      </c>
      <c r="AJ19" s="138"/>
      <c r="AK19" s="138">
        <v>8714.11</v>
      </c>
      <c r="AL19" s="147">
        <v>62134.84</v>
      </c>
      <c r="AM19" s="153">
        <v>0.02</v>
      </c>
      <c r="AN19" s="138"/>
      <c r="AO19" s="139"/>
      <c r="AP19" s="139"/>
      <c r="AQ19" s="139"/>
      <c r="AR19" s="139"/>
      <c r="AS19" s="139"/>
      <c r="AT19" s="139"/>
      <c r="AU19" s="139"/>
      <c r="AW19" s="139"/>
      <c r="AZ19" s="139"/>
      <c r="BC19" s="139"/>
      <c r="BF19" s="139"/>
    </row>
    <row r="20" ht="15.75" customHeight="1">
      <c r="A20" s="116" t="s">
        <v>36</v>
      </c>
      <c r="B20" s="116" t="s">
        <v>39</v>
      </c>
      <c r="C20" s="116" t="s">
        <v>39</v>
      </c>
      <c r="D20" s="116" t="s">
        <v>39</v>
      </c>
      <c r="E20" s="116" t="s">
        <v>39</v>
      </c>
      <c r="F20" s="116" t="s">
        <v>39</v>
      </c>
      <c r="G20" s="116" t="s">
        <v>39</v>
      </c>
      <c r="H20" s="116"/>
      <c r="I20" s="116" t="s">
        <v>39</v>
      </c>
      <c r="J20" s="116" t="s">
        <v>39</v>
      </c>
      <c r="K20" s="116" t="s">
        <v>39</v>
      </c>
      <c r="L20" s="116" t="s">
        <v>39</v>
      </c>
      <c r="M20" s="116" t="s">
        <v>39</v>
      </c>
      <c r="N20" s="116" t="s">
        <v>39</v>
      </c>
      <c r="O20" s="116" t="s">
        <v>39</v>
      </c>
      <c r="P20" s="116" t="s">
        <v>39</v>
      </c>
      <c r="Q20" s="116" t="s">
        <v>39</v>
      </c>
      <c r="R20" s="116" t="s">
        <v>39</v>
      </c>
      <c r="S20" s="116" t="s">
        <v>39</v>
      </c>
      <c r="T20" s="116" t="s">
        <v>39</v>
      </c>
      <c r="U20" s="116" t="s">
        <v>39</v>
      </c>
      <c r="V20" s="116" t="s">
        <v>39</v>
      </c>
      <c r="W20" s="116" t="s">
        <v>39</v>
      </c>
      <c r="X20" s="116" t="s">
        <v>39</v>
      </c>
      <c r="Y20" s="116" t="s">
        <v>39</v>
      </c>
      <c r="Z20" s="116" t="s">
        <v>39</v>
      </c>
      <c r="AA20" s="116" t="s">
        <v>39</v>
      </c>
      <c r="AB20" s="116" t="s">
        <v>39</v>
      </c>
      <c r="AC20" s="116" t="s">
        <v>39</v>
      </c>
      <c r="AD20" s="116" t="s">
        <v>39</v>
      </c>
      <c r="AE20" s="116"/>
      <c r="AF20" s="116" t="s">
        <v>39</v>
      </c>
      <c r="AG20" s="116" t="s">
        <v>39</v>
      </c>
      <c r="AH20" s="116" t="s">
        <v>39</v>
      </c>
      <c r="AI20" s="116" t="s">
        <v>39</v>
      </c>
      <c r="AJ20" s="116"/>
      <c r="AK20" s="138">
        <v>1244.0</v>
      </c>
      <c r="AL20" s="147">
        <v>1244.0</v>
      </c>
      <c r="AM20" s="153">
        <v>0.0</v>
      </c>
      <c r="AN20" s="116"/>
    </row>
    <row r="21" ht="15.75" customHeight="1">
      <c r="A21" s="116" t="s">
        <v>37</v>
      </c>
      <c r="B21" s="116" t="s">
        <v>39</v>
      </c>
      <c r="C21" s="116" t="s">
        <v>39</v>
      </c>
      <c r="D21" s="116" t="s">
        <v>39</v>
      </c>
      <c r="E21" s="116" t="s">
        <v>39</v>
      </c>
      <c r="F21" s="116" t="s">
        <v>39</v>
      </c>
      <c r="G21" s="116" t="s">
        <v>39</v>
      </c>
      <c r="H21" s="116"/>
      <c r="I21" s="116" t="s">
        <v>39</v>
      </c>
      <c r="J21" s="116" t="s">
        <v>39</v>
      </c>
      <c r="K21" s="116" t="s">
        <v>39</v>
      </c>
      <c r="L21" s="116" t="s">
        <v>39</v>
      </c>
      <c r="M21" s="116" t="s">
        <v>39</v>
      </c>
      <c r="N21" s="116" t="s">
        <v>39</v>
      </c>
      <c r="O21" s="116" t="s">
        <v>39</v>
      </c>
      <c r="P21" s="116" t="s">
        <v>39</v>
      </c>
      <c r="Q21" s="116" t="s">
        <v>39</v>
      </c>
      <c r="R21" s="116" t="s">
        <v>39</v>
      </c>
      <c r="S21" s="116" t="s">
        <v>39</v>
      </c>
      <c r="T21" s="116" t="s">
        <v>39</v>
      </c>
      <c r="U21" s="116" t="s">
        <v>39</v>
      </c>
      <c r="V21" s="116" t="s">
        <v>39</v>
      </c>
      <c r="W21" s="116" t="s">
        <v>39</v>
      </c>
      <c r="X21" s="116" t="s">
        <v>39</v>
      </c>
      <c r="Y21" s="116" t="s">
        <v>39</v>
      </c>
      <c r="Z21" s="116" t="s">
        <v>39</v>
      </c>
      <c r="AA21" s="116" t="s">
        <v>39</v>
      </c>
      <c r="AB21" s="116" t="s">
        <v>39</v>
      </c>
      <c r="AC21" s="116" t="s">
        <v>39</v>
      </c>
      <c r="AD21" s="116" t="s">
        <v>39</v>
      </c>
      <c r="AE21" s="116"/>
      <c r="AF21" s="116" t="s">
        <v>39</v>
      </c>
      <c r="AG21" s="116" t="s">
        <v>39</v>
      </c>
      <c r="AH21" s="116" t="s">
        <v>39</v>
      </c>
      <c r="AI21" s="116">
        <v>526.0</v>
      </c>
      <c r="AJ21" s="116"/>
      <c r="AK21" s="116">
        <v>417.0</v>
      </c>
      <c r="AL21" s="117">
        <v>943.0</v>
      </c>
      <c r="AM21" s="153">
        <v>0.0</v>
      </c>
      <c r="AN21" s="116"/>
    </row>
    <row r="22" ht="15.75" customHeight="1">
      <c r="A22" s="116" t="s">
        <v>38</v>
      </c>
      <c r="B22" s="116" t="s">
        <v>39</v>
      </c>
      <c r="C22" s="116" t="s">
        <v>39</v>
      </c>
      <c r="D22" s="116" t="s">
        <v>39</v>
      </c>
      <c r="E22" s="116" t="s">
        <v>39</v>
      </c>
      <c r="F22" s="116" t="s">
        <v>39</v>
      </c>
      <c r="G22" s="116" t="s">
        <v>39</v>
      </c>
      <c r="H22" s="116"/>
      <c r="I22" s="116" t="s">
        <v>39</v>
      </c>
      <c r="J22" s="116" t="s">
        <v>39</v>
      </c>
      <c r="K22" s="116" t="s">
        <v>39</v>
      </c>
      <c r="L22" s="116" t="s">
        <v>39</v>
      </c>
      <c r="M22" s="116" t="s">
        <v>39</v>
      </c>
      <c r="N22" s="116" t="s">
        <v>39</v>
      </c>
      <c r="O22" s="116" t="s">
        <v>39</v>
      </c>
      <c r="P22" s="116" t="s">
        <v>39</v>
      </c>
      <c r="Q22" s="116" t="s">
        <v>39</v>
      </c>
      <c r="R22" s="116" t="s">
        <v>39</v>
      </c>
      <c r="S22" s="116" t="s">
        <v>39</v>
      </c>
      <c r="T22" s="116" t="s">
        <v>39</v>
      </c>
      <c r="U22" s="116" t="s">
        <v>39</v>
      </c>
      <c r="V22" s="116" t="s">
        <v>39</v>
      </c>
      <c r="W22" s="116" t="s">
        <v>39</v>
      </c>
      <c r="X22" s="116" t="s">
        <v>39</v>
      </c>
      <c r="Y22" s="116" t="s">
        <v>39</v>
      </c>
      <c r="Z22" s="116" t="s">
        <v>39</v>
      </c>
      <c r="AA22" s="116" t="s">
        <v>39</v>
      </c>
      <c r="AB22" s="116" t="s">
        <v>39</v>
      </c>
      <c r="AC22" s="116" t="s">
        <v>39</v>
      </c>
      <c r="AD22" s="116" t="s">
        <v>39</v>
      </c>
      <c r="AE22" s="116"/>
      <c r="AF22" s="116" t="s">
        <v>39</v>
      </c>
      <c r="AG22" s="116" t="s">
        <v>39</v>
      </c>
      <c r="AH22" s="116" t="s">
        <v>39</v>
      </c>
      <c r="AI22" s="116" t="s">
        <v>39</v>
      </c>
      <c r="AJ22" s="116"/>
      <c r="AK22" s="116" t="s">
        <v>39</v>
      </c>
      <c r="AL22" s="117" t="s">
        <v>39</v>
      </c>
      <c r="AM22" s="153">
        <v>0.0</v>
      </c>
      <c r="AN22" s="116"/>
      <c r="AT22" s="129"/>
    </row>
    <row r="23" ht="15.75" customHeight="1">
      <c r="A23" s="116" t="s">
        <v>40</v>
      </c>
      <c r="B23" s="116" t="s">
        <v>39</v>
      </c>
      <c r="C23" s="116" t="s">
        <v>39</v>
      </c>
      <c r="D23" s="116" t="s">
        <v>39</v>
      </c>
      <c r="E23" s="116" t="s">
        <v>39</v>
      </c>
      <c r="F23" s="116" t="s">
        <v>39</v>
      </c>
      <c r="G23" s="116" t="s">
        <v>39</v>
      </c>
      <c r="H23" s="116"/>
      <c r="I23" s="116" t="s">
        <v>39</v>
      </c>
      <c r="J23" s="116" t="s">
        <v>39</v>
      </c>
      <c r="K23" s="116" t="s">
        <v>39</v>
      </c>
      <c r="L23" s="116" t="s">
        <v>39</v>
      </c>
      <c r="M23" s="116" t="s">
        <v>39</v>
      </c>
      <c r="N23" s="116" t="s">
        <v>39</v>
      </c>
      <c r="O23" s="116" t="s">
        <v>39</v>
      </c>
      <c r="P23" s="116" t="s">
        <v>39</v>
      </c>
      <c r="Q23" s="116" t="s">
        <v>39</v>
      </c>
      <c r="R23" s="116" t="s">
        <v>39</v>
      </c>
      <c r="S23" s="116" t="s">
        <v>39</v>
      </c>
      <c r="T23" s="116" t="s">
        <v>39</v>
      </c>
      <c r="U23" s="116" t="s">
        <v>39</v>
      </c>
      <c r="V23" s="116" t="s">
        <v>39</v>
      </c>
      <c r="W23" s="116" t="s">
        <v>39</v>
      </c>
      <c r="X23" s="116" t="s">
        <v>39</v>
      </c>
      <c r="Y23" s="116" t="s">
        <v>39</v>
      </c>
      <c r="Z23" s="116" t="s">
        <v>39</v>
      </c>
      <c r="AA23" s="116" t="s">
        <v>39</v>
      </c>
      <c r="AB23" s="116" t="s">
        <v>39</v>
      </c>
      <c r="AC23" s="116" t="s">
        <v>39</v>
      </c>
      <c r="AD23" s="116" t="s">
        <v>39</v>
      </c>
      <c r="AE23" s="116"/>
      <c r="AF23" s="116" t="s">
        <v>39</v>
      </c>
      <c r="AG23" s="116" t="s">
        <v>39</v>
      </c>
      <c r="AH23" s="116" t="s">
        <v>39</v>
      </c>
      <c r="AI23" s="116" t="s">
        <v>39</v>
      </c>
      <c r="AJ23" s="116"/>
      <c r="AK23" s="116" t="s">
        <v>39</v>
      </c>
      <c r="AL23" s="117" t="s">
        <v>39</v>
      </c>
      <c r="AM23" s="153">
        <v>0.0</v>
      </c>
      <c r="AN23" s="116"/>
    </row>
    <row r="24" ht="15.75" customHeight="1">
      <c r="A24" s="116" t="s">
        <v>41</v>
      </c>
      <c r="B24" s="116">
        <v>283.62</v>
      </c>
      <c r="C24" s="116">
        <v>283.62</v>
      </c>
      <c r="D24" s="116" t="s">
        <v>39</v>
      </c>
      <c r="E24" s="116">
        <v>283.62</v>
      </c>
      <c r="F24" s="116">
        <v>283.62</v>
      </c>
      <c r="G24" s="116">
        <v>283.62</v>
      </c>
      <c r="H24" s="116"/>
      <c r="I24" s="116">
        <v>283.62</v>
      </c>
      <c r="J24" s="116">
        <v>283.62</v>
      </c>
      <c r="K24" s="116" t="s">
        <v>39</v>
      </c>
      <c r="L24" s="116">
        <v>283.62</v>
      </c>
      <c r="M24" s="116">
        <v>283.62</v>
      </c>
      <c r="N24" s="116">
        <v>283.62</v>
      </c>
      <c r="O24" s="116">
        <v>283.62</v>
      </c>
      <c r="P24" s="116">
        <v>567.24</v>
      </c>
      <c r="Q24" s="116">
        <v>283.62</v>
      </c>
      <c r="R24" s="116">
        <v>283.62</v>
      </c>
      <c r="S24" s="116" t="s">
        <v>39</v>
      </c>
      <c r="T24" s="116">
        <v>283.62</v>
      </c>
      <c r="U24" s="116">
        <v>283.62</v>
      </c>
      <c r="V24" s="116">
        <v>283.62</v>
      </c>
      <c r="W24" s="116" t="s">
        <v>39</v>
      </c>
      <c r="X24" s="116">
        <v>283.62</v>
      </c>
      <c r="Y24" s="116">
        <v>283.62</v>
      </c>
      <c r="Z24" s="116">
        <v>283.62</v>
      </c>
      <c r="AA24" s="116">
        <v>567.24</v>
      </c>
      <c r="AB24" s="116">
        <v>283.62</v>
      </c>
      <c r="AC24" s="116">
        <v>283.62</v>
      </c>
      <c r="AD24" s="116">
        <v>283.62</v>
      </c>
      <c r="AE24" s="116"/>
      <c r="AF24" s="116">
        <v>283.62</v>
      </c>
      <c r="AG24" s="116">
        <v>283.62</v>
      </c>
      <c r="AH24" s="116">
        <v>567.24</v>
      </c>
      <c r="AI24" s="116">
        <v>283.62</v>
      </c>
      <c r="AJ24" s="116"/>
      <c r="AK24" s="138">
        <v>4881.91</v>
      </c>
      <c r="AL24" s="147">
        <v>13674.13</v>
      </c>
      <c r="AM24" s="153">
        <v>0.01</v>
      </c>
      <c r="AN24" s="116"/>
    </row>
    <row r="25" ht="15.75" customHeight="1">
      <c r="A25" s="116" t="s">
        <v>42</v>
      </c>
      <c r="B25" s="116">
        <v>442.63</v>
      </c>
      <c r="C25" s="116">
        <v>85.34</v>
      </c>
      <c r="D25" s="116" t="s">
        <v>39</v>
      </c>
      <c r="E25" s="116">
        <v>65.69</v>
      </c>
      <c r="F25" s="116">
        <v>259.22</v>
      </c>
      <c r="G25" s="116">
        <v>56.45</v>
      </c>
      <c r="H25" s="116"/>
      <c r="I25" s="116">
        <v>365.05</v>
      </c>
      <c r="J25" s="116">
        <v>248.88</v>
      </c>
      <c r="K25" s="116">
        <v>120.79</v>
      </c>
      <c r="L25" s="116">
        <v>154.28</v>
      </c>
      <c r="M25" s="116">
        <v>64.02</v>
      </c>
      <c r="N25" s="116" t="s">
        <v>39</v>
      </c>
      <c r="O25" s="116">
        <v>67.74</v>
      </c>
      <c r="P25" s="116" t="s">
        <v>39</v>
      </c>
      <c r="Q25" s="116">
        <v>192.2</v>
      </c>
      <c r="R25" s="116">
        <v>67.74</v>
      </c>
      <c r="S25" s="116" t="s">
        <v>39</v>
      </c>
      <c r="T25" s="116" t="s">
        <v>39</v>
      </c>
      <c r="U25" s="116">
        <v>43.28</v>
      </c>
      <c r="V25" s="116">
        <v>300.58</v>
      </c>
      <c r="W25" s="116" t="s">
        <v>39</v>
      </c>
      <c r="X25" s="116">
        <v>67.74</v>
      </c>
      <c r="Y25" s="116">
        <v>17.6</v>
      </c>
      <c r="Z25" s="116" t="s">
        <v>39</v>
      </c>
      <c r="AA25" s="116">
        <v>149.84</v>
      </c>
      <c r="AB25" s="116">
        <v>67.74</v>
      </c>
      <c r="AC25" s="116">
        <v>90.2</v>
      </c>
      <c r="AD25" s="116" t="s">
        <v>39</v>
      </c>
      <c r="AE25" s="116"/>
      <c r="AF25" s="116" t="s">
        <v>39</v>
      </c>
      <c r="AG25" s="116">
        <v>101.78</v>
      </c>
      <c r="AH25" s="116">
        <v>190.96</v>
      </c>
      <c r="AI25" s="116" t="s">
        <v>39</v>
      </c>
      <c r="AJ25" s="116"/>
      <c r="AK25" s="138">
        <v>3876.58</v>
      </c>
      <c r="AL25" s="147">
        <v>7096.33</v>
      </c>
      <c r="AM25" s="153">
        <v>0.0</v>
      </c>
      <c r="AN25" s="116"/>
    </row>
    <row r="26" ht="15.75" customHeight="1">
      <c r="A26" s="116" t="s">
        <v>43</v>
      </c>
      <c r="B26" s="116" t="s">
        <v>39</v>
      </c>
      <c r="C26" s="116" t="s">
        <v>39</v>
      </c>
      <c r="D26" s="116" t="s">
        <v>39</v>
      </c>
      <c r="E26" s="116" t="s">
        <v>39</v>
      </c>
      <c r="F26" s="116" t="s">
        <v>39</v>
      </c>
      <c r="G26" s="116" t="s">
        <v>39</v>
      </c>
      <c r="H26" s="116"/>
      <c r="I26" s="116" t="s">
        <v>39</v>
      </c>
      <c r="J26" s="116" t="s">
        <v>39</v>
      </c>
      <c r="K26" s="116" t="s">
        <v>39</v>
      </c>
      <c r="L26" s="116" t="s">
        <v>39</v>
      </c>
      <c r="M26" s="116" t="s">
        <v>39</v>
      </c>
      <c r="N26" s="116" t="s">
        <v>39</v>
      </c>
      <c r="O26" s="116" t="s">
        <v>39</v>
      </c>
      <c r="P26" s="116" t="s">
        <v>39</v>
      </c>
      <c r="Q26" s="116" t="s">
        <v>39</v>
      </c>
      <c r="R26" s="116" t="s">
        <v>39</v>
      </c>
      <c r="S26" s="116" t="s">
        <v>39</v>
      </c>
      <c r="T26" s="116" t="s">
        <v>39</v>
      </c>
      <c r="U26" s="116" t="s">
        <v>39</v>
      </c>
      <c r="V26" s="116" t="s">
        <v>39</v>
      </c>
      <c r="W26" s="116" t="s">
        <v>39</v>
      </c>
      <c r="X26" s="116" t="s">
        <v>39</v>
      </c>
      <c r="Y26" s="116" t="s">
        <v>39</v>
      </c>
      <c r="Z26" s="116" t="s">
        <v>39</v>
      </c>
      <c r="AA26" s="116" t="s">
        <v>39</v>
      </c>
      <c r="AB26" s="116" t="s">
        <v>39</v>
      </c>
      <c r="AC26" s="116" t="s">
        <v>39</v>
      </c>
      <c r="AD26" s="116" t="s">
        <v>39</v>
      </c>
      <c r="AE26" s="116"/>
      <c r="AF26" s="116" t="s">
        <v>39</v>
      </c>
      <c r="AG26" s="116" t="s">
        <v>39</v>
      </c>
      <c r="AH26" s="116" t="s">
        <v>39</v>
      </c>
      <c r="AI26" s="116" t="s">
        <v>39</v>
      </c>
      <c r="AJ26" s="116"/>
      <c r="AK26" s="138">
        <v>44837.96</v>
      </c>
      <c r="AL26" s="147">
        <v>44837.96</v>
      </c>
      <c r="AM26" s="153">
        <v>0.0</v>
      </c>
      <c r="AN26" s="116"/>
    </row>
    <row r="27" ht="15.75" customHeight="1">
      <c r="A27" s="116" t="s">
        <v>44</v>
      </c>
      <c r="B27" s="116" t="s">
        <v>39</v>
      </c>
      <c r="C27" s="116" t="s">
        <v>39</v>
      </c>
      <c r="D27" s="116" t="s">
        <v>39</v>
      </c>
      <c r="E27" s="116" t="s">
        <v>39</v>
      </c>
      <c r="F27" s="116" t="s">
        <v>39</v>
      </c>
      <c r="G27" s="116" t="s">
        <v>39</v>
      </c>
      <c r="H27" s="116"/>
      <c r="I27" s="116" t="s">
        <v>39</v>
      </c>
      <c r="J27" s="116" t="s">
        <v>39</v>
      </c>
      <c r="K27" s="116" t="s">
        <v>39</v>
      </c>
      <c r="L27" s="116" t="s">
        <v>39</v>
      </c>
      <c r="M27" s="116" t="s">
        <v>39</v>
      </c>
      <c r="N27" s="116" t="s">
        <v>39</v>
      </c>
      <c r="O27" s="116" t="s">
        <v>39</v>
      </c>
      <c r="P27" s="116" t="s">
        <v>39</v>
      </c>
      <c r="Q27" s="116" t="s">
        <v>39</v>
      </c>
      <c r="R27" s="116" t="s">
        <v>39</v>
      </c>
      <c r="S27" s="116" t="s">
        <v>39</v>
      </c>
      <c r="T27" s="116" t="s">
        <v>39</v>
      </c>
      <c r="U27" s="116" t="s">
        <v>39</v>
      </c>
      <c r="V27" s="116" t="s">
        <v>39</v>
      </c>
      <c r="W27" s="116" t="s">
        <v>39</v>
      </c>
      <c r="X27" s="116" t="s">
        <v>39</v>
      </c>
      <c r="Y27" s="116" t="s">
        <v>39</v>
      </c>
      <c r="Z27" s="116" t="s">
        <v>39</v>
      </c>
      <c r="AA27" s="116" t="s">
        <v>39</v>
      </c>
      <c r="AB27" s="116" t="s">
        <v>39</v>
      </c>
      <c r="AC27" s="116" t="s">
        <v>39</v>
      </c>
      <c r="AD27" s="116" t="s">
        <v>39</v>
      </c>
      <c r="AE27" s="116"/>
      <c r="AF27" s="116" t="s">
        <v>39</v>
      </c>
      <c r="AG27" s="116" t="s">
        <v>39</v>
      </c>
      <c r="AH27" s="116" t="s">
        <v>39</v>
      </c>
      <c r="AI27" s="116" t="s">
        <v>39</v>
      </c>
      <c r="AJ27" s="116"/>
      <c r="AK27" s="116" t="s">
        <v>39</v>
      </c>
      <c r="AL27" s="117" t="s">
        <v>39</v>
      </c>
      <c r="AM27" s="153">
        <v>0.0</v>
      </c>
      <c r="AN27" s="116"/>
      <c r="AV27" s="129"/>
      <c r="BC27" s="129"/>
    </row>
    <row r="28" ht="15.75" customHeight="1">
      <c r="A28" s="116" t="s">
        <v>45</v>
      </c>
      <c r="B28" s="116" t="s">
        <v>39</v>
      </c>
      <c r="C28" s="116" t="s">
        <v>39</v>
      </c>
      <c r="D28" s="116" t="s">
        <v>39</v>
      </c>
      <c r="E28" s="116" t="s">
        <v>39</v>
      </c>
      <c r="F28" s="116" t="s">
        <v>39</v>
      </c>
      <c r="G28" s="116" t="s">
        <v>39</v>
      </c>
      <c r="H28" s="116"/>
      <c r="I28" s="116" t="s">
        <v>39</v>
      </c>
      <c r="J28" s="116" t="s">
        <v>39</v>
      </c>
      <c r="K28" s="116" t="s">
        <v>39</v>
      </c>
      <c r="L28" s="116" t="s">
        <v>39</v>
      </c>
      <c r="M28" s="116" t="s">
        <v>39</v>
      </c>
      <c r="N28" s="116" t="s">
        <v>39</v>
      </c>
      <c r="O28" s="116" t="s">
        <v>39</v>
      </c>
      <c r="P28" s="116" t="s">
        <v>39</v>
      </c>
      <c r="Q28" s="116" t="s">
        <v>39</v>
      </c>
      <c r="R28" s="116" t="s">
        <v>39</v>
      </c>
      <c r="S28" s="116" t="s">
        <v>39</v>
      </c>
      <c r="T28" s="116" t="s">
        <v>39</v>
      </c>
      <c r="U28" s="116" t="s">
        <v>39</v>
      </c>
      <c r="V28" s="116" t="s">
        <v>39</v>
      </c>
      <c r="W28" s="116" t="s">
        <v>39</v>
      </c>
      <c r="X28" s="116" t="s">
        <v>39</v>
      </c>
      <c r="Y28" s="116" t="s">
        <v>39</v>
      </c>
      <c r="Z28" s="116" t="s">
        <v>39</v>
      </c>
      <c r="AA28" s="116" t="s">
        <v>39</v>
      </c>
      <c r="AB28" s="116" t="s">
        <v>39</v>
      </c>
      <c r="AC28" s="116" t="s">
        <v>39</v>
      </c>
      <c r="AD28" s="116" t="s">
        <v>39</v>
      </c>
      <c r="AE28" s="116"/>
      <c r="AF28" s="116" t="s">
        <v>39</v>
      </c>
      <c r="AG28" s="116" t="s">
        <v>39</v>
      </c>
      <c r="AH28" s="116" t="s">
        <v>39</v>
      </c>
      <c r="AI28" s="116" t="s">
        <v>39</v>
      </c>
      <c r="AJ28" s="116"/>
      <c r="AK28" s="138">
        <v>2100.0</v>
      </c>
      <c r="AL28" s="147">
        <v>2100.0</v>
      </c>
      <c r="AM28" s="153">
        <v>0.0</v>
      </c>
      <c r="AN28" s="116"/>
    </row>
    <row r="29" ht="15.75" customHeight="1">
      <c r="A29" s="116" t="s">
        <v>46</v>
      </c>
      <c r="B29" s="128" t="s">
        <v>39</v>
      </c>
      <c r="C29" s="128" t="s">
        <v>39</v>
      </c>
      <c r="D29" s="128" t="s">
        <v>39</v>
      </c>
      <c r="E29" s="128" t="s">
        <v>39</v>
      </c>
      <c r="F29" s="128" t="s">
        <v>39</v>
      </c>
      <c r="G29" s="128" t="s">
        <v>39</v>
      </c>
      <c r="H29" s="128"/>
      <c r="I29" s="128" t="s">
        <v>39</v>
      </c>
      <c r="J29" s="128" t="s">
        <v>39</v>
      </c>
      <c r="K29" s="128" t="s">
        <v>39</v>
      </c>
      <c r="L29" s="128" t="s">
        <v>39</v>
      </c>
      <c r="M29" s="128" t="s">
        <v>39</v>
      </c>
      <c r="N29" s="128" t="s">
        <v>39</v>
      </c>
      <c r="O29" s="128" t="s">
        <v>39</v>
      </c>
      <c r="P29" s="128" t="s">
        <v>39</v>
      </c>
      <c r="Q29" s="128" t="s">
        <v>39</v>
      </c>
      <c r="R29" s="128" t="s">
        <v>39</v>
      </c>
      <c r="S29" s="128" t="s">
        <v>39</v>
      </c>
      <c r="T29" s="128" t="s">
        <v>39</v>
      </c>
      <c r="U29" s="128" t="s">
        <v>39</v>
      </c>
      <c r="V29" s="128" t="s">
        <v>39</v>
      </c>
      <c r="W29" s="128" t="s">
        <v>39</v>
      </c>
      <c r="X29" s="128" t="s">
        <v>39</v>
      </c>
      <c r="Y29" s="128" t="s">
        <v>39</v>
      </c>
      <c r="Z29" s="128" t="s">
        <v>39</v>
      </c>
      <c r="AA29" s="128" t="s">
        <v>39</v>
      </c>
      <c r="AB29" s="128" t="s">
        <v>39</v>
      </c>
      <c r="AC29" s="128" t="s">
        <v>39</v>
      </c>
      <c r="AD29" s="128" t="s">
        <v>39</v>
      </c>
      <c r="AE29" s="128"/>
      <c r="AF29" s="128" t="s">
        <v>39</v>
      </c>
      <c r="AG29" s="128" t="s">
        <v>39</v>
      </c>
      <c r="AH29" s="128" t="s">
        <v>39</v>
      </c>
      <c r="AI29" s="128" t="s">
        <v>39</v>
      </c>
      <c r="AJ29" s="128"/>
      <c r="AK29" s="128">
        <v>12722.53</v>
      </c>
      <c r="AL29" s="152">
        <v>12722.53</v>
      </c>
      <c r="AM29" s="153">
        <v>0.0</v>
      </c>
      <c r="AN29" s="128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</row>
    <row r="30" ht="15.75" customHeight="1">
      <c r="A30" s="116" t="s">
        <v>47</v>
      </c>
      <c r="B30" s="116" t="s">
        <v>39</v>
      </c>
      <c r="C30" s="116" t="s">
        <v>39</v>
      </c>
      <c r="D30" s="116" t="s">
        <v>39</v>
      </c>
      <c r="E30" s="116" t="s">
        <v>39</v>
      </c>
      <c r="F30" s="116" t="s">
        <v>39</v>
      </c>
      <c r="G30" s="116" t="s">
        <v>39</v>
      </c>
      <c r="H30" s="116"/>
      <c r="I30" s="116" t="s">
        <v>39</v>
      </c>
      <c r="J30" s="116" t="s">
        <v>39</v>
      </c>
      <c r="K30" s="116" t="s">
        <v>39</v>
      </c>
      <c r="L30" s="116" t="s">
        <v>39</v>
      </c>
      <c r="M30" s="116" t="s">
        <v>39</v>
      </c>
      <c r="N30" s="116" t="s">
        <v>39</v>
      </c>
      <c r="O30" s="116" t="s">
        <v>39</v>
      </c>
      <c r="P30" s="116" t="s">
        <v>39</v>
      </c>
      <c r="Q30" s="116" t="s">
        <v>39</v>
      </c>
      <c r="R30" s="116" t="s">
        <v>39</v>
      </c>
      <c r="S30" s="116" t="s">
        <v>39</v>
      </c>
      <c r="T30" s="116" t="s">
        <v>39</v>
      </c>
      <c r="U30" s="116" t="s">
        <v>39</v>
      </c>
      <c r="V30" s="116" t="s">
        <v>39</v>
      </c>
      <c r="W30" s="116" t="s">
        <v>39</v>
      </c>
      <c r="X30" s="116" t="s">
        <v>39</v>
      </c>
      <c r="Y30" s="116" t="s">
        <v>39</v>
      </c>
      <c r="Z30" s="116" t="s">
        <v>39</v>
      </c>
      <c r="AA30" s="116" t="s">
        <v>39</v>
      </c>
      <c r="AB30" s="116" t="s">
        <v>39</v>
      </c>
      <c r="AC30" s="116" t="s">
        <v>39</v>
      </c>
      <c r="AD30" s="116" t="s">
        <v>39</v>
      </c>
      <c r="AE30" s="116"/>
      <c r="AF30" s="116" t="s">
        <v>39</v>
      </c>
      <c r="AG30" s="116" t="s">
        <v>39</v>
      </c>
      <c r="AH30" s="116" t="s">
        <v>39</v>
      </c>
      <c r="AI30" s="116" t="s">
        <v>39</v>
      </c>
      <c r="AJ30" s="116"/>
      <c r="AK30" s="116" t="s">
        <v>39</v>
      </c>
      <c r="AL30" s="117" t="s">
        <v>39</v>
      </c>
      <c r="AM30" s="153">
        <v>0.0</v>
      </c>
      <c r="AN30" s="116"/>
    </row>
    <row r="31" ht="15.75" customHeight="1">
      <c r="A31" s="116" t="s">
        <v>48</v>
      </c>
      <c r="B31" s="128" t="s">
        <v>39</v>
      </c>
      <c r="C31" s="128" t="s">
        <v>39</v>
      </c>
      <c r="D31" s="128" t="s">
        <v>39</v>
      </c>
      <c r="E31" s="128" t="s">
        <v>39</v>
      </c>
      <c r="F31" s="128" t="s">
        <v>39</v>
      </c>
      <c r="G31" s="128" t="s">
        <v>39</v>
      </c>
      <c r="H31" s="128"/>
      <c r="I31" s="128" t="s">
        <v>39</v>
      </c>
      <c r="J31" s="128" t="s">
        <v>39</v>
      </c>
      <c r="K31" s="128" t="s">
        <v>39</v>
      </c>
      <c r="L31" s="128" t="s">
        <v>39</v>
      </c>
      <c r="M31" s="128" t="s">
        <v>39</v>
      </c>
      <c r="N31" s="128" t="s">
        <v>39</v>
      </c>
      <c r="O31" s="128" t="s">
        <v>39</v>
      </c>
      <c r="P31" s="128" t="s">
        <v>39</v>
      </c>
      <c r="Q31" s="128" t="s">
        <v>39</v>
      </c>
      <c r="R31" s="128" t="s">
        <v>39</v>
      </c>
      <c r="S31" s="128" t="s">
        <v>39</v>
      </c>
      <c r="T31" s="128" t="s">
        <v>39</v>
      </c>
      <c r="U31" s="128" t="s">
        <v>39</v>
      </c>
      <c r="V31" s="128" t="s">
        <v>39</v>
      </c>
      <c r="W31" s="128" t="s">
        <v>39</v>
      </c>
      <c r="X31" s="128" t="s">
        <v>39</v>
      </c>
      <c r="Y31" s="128" t="s">
        <v>39</v>
      </c>
      <c r="Z31" s="128" t="s">
        <v>39</v>
      </c>
      <c r="AA31" s="128" t="s">
        <v>39</v>
      </c>
      <c r="AB31" s="128" t="s">
        <v>39</v>
      </c>
      <c r="AC31" s="128" t="s">
        <v>39</v>
      </c>
      <c r="AD31" s="128" t="s">
        <v>39</v>
      </c>
      <c r="AE31" s="128"/>
      <c r="AF31" s="128" t="s">
        <v>39</v>
      </c>
      <c r="AG31" s="128" t="s">
        <v>39</v>
      </c>
      <c r="AH31" s="128" t="s">
        <v>39</v>
      </c>
      <c r="AI31" s="128" t="s">
        <v>39</v>
      </c>
      <c r="AJ31" s="128"/>
      <c r="AK31" s="128">
        <v>18703.14</v>
      </c>
      <c r="AL31" s="152">
        <v>18703.14</v>
      </c>
      <c r="AM31" s="153">
        <v>0.0</v>
      </c>
      <c r="AN31" s="128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</row>
    <row r="32" ht="15.75" customHeight="1">
      <c r="A32" s="116" t="s">
        <v>49</v>
      </c>
      <c r="B32" s="116" t="s">
        <v>39</v>
      </c>
      <c r="C32" s="116" t="s">
        <v>39</v>
      </c>
      <c r="D32" s="116" t="s">
        <v>39</v>
      </c>
      <c r="E32" s="116" t="s">
        <v>39</v>
      </c>
      <c r="F32" s="116" t="s">
        <v>39</v>
      </c>
      <c r="G32" s="116" t="s">
        <v>39</v>
      </c>
      <c r="H32" s="116"/>
      <c r="I32" s="116" t="s">
        <v>39</v>
      </c>
      <c r="J32" s="116" t="s">
        <v>39</v>
      </c>
      <c r="K32" s="116" t="s">
        <v>39</v>
      </c>
      <c r="L32" s="116" t="s">
        <v>39</v>
      </c>
      <c r="M32" s="116" t="s">
        <v>39</v>
      </c>
      <c r="N32" s="116" t="s">
        <v>39</v>
      </c>
      <c r="O32" s="116" t="s">
        <v>39</v>
      </c>
      <c r="P32" s="116" t="s">
        <v>39</v>
      </c>
      <c r="Q32" s="116" t="s">
        <v>39</v>
      </c>
      <c r="R32" s="116" t="s">
        <v>39</v>
      </c>
      <c r="S32" s="116" t="s">
        <v>39</v>
      </c>
      <c r="T32" s="116" t="s">
        <v>39</v>
      </c>
      <c r="U32" s="116" t="s">
        <v>39</v>
      </c>
      <c r="V32" s="116" t="s">
        <v>39</v>
      </c>
      <c r="W32" s="116" t="s">
        <v>39</v>
      </c>
      <c r="X32" s="116" t="s">
        <v>39</v>
      </c>
      <c r="Y32" s="116" t="s">
        <v>39</v>
      </c>
      <c r="Z32" s="116" t="s">
        <v>39</v>
      </c>
      <c r="AA32" s="116" t="s">
        <v>39</v>
      </c>
      <c r="AB32" s="116" t="s">
        <v>39</v>
      </c>
      <c r="AC32" s="116" t="s">
        <v>39</v>
      </c>
      <c r="AD32" s="116" t="s">
        <v>39</v>
      </c>
      <c r="AE32" s="116"/>
      <c r="AF32" s="116" t="s">
        <v>39</v>
      </c>
      <c r="AG32" s="116" t="s">
        <v>39</v>
      </c>
      <c r="AH32" s="116" t="s">
        <v>39</v>
      </c>
      <c r="AI32" s="116" t="s">
        <v>39</v>
      </c>
      <c r="AJ32" s="116"/>
      <c r="AK32" s="116" t="s">
        <v>39</v>
      </c>
      <c r="AL32" s="117" t="s">
        <v>39</v>
      </c>
      <c r="AM32" s="153">
        <v>0.0</v>
      </c>
      <c r="AN32" s="116"/>
    </row>
    <row r="33" ht="15.75" customHeight="1">
      <c r="A33" s="116" t="s">
        <v>50</v>
      </c>
      <c r="B33" s="116" t="s">
        <v>39</v>
      </c>
      <c r="C33" s="116" t="s">
        <v>39</v>
      </c>
      <c r="D33" s="116" t="s">
        <v>39</v>
      </c>
      <c r="E33" s="116" t="s">
        <v>39</v>
      </c>
      <c r="F33" s="116" t="s">
        <v>39</v>
      </c>
      <c r="G33" s="116" t="s">
        <v>39</v>
      </c>
      <c r="H33" s="116"/>
      <c r="I33" s="116" t="s">
        <v>39</v>
      </c>
      <c r="J33" s="116" t="s">
        <v>39</v>
      </c>
      <c r="K33" s="116" t="s">
        <v>39</v>
      </c>
      <c r="L33" s="116" t="s">
        <v>39</v>
      </c>
      <c r="M33" s="116" t="s">
        <v>39</v>
      </c>
      <c r="N33" s="116" t="s">
        <v>39</v>
      </c>
      <c r="O33" s="116" t="s">
        <v>39</v>
      </c>
      <c r="P33" s="116" t="s">
        <v>39</v>
      </c>
      <c r="Q33" s="116" t="s">
        <v>39</v>
      </c>
      <c r="R33" s="116" t="s">
        <v>39</v>
      </c>
      <c r="S33" s="116" t="s">
        <v>39</v>
      </c>
      <c r="T33" s="116" t="s">
        <v>39</v>
      </c>
      <c r="U33" s="116" t="s">
        <v>39</v>
      </c>
      <c r="V33" s="116" t="s">
        <v>39</v>
      </c>
      <c r="W33" s="116" t="s">
        <v>39</v>
      </c>
      <c r="X33" s="116" t="s">
        <v>39</v>
      </c>
      <c r="Y33" s="116" t="s">
        <v>39</v>
      </c>
      <c r="Z33" s="116" t="s">
        <v>39</v>
      </c>
      <c r="AA33" s="116" t="s">
        <v>39</v>
      </c>
      <c r="AB33" s="116" t="s">
        <v>39</v>
      </c>
      <c r="AC33" s="116" t="s">
        <v>39</v>
      </c>
      <c r="AD33" s="116" t="s">
        <v>39</v>
      </c>
      <c r="AE33" s="116"/>
      <c r="AF33" s="116" t="s">
        <v>39</v>
      </c>
      <c r="AG33" s="116" t="s">
        <v>39</v>
      </c>
      <c r="AH33" s="116" t="s">
        <v>39</v>
      </c>
      <c r="AI33" s="116" t="s">
        <v>39</v>
      </c>
      <c r="AJ33" s="116"/>
      <c r="AK33" s="138">
        <v>5000.0</v>
      </c>
      <c r="AL33" s="147">
        <v>5000.0</v>
      </c>
      <c r="AM33" s="153">
        <v>0.0</v>
      </c>
      <c r="AN33" s="116"/>
    </row>
    <row r="34" ht="15.75" customHeight="1">
      <c r="A34" s="116" t="s">
        <v>51</v>
      </c>
      <c r="B34" s="116" t="s">
        <v>39</v>
      </c>
      <c r="C34" s="116" t="s">
        <v>39</v>
      </c>
      <c r="D34" s="116" t="s">
        <v>39</v>
      </c>
      <c r="E34" s="116" t="s">
        <v>39</v>
      </c>
      <c r="F34" s="116" t="s">
        <v>39</v>
      </c>
      <c r="G34" s="116" t="s">
        <v>39</v>
      </c>
      <c r="H34" s="116"/>
      <c r="I34" s="116" t="s">
        <v>39</v>
      </c>
      <c r="J34" s="116" t="s">
        <v>39</v>
      </c>
      <c r="K34" s="116" t="s">
        <v>39</v>
      </c>
      <c r="L34" s="116" t="s">
        <v>39</v>
      </c>
      <c r="M34" s="116" t="s">
        <v>39</v>
      </c>
      <c r="N34" s="116" t="s">
        <v>39</v>
      </c>
      <c r="O34" s="116" t="s">
        <v>39</v>
      </c>
      <c r="P34" s="116" t="s">
        <v>39</v>
      </c>
      <c r="Q34" s="116" t="s">
        <v>39</v>
      </c>
      <c r="R34" s="116" t="s">
        <v>39</v>
      </c>
      <c r="S34" s="116" t="s">
        <v>39</v>
      </c>
      <c r="T34" s="116" t="s">
        <v>39</v>
      </c>
      <c r="U34" s="116" t="s">
        <v>39</v>
      </c>
      <c r="V34" s="116" t="s">
        <v>39</v>
      </c>
      <c r="W34" s="116" t="s">
        <v>39</v>
      </c>
      <c r="X34" s="116" t="s">
        <v>39</v>
      </c>
      <c r="Y34" s="116" t="s">
        <v>39</v>
      </c>
      <c r="Z34" s="116" t="s">
        <v>39</v>
      </c>
      <c r="AA34" s="116" t="s">
        <v>39</v>
      </c>
      <c r="AB34" s="116" t="s">
        <v>39</v>
      </c>
      <c r="AC34" s="116" t="s">
        <v>39</v>
      </c>
      <c r="AD34" s="116" t="s">
        <v>39</v>
      </c>
      <c r="AE34" s="116"/>
      <c r="AF34" s="116" t="s">
        <v>39</v>
      </c>
      <c r="AG34" s="116" t="s">
        <v>39</v>
      </c>
      <c r="AH34" s="116" t="s">
        <v>39</v>
      </c>
      <c r="AI34" s="116" t="s">
        <v>39</v>
      </c>
      <c r="AJ34" s="116"/>
      <c r="AK34" s="116" t="s">
        <v>39</v>
      </c>
      <c r="AL34" s="117" t="s">
        <v>39</v>
      </c>
      <c r="AM34" s="153">
        <v>0.01</v>
      </c>
      <c r="AN34" s="116"/>
    </row>
    <row r="35" ht="15.75" customHeight="1">
      <c r="A35" s="116" t="s">
        <v>52</v>
      </c>
      <c r="B35" s="116" t="s">
        <v>39</v>
      </c>
      <c r="C35" s="116" t="s">
        <v>39</v>
      </c>
      <c r="D35" s="116" t="s">
        <v>39</v>
      </c>
      <c r="E35" s="116" t="s">
        <v>39</v>
      </c>
      <c r="F35" s="116" t="s">
        <v>39</v>
      </c>
      <c r="G35" s="116" t="s">
        <v>39</v>
      </c>
      <c r="H35" s="116"/>
      <c r="I35" s="116" t="s">
        <v>39</v>
      </c>
      <c r="J35" s="116" t="s">
        <v>39</v>
      </c>
      <c r="K35" s="116" t="s">
        <v>39</v>
      </c>
      <c r="L35" s="116" t="s">
        <v>39</v>
      </c>
      <c r="M35" s="116" t="s">
        <v>39</v>
      </c>
      <c r="N35" s="116" t="s">
        <v>39</v>
      </c>
      <c r="O35" s="116" t="s">
        <v>39</v>
      </c>
      <c r="P35" s="116" t="s">
        <v>39</v>
      </c>
      <c r="Q35" s="116" t="s">
        <v>39</v>
      </c>
      <c r="R35" s="116" t="s">
        <v>39</v>
      </c>
      <c r="S35" s="116" t="s">
        <v>39</v>
      </c>
      <c r="T35" s="116" t="s">
        <v>39</v>
      </c>
      <c r="U35" s="116" t="s">
        <v>39</v>
      </c>
      <c r="V35" s="116" t="s">
        <v>39</v>
      </c>
      <c r="W35" s="116" t="s">
        <v>39</v>
      </c>
      <c r="X35" s="116" t="s">
        <v>39</v>
      </c>
      <c r="Y35" s="116" t="s">
        <v>39</v>
      </c>
      <c r="Z35" s="116" t="s">
        <v>39</v>
      </c>
      <c r="AA35" s="116" t="s">
        <v>39</v>
      </c>
      <c r="AB35" s="116" t="s">
        <v>39</v>
      </c>
      <c r="AC35" s="116" t="s">
        <v>39</v>
      </c>
      <c r="AD35" s="116" t="s">
        <v>39</v>
      </c>
      <c r="AE35" s="116"/>
      <c r="AF35" s="116" t="s">
        <v>39</v>
      </c>
      <c r="AG35" s="116" t="s">
        <v>39</v>
      </c>
      <c r="AH35" s="116" t="s">
        <v>39</v>
      </c>
      <c r="AI35" s="116" t="s">
        <v>39</v>
      </c>
      <c r="AJ35" s="116"/>
      <c r="AK35" s="116" t="s">
        <v>39</v>
      </c>
      <c r="AL35" s="117" t="s">
        <v>39</v>
      </c>
      <c r="AM35" s="153">
        <v>0.0</v>
      </c>
      <c r="AN35" s="116"/>
    </row>
    <row r="36" ht="15.75" customHeight="1">
      <c r="A36" s="116" t="s">
        <v>53</v>
      </c>
      <c r="B36" s="116" t="s">
        <v>39</v>
      </c>
      <c r="C36" s="116" t="s">
        <v>39</v>
      </c>
      <c r="D36" s="116" t="s">
        <v>39</v>
      </c>
      <c r="E36" s="116" t="s">
        <v>39</v>
      </c>
      <c r="F36" s="116" t="s">
        <v>39</v>
      </c>
      <c r="G36" s="116" t="s">
        <v>39</v>
      </c>
      <c r="H36" s="116"/>
      <c r="I36" s="116" t="s">
        <v>39</v>
      </c>
      <c r="J36" s="116" t="s">
        <v>39</v>
      </c>
      <c r="K36" s="116" t="s">
        <v>39</v>
      </c>
      <c r="L36" s="116" t="s">
        <v>39</v>
      </c>
      <c r="M36" s="116" t="s">
        <v>39</v>
      </c>
      <c r="N36" s="116" t="s">
        <v>39</v>
      </c>
      <c r="O36" s="116" t="s">
        <v>39</v>
      </c>
      <c r="P36" s="116" t="s">
        <v>39</v>
      </c>
      <c r="Q36" s="116" t="s">
        <v>39</v>
      </c>
      <c r="R36" s="116" t="s">
        <v>39</v>
      </c>
      <c r="S36" s="116" t="s">
        <v>39</v>
      </c>
      <c r="T36" s="116" t="s">
        <v>39</v>
      </c>
      <c r="U36" s="116" t="s">
        <v>39</v>
      </c>
      <c r="V36" s="116" t="s">
        <v>39</v>
      </c>
      <c r="W36" s="116" t="s">
        <v>39</v>
      </c>
      <c r="X36" s="116" t="s">
        <v>39</v>
      </c>
      <c r="Y36" s="116" t="s">
        <v>39</v>
      </c>
      <c r="Z36" s="116" t="s">
        <v>39</v>
      </c>
      <c r="AA36" s="116" t="s">
        <v>39</v>
      </c>
      <c r="AB36" s="116" t="s">
        <v>39</v>
      </c>
      <c r="AC36" s="116" t="s">
        <v>39</v>
      </c>
      <c r="AD36" s="116" t="s">
        <v>39</v>
      </c>
      <c r="AE36" s="116"/>
      <c r="AF36" s="116" t="s">
        <v>39</v>
      </c>
      <c r="AG36" s="116" t="s">
        <v>39</v>
      </c>
      <c r="AH36" s="116" t="s">
        <v>39</v>
      </c>
      <c r="AI36" s="116" t="s">
        <v>39</v>
      </c>
      <c r="AJ36" s="116"/>
      <c r="AK36" s="116" t="s">
        <v>39</v>
      </c>
      <c r="AL36" s="117" t="s">
        <v>39</v>
      </c>
      <c r="AM36" s="153">
        <v>0.0</v>
      </c>
      <c r="AN36" s="116"/>
    </row>
    <row r="37" ht="15.75" customHeight="1">
      <c r="A37" s="116" t="s">
        <v>54</v>
      </c>
      <c r="B37" s="116" t="s">
        <v>39</v>
      </c>
      <c r="C37" s="116" t="s">
        <v>39</v>
      </c>
      <c r="D37" s="116" t="s">
        <v>39</v>
      </c>
      <c r="E37" s="116" t="s">
        <v>39</v>
      </c>
      <c r="F37" s="116" t="s">
        <v>39</v>
      </c>
      <c r="G37" s="116" t="s">
        <v>39</v>
      </c>
      <c r="H37" s="116"/>
      <c r="I37" s="116" t="s">
        <v>39</v>
      </c>
      <c r="J37" s="116" t="s">
        <v>39</v>
      </c>
      <c r="K37" s="116" t="s">
        <v>39</v>
      </c>
      <c r="L37" s="116" t="s">
        <v>39</v>
      </c>
      <c r="M37" s="116" t="s">
        <v>39</v>
      </c>
      <c r="N37" s="116" t="s">
        <v>39</v>
      </c>
      <c r="O37" s="116" t="s">
        <v>39</v>
      </c>
      <c r="P37" s="116" t="s">
        <v>39</v>
      </c>
      <c r="Q37" s="116" t="s">
        <v>39</v>
      </c>
      <c r="R37" s="116" t="s">
        <v>39</v>
      </c>
      <c r="S37" s="116" t="s">
        <v>39</v>
      </c>
      <c r="T37" s="116" t="s">
        <v>39</v>
      </c>
      <c r="U37" s="116" t="s">
        <v>39</v>
      </c>
      <c r="V37" s="116" t="s">
        <v>39</v>
      </c>
      <c r="W37" s="116" t="s">
        <v>39</v>
      </c>
      <c r="X37" s="116" t="s">
        <v>39</v>
      </c>
      <c r="Y37" s="116" t="s">
        <v>39</v>
      </c>
      <c r="Z37" s="116" t="s">
        <v>39</v>
      </c>
      <c r="AA37" s="116" t="s">
        <v>39</v>
      </c>
      <c r="AB37" s="116" t="s">
        <v>39</v>
      </c>
      <c r="AC37" s="116" t="s">
        <v>39</v>
      </c>
      <c r="AD37" s="116" t="s">
        <v>39</v>
      </c>
      <c r="AE37" s="116"/>
      <c r="AF37" s="116" t="s">
        <v>39</v>
      </c>
      <c r="AG37" s="116" t="s">
        <v>39</v>
      </c>
      <c r="AH37" s="116" t="s">
        <v>39</v>
      </c>
      <c r="AI37" s="116" t="s">
        <v>39</v>
      </c>
      <c r="AJ37" s="116"/>
      <c r="AK37" s="138">
        <v>18400.0</v>
      </c>
      <c r="AL37" s="147">
        <v>18400.0</v>
      </c>
      <c r="AM37" s="153">
        <v>0.0</v>
      </c>
      <c r="AN37" s="116"/>
    </row>
    <row r="38" ht="15.75" customHeight="1">
      <c r="A38" s="116" t="s">
        <v>55</v>
      </c>
      <c r="B38" s="116" t="s">
        <v>39</v>
      </c>
      <c r="C38" s="116" t="s">
        <v>39</v>
      </c>
      <c r="D38" s="116" t="s">
        <v>39</v>
      </c>
      <c r="E38" s="116" t="s">
        <v>39</v>
      </c>
      <c r="F38" s="116" t="s">
        <v>39</v>
      </c>
      <c r="G38" s="116" t="s">
        <v>39</v>
      </c>
      <c r="H38" s="116"/>
      <c r="I38" s="116" t="s">
        <v>39</v>
      </c>
      <c r="J38" s="116" t="s">
        <v>39</v>
      </c>
      <c r="K38" s="116" t="s">
        <v>39</v>
      </c>
      <c r="L38" s="116" t="s">
        <v>39</v>
      </c>
      <c r="M38" s="116" t="s">
        <v>39</v>
      </c>
      <c r="N38" s="116" t="s">
        <v>39</v>
      </c>
      <c r="O38" s="116" t="s">
        <v>39</v>
      </c>
      <c r="P38" s="116" t="s">
        <v>39</v>
      </c>
      <c r="Q38" s="116" t="s">
        <v>39</v>
      </c>
      <c r="R38" s="116" t="s">
        <v>39</v>
      </c>
      <c r="S38" s="116" t="s">
        <v>39</v>
      </c>
      <c r="T38" s="116" t="s">
        <v>39</v>
      </c>
      <c r="U38" s="116" t="s">
        <v>39</v>
      </c>
      <c r="V38" s="116" t="s">
        <v>39</v>
      </c>
      <c r="W38" s="116" t="s">
        <v>39</v>
      </c>
      <c r="X38" s="116" t="s">
        <v>39</v>
      </c>
      <c r="Y38" s="116" t="s">
        <v>39</v>
      </c>
      <c r="Z38" s="116" t="s">
        <v>39</v>
      </c>
      <c r="AA38" s="116" t="s">
        <v>39</v>
      </c>
      <c r="AB38" s="116" t="s">
        <v>39</v>
      </c>
      <c r="AC38" s="116" t="s">
        <v>39</v>
      </c>
      <c r="AD38" s="116" t="s">
        <v>39</v>
      </c>
      <c r="AE38" s="116"/>
      <c r="AF38" s="116" t="s">
        <v>39</v>
      </c>
      <c r="AG38" s="116" t="s">
        <v>39</v>
      </c>
      <c r="AH38" s="116" t="s">
        <v>39</v>
      </c>
      <c r="AI38" s="116" t="s">
        <v>39</v>
      </c>
      <c r="AJ38" s="116"/>
      <c r="AK38" s="116" t="s">
        <v>39</v>
      </c>
      <c r="AL38" s="117" t="s">
        <v>39</v>
      </c>
      <c r="AM38" s="153">
        <v>0.0</v>
      </c>
      <c r="AN38" s="116"/>
    </row>
    <row r="39" ht="15.75" customHeight="1">
      <c r="A39" s="116" t="s">
        <v>107</v>
      </c>
      <c r="B39" s="116">
        <v>980.0</v>
      </c>
      <c r="C39" s="116" t="s">
        <v>39</v>
      </c>
      <c r="D39" s="116" t="s">
        <v>39</v>
      </c>
      <c r="E39" s="116" t="s">
        <v>39</v>
      </c>
      <c r="F39" s="138">
        <v>2379.5</v>
      </c>
      <c r="G39" s="116" t="s">
        <v>39</v>
      </c>
      <c r="H39" s="116"/>
      <c r="I39" s="116" t="s">
        <v>39</v>
      </c>
      <c r="J39" s="116" t="s">
        <v>39</v>
      </c>
      <c r="K39" s="116" t="s">
        <v>39</v>
      </c>
      <c r="L39" s="116" t="s">
        <v>39</v>
      </c>
      <c r="M39" s="116" t="s">
        <v>39</v>
      </c>
      <c r="N39" s="116" t="s">
        <v>39</v>
      </c>
      <c r="O39" s="116" t="s">
        <v>39</v>
      </c>
      <c r="P39" s="116" t="s">
        <v>39</v>
      </c>
      <c r="Q39" s="116" t="s">
        <v>39</v>
      </c>
      <c r="R39" s="116" t="s">
        <v>39</v>
      </c>
      <c r="S39" s="116" t="s">
        <v>39</v>
      </c>
      <c r="T39" s="116" t="s">
        <v>39</v>
      </c>
      <c r="U39" s="116" t="s">
        <v>39</v>
      </c>
      <c r="V39" s="116" t="s">
        <v>39</v>
      </c>
      <c r="W39" s="116" t="s">
        <v>39</v>
      </c>
      <c r="X39" s="116" t="s">
        <v>39</v>
      </c>
      <c r="Y39" s="116" t="s">
        <v>39</v>
      </c>
      <c r="Z39" s="116" t="s">
        <v>39</v>
      </c>
      <c r="AA39" s="116" t="s">
        <v>39</v>
      </c>
      <c r="AB39" s="116" t="s">
        <v>39</v>
      </c>
      <c r="AC39" s="116" t="s">
        <v>39</v>
      </c>
      <c r="AD39" s="116" t="s">
        <v>39</v>
      </c>
      <c r="AE39" s="116"/>
      <c r="AF39" s="116" t="s">
        <v>39</v>
      </c>
      <c r="AG39" s="116" t="s">
        <v>39</v>
      </c>
      <c r="AH39" s="116">
        <v>637.94</v>
      </c>
      <c r="AI39" s="116" t="s">
        <v>39</v>
      </c>
      <c r="AJ39" s="116"/>
      <c r="AK39" s="116" t="s">
        <v>39</v>
      </c>
      <c r="AL39" s="147">
        <v>3997.44</v>
      </c>
      <c r="AM39" s="153">
        <v>0.0</v>
      </c>
      <c r="AN39" s="116"/>
    </row>
    <row r="40" ht="15.75" customHeight="1">
      <c r="A40" s="116" t="s">
        <v>57</v>
      </c>
      <c r="B40" s="116" t="s">
        <v>39</v>
      </c>
      <c r="C40" s="116" t="s">
        <v>39</v>
      </c>
      <c r="D40" s="116" t="s">
        <v>39</v>
      </c>
      <c r="E40" s="116" t="s">
        <v>39</v>
      </c>
      <c r="F40" s="116" t="s">
        <v>39</v>
      </c>
      <c r="G40" s="116" t="s">
        <v>39</v>
      </c>
      <c r="H40" s="116"/>
      <c r="I40" s="116" t="s">
        <v>39</v>
      </c>
      <c r="J40" s="116" t="s">
        <v>39</v>
      </c>
      <c r="K40" s="116" t="s">
        <v>39</v>
      </c>
      <c r="L40" s="116" t="s">
        <v>39</v>
      </c>
      <c r="M40" s="116" t="s">
        <v>39</v>
      </c>
      <c r="N40" s="116" t="s">
        <v>39</v>
      </c>
      <c r="O40" s="116" t="s">
        <v>39</v>
      </c>
      <c r="P40" s="116" t="s">
        <v>39</v>
      </c>
      <c r="Q40" s="116" t="s">
        <v>39</v>
      </c>
      <c r="R40" s="116" t="s">
        <v>39</v>
      </c>
      <c r="S40" s="116" t="s">
        <v>39</v>
      </c>
      <c r="T40" s="116" t="s">
        <v>39</v>
      </c>
      <c r="U40" s="116" t="s">
        <v>39</v>
      </c>
      <c r="V40" s="116" t="s">
        <v>39</v>
      </c>
      <c r="W40" s="116" t="s">
        <v>39</v>
      </c>
      <c r="X40" s="116" t="s">
        <v>39</v>
      </c>
      <c r="Y40" s="116" t="s">
        <v>39</v>
      </c>
      <c r="Z40" s="116" t="s">
        <v>39</v>
      </c>
      <c r="AA40" s="116" t="s">
        <v>39</v>
      </c>
      <c r="AB40" s="116" t="s">
        <v>39</v>
      </c>
      <c r="AC40" s="116" t="s">
        <v>39</v>
      </c>
      <c r="AD40" s="116" t="s">
        <v>39</v>
      </c>
      <c r="AE40" s="116"/>
      <c r="AF40" s="116" t="s">
        <v>39</v>
      </c>
      <c r="AG40" s="116" t="s">
        <v>39</v>
      </c>
      <c r="AH40" s="116" t="s">
        <v>39</v>
      </c>
      <c r="AI40" s="116" t="s">
        <v>39</v>
      </c>
      <c r="AJ40" s="116"/>
      <c r="AK40" s="138">
        <v>565000.0</v>
      </c>
      <c r="AL40" s="147">
        <v>565000.0</v>
      </c>
      <c r="AM40" s="153">
        <v>0.0</v>
      </c>
      <c r="AN40" s="116"/>
    </row>
    <row r="41" ht="15.75" customHeight="1">
      <c r="A41" s="116" t="s">
        <v>58</v>
      </c>
      <c r="B41" s="116" t="s">
        <v>39</v>
      </c>
      <c r="C41" s="116" t="s">
        <v>39</v>
      </c>
      <c r="D41" s="116" t="s">
        <v>39</v>
      </c>
      <c r="E41" s="116" t="s">
        <v>39</v>
      </c>
      <c r="F41" s="116" t="s">
        <v>39</v>
      </c>
      <c r="G41" s="116" t="s">
        <v>39</v>
      </c>
      <c r="H41" s="116"/>
      <c r="I41" s="116" t="s">
        <v>39</v>
      </c>
      <c r="J41" s="116" t="s">
        <v>39</v>
      </c>
      <c r="K41" s="116" t="s">
        <v>39</v>
      </c>
      <c r="L41" s="116" t="s">
        <v>39</v>
      </c>
      <c r="M41" s="116" t="s">
        <v>39</v>
      </c>
      <c r="N41" s="116" t="s">
        <v>39</v>
      </c>
      <c r="O41" s="116" t="s">
        <v>39</v>
      </c>
      <c r="P41" s="116" t="s">
        <v>39</v>
      </c>
      <c r="Q41" s="116" t="s">
        <v>39</v>
      </c>
      <c r="R41" s="116" t="s">
        <v>39</v>
      </c>
      <c r="S41" s="116" t="s">
        <v>39</v>
      </c>
      <c r="T41" s="116" t="s">
        <v>39</v>
      </c>
      <c r="U41" s="116" t="s">
        <v>39</v>
      </c>
      <c r="V41" s="116" t="s">
        <v>39</v>
      </c>
      <c r="W41" s="116" t="s">
        <v>39</v>
      </c>
      <c r="X41" s="116" t="s">
        <v>39</v>
      </c>
      <c r="Y41" s="116" t="s">
        <v>39</v>
      </c>
      <c r="Z41" s="116" t="s">
        <v>39</v>
      </c>
      <c r="AA41" s="116" t="s">
        <v>39</v>
      </c>
      <c r="AB41" s="116" t="s">
        <v>39</v>
      </c>
      <c r="AC41" s="116" t="s">
        <v>39</v>
      </c>
      <c r="AD41" s="116" t="s">
        <v>39</v>
      </c>
      <c r="AE41" s="116"/>
      <c r="AF41" s="116" t="s">
        <v>39</v>
      </c>
      <c r="AG41" s="116" t="s">
        <v>39</v>
      </c>
      <c r="AH41" s="116" t="s">
        <v>39</v>
      </c>
      <c r="AI41" s="116" t="s">
        <v>39</v>
      </c>
      <c r="AJ41" s="116"/>
      <c r="AK41" s="138">
        <v>17211.14</v>
      </c>
      <c r="AL41" s="147">
        <v>17211.14</v>
      </c>
      <c r="AM41" s="153">
        <v>0.0</v>
      </c>
      <c r="AN41" s="116"/>
    </row>
    <row r="42" ht="15.75" customHeight="1">
      <c r="A42" s="116" t="s">
        <v>59</v>
      </c>
      <c r="B42" s="116">
        <v>42.59</v>
      </c>
      <c r="C42" s="116">
        <v>102.71</v>
      </c>
      <c r="D42" s="116" t="s">
        <v>39</v>
      </c>
      <c r="E42" s="116">
        <v>128.42</v>
      </c>
      <c r="F42" s="116" t="s">
        <v>39</v>
      </c>
      <c r="G42" s="116">
        <v>181.09</v>
      </c>
      <c r="H42" s="116"/>
      <c r="I42" s="116">
        <v>42.59</v>
      </c>
      <c r="J42" s="116">
        <v>66.73</v>
      </c>
      <c r="K42" s="116" t="s">
        <v>39</v>
      </c>
      <c r="L42" s="116">
        <v>102.44</v>
      </c>
      <c r="M42" s="116">
        <v>131.27</v>
      </c>
      <c r="N42" s="116" t="s">
        <v>39</v>
      </c>
      <c r="O42" s="116">
        <v>102.71</v>
      </c>
      <c r="P42" s="116" t="s">
        <v>39</v>
      </c>
      <c r="Q42" s="116">
        <v>52.33</v>
      </c>
      <c r="R42" s="116">
        <v>102.71</v>
      </c>
      <c r="S42" s="116" t="s">
        <v>39</v>
      </c>
      <c r="T42" s="116" t="s">
        <v>39</v>
      </c>
      <c r="U42" s="116">
        <v>89.05</v>
      </c>
      <c r="V42" s="116">
        <v>203.42</v>
      </c>
      <c r="W42" s="116" t="s">
        <v>39</v>
      </c>
      <c r="X42" s="116" t="s">
        <v>39</v>
      </c>
      <c r="Y42" s="116">
        <v>51.95</v>
      </c>
      <c r="Z42" s="116" t="s">
        <v>39</v>
      </c>
      <c r="AA42" s="116">
        <v>118.68</v>
      </c>
      <c r="AB42" s="116" t="s">
        <v>39</v>
      </c>
      <c r="AC42" s="116">
        <v>128.42</v>
      </c>
      <c r="AD42" s="116" t="s">
        <v>39</v>
      </c>
      <c r="AE42" s="116"/>
      <c r="AF42" s="116" t="s">
        <v>39</v>
      </c>
      <c r="AG42" s="116">
        <v>102.85</v>
      </c>
      <c r="AH42" s="116">
        <v>46.47</v>
      </c>
      <c r="AI42" s="116" t="s">
        <v>39</v>
      </c>
      <c r="AJ42" s="116"/>
      <c r="AK42" s="116">
        <v>140.84</v>
      </c>
      <c r="AL42" s="147">
        <v>1937.27</v>
      </c>
      <c r="AM42" s="153">
        <v>0.0</v>
      </c>
      <c r="AN42" s="116"/>
    </row>
    <row r="43" ht="15.75" customHeight="1">
      <c r="A43" s="116" t="s">
        <v>60</v>
      </c>
      <c r="B43" s="116" t="s">
        <v>39</v>
      </c>
      <c r="C43" s="116" t="s">
        <v>39</v>
      </c>
      <c r="D43" s="116" t="s">
        <v>39</v>
      </c>
      <c r="E43" s="116" t="s">
        <v>39</v>
      </c>
      <c r="F43" s="116" t="s">
        <v>39</v>
      </c>
      <c r="G43" s="116" t="s">
        <v>39</v>
      </c>
      <c r="H43" s="116"/>
      <c r="I43" s="116" t="s">
        <v>39</v>
      </c>
      <c r="J43" s="116" t="s">
        <v>39</v>
      </c>
      <c r="K43" s="116" t="s">
        <v>39</v>
      </c>
      <c r="L43" s="116" t="s">
        <v>39</v>
      </c>
      <c r="M43" s="116" t="s">
        <v>39</v>
      </c>
      <c r="N43" s="116" t="s">
        <v>39</v>
      </c>
      <c r="O43" s="116" t="s">
        <v>39</v>
      </c>
      <c r="P43" s="116" t="s">
        <v>39</v>
      </c>
      <c r="Q43" s="116" t="s">
        <v>39</v>
      </c>
      <c r="R43" s="116" t="s">
        <v>39</v>
      </c>
      <c r="S43" s="116" t="s">
        <v>39</v>
      </c>
      <c r="T43" s="116" t="s">
        <v>39</v>
      </c>
      <c r="U43" s="116" t="s">
        <v>39</v>
      </c>
      <c r="V43" s="116" t="s">
        <v>39</v>
      </c>
      <c r="W43" s="116" t="s">
        <v>39</v>
      </c>
      <c r="X43" s="116" t="s">
        <v>39</v>
      </c>
      <c r="Y43" s="116" t="s">
        <v>39</v>
      </c>
      <c r="Z43" s="116" t="s">
        <v>39</v>
      </c>
      <c r="AA43" s="116" t="s">
        <v>39</v>
      </c>
      <c r="AB43" s="116">
        <v>15.0</v>
      </c>
      <c r="AC43" s="116" t="s">
        <v>39</v>
      </c>
      <c r="AD43" s="116" t="s">
        <v>39</v>
      </c>
      <c r="AE43" s="116"/>
      <c r="AF43" s="116" t="s">
        <v>39</v>
      </c>
      <c r="AG43" s="116" t="s">
        <v>39</v>
      </c>
      <c r="AH43" s="116" t="s">
        <v>39</v>
      </c>
      <c r="AI43" s="116" t="s">
        <v>39</v>
      </c>
      <c r="AJ43" s="116"/>
      <c r="AK43" s="138">
        <v>79883.41</v>
      </c>
      <c r="AL43" s="147">
        <v>79898.41</v>
      </c>
      <c r="AM43" s="153">
        <v>0.0</v>
      </c>
      <c r="AN43" s="116"/>
    </row>
    <row r="44" ht="15.75" customHeight="1">
      <c r="A44" s="116" t="s">
        <v>61</v>
      </c>
      <c r="B44" s="116" t="s">
        <v>39</v>
      </c>
      <c r="C44" s="116" t="s">
        <v>39</v>
      </c>
      <c r="D44" s="116" t="s">
        <v>39</v>
      </c>
      <c r="E44" s="116" t="s">
        <v>39</v>
      </c>
      <c r="F44" s="116" t="s">
        <v>39</v>
      </c>
      <c r="G44" s="116" t="s">
        <v>39</v>
      </c>
      <c r="H44" s="116"/>
      <c r="I44" s="116" t="s">
        <v>39</v>
      </c>
      <c r="J44" s="116" t="s">
        <v>39</v>
      </c>
      <c r="K44" s="116" t="s">
        <v>39</v>
      </c>
      <c r="L44" s="116">
        <v>100.0</v>
      </c>
      <c r="M44" s="116" t="s">
        <v>39</v>
      </c>
      <c r="N44" s="116" t="s">
        <v>39</v>
      </c>
      <c r="O44" s="116" t="s">
        <v>39</v>
      </c>
      <c r="P44" s="116" t="s">
        <v>39</v>
      </c>
      <c r="Q44" s="116" t="s">
        <v>39</v>
      </c>
      <c r="R44" s="116" t="s">
        <v>39</v>
      </c>
      <c r="S44" s="116" t="s">
        <v>39</v>
      </c>
      <c r="T44" s="116">
        <v>50.0</v>
      </c>
      <c r="U44" s="116" t="s">
        <v>39</v>
      </c>
      <c r="V44" s="116">
        <v>90.0</v>
      </c>
      <c r="W44" s="116" t="s">
        <v>39</v>
      </c>
      <c r="X44" s="116" t="s">
        <v>39</v>
      </c>
      <c r="Y44" s="116" t="s">
        <v>39</v>
      </c>
      <c r="Z44" s="116" t="s">
        <v>39</v>
      </c>
      <c r="AA44" s="116" t="s">
        <v>39</v>
      </c>
      <c r="AB44" s="116" t="s">
        <v>39</v>
      </c>
      <c r="AC44" s="116">
        <v>50.0</v>
      </c>
      <c r="AD44" s="116" t="s">
        <v>39</v>
      </c>
      <c r="AE44" s="116"/>
      <c r="AF44" s="116" t="s">
        <v>39</v>
      </c>
      <c r="AG44" s="116" t="s">
        <v>39</v>
      </c>
      <c r="AH44" s="116" t="s">
        <v>39</v>
      </c>
      <c r="AI44" s="116">
        <v>60.0</v>
      </c>
      <c r="AJ44" s="116"/>
      <c r="AK44" s="138">
        <v>8964.67</v>
      </c>
      <c r="AL44" s="147">
        <v>9314.67</v>
      </c>
      <c r="AM44" s="153">
        <v>0.0</v>
      </c>
      <c r="AN44" s="116"/>
    </row>
    <row r="45" ht="15.75" customHeight="1">
      <c r="A45" s="131" t="s">
        <v>109</v>
      </c>
      <c r="B45" s="150">
        <v>184189.07</v>
      </c>
      <c r="C45" s="154">
        <v>471.67</v>
      </c>
      <c r="D45" s="150">
        <v>35132.59</v>
      </c>
      <c r="E45" s="150">
        <v>61162.33</v>
      </c>
      <c r="F45" s="150">
        <v>158193.49</v>
      </c>
      <c r="G45" s="150">
        <v>37357.68</v>
      </c>
      <c r="H45" s="154" t="s">
        <v>39</v>
      </c>
      <c r="I45" s="150">
        <v>259500.72</v>
      </c>
      <c r="J45" s="150">
        <v>105973.52</v>
      </c>
      <c r="K45" s="150">
        <v>11628.56</v>
      </c>
      <c r="L45" s="150">
        <v>46521.44</v>
      </c>
      <c r="M45" s="150">
        <v>36496.04</v>
      </c>
      <c r="N45" s="150">
        <v>26493.84</v>
      </c>
      <c r="O45" s="150">
        <v>11968.84</v>
      </c>
      <c r="P45" s="150">
        <v>57158.61</v>
      </c>
      <c r="Q45" s="150">
        <v>41409.36</v>
      </c>
      <c r="R45" s="150">
        <v>29659.91</v>
      </c>
      <c r="S45" s="150">
        <v>10757.18</v>
      </c>
      <c r="T45" s="150">
        <v>37259.16</v>
      </c>
      <c r="U45" s="150">
        <v>22363.41</v>
      </c>
      <c r="V45" s="150">
        <v>29928.63</v>
      </c>
      <c r="W45" s="154">
        <v>312.16</v>
      </c>
      <c r="X45" s="150">
        <v>44895.12</v>
      </c>
      <c r="Y45" s="150">
        <v>18753.89</v>
      </c>
      <c r="Z45" s="150">
        <v>11852.22</v>
      </c>
      <c r="AA45" s="150">
        <v>39034.16</v>
      </c>
      <c r="AB45" s="150">
        <v>138479.09</v>
      </c>
      <c r="AC45" s="150">
        <v>11359.08</v>
      </c>
      <c r="AD45" s="150">
        <v>37404.44</v>
      </c>
      <c r="AE45" s="154" t="s">
        <v>39</v>
      </c>
      <c r="AF45" s="150">
        <v>32990.95</v>
      </c>
      <c r="AG45" s="150">
        <v>11963.59</v>
      </c>
      <c r="AH45" s="150">
        <v>91044.59</v>
      </c>
      <c r="AI45" s="150">
        <v>10502.48</v>
      </c>
      <c r="AJ45" s="154" t="s">
        <v>39</v>
      </c>
      <c r="AK45" s="150">
        <v>1134247.16</v>
      </c>
      <c r="AL45" s="150">
        <v>2786464.98</v>
      </c>
      <c r="AM45" s="134">
        <v>1.0</v>
      </c>
      <c r="AN45" s="116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7"/>
      <c r="AM46" s="116"/>
      <c r="AN46" s="116"/>
    </row>
    <row r="47" ht="15.75" customHeight="1">
      <c r="A47" s="131" t="s">
        <v>14</v>
      </c>
      <c r="B47" s="132">
        <v>128810.93</v>
      </c>
      <c r="C47" s="132">
        <v>105028.33</v>
      </c>
      <c r="D47" s="132">
        <v>21617.41</v>
      </c>
      <c r="E47" s="132">
        <v>27487.67</v>
      </c>
      <c r="F47" s="132">
        <v>114706.51</v>
      </c>
      <c r="G47" s="132">
        <v>13585.82</v>
      </c>
      <c r="H47" s="131" t="s">
        <v>39</v>
      </c>
      <c r="I47" s="132">
        <v>205399.28</v>
      </c>
      <c r="J47" s="132">
        <v>83539.98</v>
      </c>
      <c r="K47" s="132">
        <v>7371.44</v>
      </c>
      <c r="L47" s="132">
        <v>41778.55</v>
      </c>
      <c r="M47" s="132">
        <v>38703.96</v>
      </c>
      <c r="N47" s="132">
        <v>12631.16</v>
      </c>
      <c r="O47" s="132">
        <v>12031.16</v>
      </c>
      <c r="P47" s="132">
        <v>40591.39</v>
      </c>
      <c r="Q47" s="132">
        <v>56840.64</v>
      </c>
      <c r="R47" s="132">
        <v>26090.09</v>
      </c>
      <c r="S47" s="132">
        <v>-10757.18</v>
      </c>
      <c r="T47" s="132">
        <v>16740.84</v>
      </c>
      <c r="U47" s="132">
        <v>13636.59</v>
      </c>
      <c r="V47" s="132">
        <v>8071.37</v>
      </c>
      <c r="W47" s="131">
        <v>-312.16</v>
      </c>
      <c r="X47" s="132">
        <v>41604.88</v>
      </c>
      <c r="Y47" s="132">
        <v>19246.11</v>
      </c>
      <c r="Z47" s="132">
        <v>7647.78</v>
      </c>
      <c r="AA47" s="132">
        <v>45465.84</v>
      </c>
      <c r="AB47" s="132">
        <v>114020.91</v>
      </c>
      <c r="AC47" s="132">
        <v>-11351.08</v>
      </c>
      <c r="AD47" s="132">
        <v>19795.56</v>
      </c>
      <c r="AE47" s="131" t="s">
        <v>39</v>
      </c>
      <c r="AF47" s="132">
        <v>28509.05</v>
      </c>
      <c r="AG47" s="132">
        <v>6536.41</v>
      </c>
      <c r="AH47" s="132">
        <v>140955.41</v>
      </c>
      <c r="AI47" s="132">
        <v>8197.52</v>
      </c>
      <c r="AJ47" s="132">
        <v>2900.0</v>
      </c>
      <c r="AK47" s="132">
        <v>-1134247.16</v>
      </c>
      <c r="AL47" s="132">
        <v>252875.01</v>
      </c>
      <c r="AM47" s="123"/>
      <c r="AN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7"/>
      <c r="AM48" s="116"/>
      <c r="AN48" s="1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6.13"/>
    <col customWidth="1" min="3" max="3" width="10.38"/>
    <col customWidth="1" min="4" max="4" width="10.5"/>
    <col customWidth="1" min="5" max="5" width="8.5"/>
    <col customWidth="1" min="6" max="6" width="11.88"/>
    <col customWidth="1" min="7" max="7" width="19.13"/>
    <col customWidth="1" min="8" max="8" width="11.75"/>
    <col customWidth="1" min="9" max="9" width="9.75"/>
    <col customWidth="1" min="10" max="10" width="15.63"/>
    <col customWidth="1" min="11" max="11" width="12.75"/>
    <col customWidth="1" min="12" max="12" width="13.38"/>
    <col customWidth="1" min="13" max="13" width="13.13"/>
    <col customWidth="1" min="14" max="14" width="11.75"/>
    <col customWidth="1" min="15" max="15" width="12.38"/>
    <col customWidth="1" min="16" max="16" width="12.75"/>
    <col customWidth="1" min="17" max="17" width="22.63"/>
    <col customWidth="1" min="18" max="18" width="17.25"/>
    <col customWidth="1" min="19" max="19" width="8.13"/>
    <col customWidth="1" min="20" max="20" width="14.0"/>
    <col customWidth="1" min="21" max="21" width="12.0"/>
    <col customWidth="1" min="22" max="22" width="22.25"/>
    <col customWidth="1" min="23" max="23" width="11.63"/>
    <col customWidth="1" min="24" max="24" width="14.38"/>
    <col customWidth="1" min="25" max="25" width="17.13"/>
    <col customWidth="1" min="26" max="26" width="10.5"/>
    <col customWidth="1" min="27" max="27" width="13.0"/>
    <col customWidth="1" min="28" max="28" width="15.0"/>
    <col customWidth="1" min="29" max="29" width="17.63"/>
    <col customWidth="1" min="30" max="30" width="9.5"/>
    <col customWidth="1" min="31" max="31" width="10.25"/>
    <col customWidth="1" min="32" max="32" width="15.5"/>
    <col customWidth="1" min="33" max="33" width="12.0"/>
    <col customWidth="1" min="34" max="34" width="18.38"/>
    <col customWidth="1" min="35" max="35" width="16.88"/>
    <col customWidth="1" min="36" max="36" width="11.63"/>
    <col customWidth="1" min="37" max="37" width="19.63"/>
    <col customWidth="1" min="38" max="38" width="15.13"/>
    <col customWidth="1" min="39" max="39" width="17.38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7"/>
      <c r="AI1" s="116"/>
      <c r="AJ1" s="116"/>
    </row>
    <row r="2" ht="15.75" customHeight="1">
      <c r="A2" s="116" t="s">
        <v>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7"/>
      <c r="AI2" s="116"/>
      <c r="AJ2" s="116"/>
    </row>
    <row r="3" ht="15.75" customHeight="1">
      <c r="A3" s="116" t="s">
        <v>63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7"/>
      <c r="AI3" s="116"/>
      <c r="AJ3" s="116"/>
    </row>
    <row r="4" ht="15.75" customHeight="1">
      <c r="A4" s="14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7"/>
      <c r="AI4" s="116"/>
      <c r="AJ4" s="116"/>
    </row>
    <row r="5" ht="15.75" customHeigh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7"/>
      <c r="AI5" s="116"/>
      <c r="AJ5" s="116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</row>
    <row r="6" ht="15.75" customHeight="1">
      <c r="A6" s="118" t="s">
        <v>28</v>
      </c>
      <c r="B6" s="118" t="s">
        <v>21</v>
      </c>
      <c r="C6" s="118" t="s">
        <v>64</v>
      </c>
      <c r="D6" s="118" t="s">
        <v>65</v>
      </c>
      <c r="E6" s="118" t="s">
        <v>66</v>
      </c>
      <c r="F6" s="118" t="s">
        <v>67</v>
      </c>
      <c r="G6" s="118" t="s">
        <v>68</v>
      </c>
      <c r="H6" s="118" t="s">
        <v>69</v>
      </c>
      <c r="I6" s="118" t="s">
        <v>70</v>
      </c>
      <c r="J6" s="118" t="s">
        <v>71</v>
      </c>
      <c r="K6" s="118" t="s">
        <v>72</v>
      </c>
      <c r="L6" s="118" t="s">
        <v>73</v>
      </c>
      <c r="M6" s="118" t="s">
        <v>74</v>
      </c>
      <c r="N6" s="121" t="s">
        <v>75</v>
      </c>
      <c r="O6" s="118" t="s">
        <v>78</v>
      </c>
      <c r="P6" s="118" t="s">
        <v>79</v>
      </c>
      <c r="Q6" s="118" t="s">
        <v>80</v>
      </c>
      <c r="R6" s="121" t="s">
        <v>82</v>
      </c>
      <c r="S6" s="118" t="s">
        <v>83</v>
      </c>
      <c r="T6" s="118" t="s">
        <v>84</v>
      </c>
      <c r="U6" s="118" t="s">
        <v>86</v>
      </c>
      <c r="V6" s="118" t="s">
        <v>87</v>
      </c>
      <c r="W6" s="118" t="s">
        <v>88</v>
      </c>
      <c r="X6" s="118" t="s">
        <v>89</v>
      </c>
      <c r="Y6" s="118" t="s">
        <v>90</v>
      </c>
      <c r="Z6" s="118" t="s">
        <v>91</v>
      </c>
      <c r="AA6" s="151" t="s">
        <v>93</v>
      </c>
      <c r="AB6" s="118" t="s">
        <v>94</v>
      </c>
      <c r="AC6" s="118" t="s">
        <v>114</v>
      </c>
      <c r="AD6" s="118" t="s">
        <v>115</v>
      </c>
      <c r="AE6" s="121" t="s">
        <v>97</v>
      </c>
      <c r="AF6" s="121" t="s">
        <v>98</v>
      </c>
      <c r="AG6" s="121" t="s">
        <v>99</v>
      </c>
      <c r="AH6" s="118" t="s">
        <v>100</v>
      </c>
      <c r="AI6" s="118" t="s">
        <v>30</v>
      </c>
      <c r="AJ6" s="116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</row>
    <row r="7" ht="15.7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7"/>
      <c r="AI7" s="116"/>
      <c r="AJ7" s="116"/>
    </row>
    <row r="8" ht="15.75" customHeight="1">
      <c r="A8" s="116" t="s">
        <v>102</v>
      </c>
      <c r="B8" s="128">
        <v>313000.0</v>
      </c>
      <c r="C8" s="128">
        <v>105500.0</v>
      </c>
      <c r="D8" s="128">
        <v>56750.0</v>
      </c>
      <c r="E8" s="128">
        <v>88650.0</v>
      </c>
      <c r="F8" s="128">
        <v>272900.0</v>
      </c>
      <c r="G8" s="128">
        <v>50943.5</v>
      </c>
      <c r="H8" s="128">
        <v>19000.0</v>
      </c>
      <c r="I8" s="128">
        <v>464900.0</v>
      </c>
      <c r="J8" s="128">
        <v>188716.64</v>
      </c>
      <c r="K8" s="128">
        <v>19000.0</v>
      </c>
      <c r="L8" s="128">
        <v>88299.99</v>
      </c>
      <c r="M8" s="137">
        <v>53600.0</v>
      </c>
      <c r="N8" s="128"/>
      <c r="O8" s="128">
        <v>97750.0</v>
      </c>
      <c r="P8" s="128">
        <v>98250.0</v>
      </c>
      <c r="Q8" s="128">
        <v>55750.0</v>
      </c>
      <c r="R8" s="128">
        <v>54000.0</v>
      </c>
      <c r="S8" s="128">
        <v>36000.0</v>
      </c>
      <c r="T8" s="128">
        <v>38000.0</v>
      </c>
      <c r="U8" s="128">
        <v>86500.0</v>
      </c>
      <c r="V8" s="128">
        <v>38000.0</v>
      </c>
      <c r="W8" s="128">
        <v>19500.0</v>
      </c>
      <c r="X8" s="128">
        <v>84500.0</v>
      </c>
      <c r="Y8" s="128">
        <v>252500.0</v>
      </c>
      <c r="Z8" s="128">
        <v>55750.0</v>
      </c>
      <c r="AA8" s="128">
        <v>57200.0</v>
      </c>
      <c r="AB8" s="128">
        <v>61500.0</v>
      </c>
      <c r="AC8" s="128">
        <v>18500.0</v>
      </c>
      <c r="AD8" s="128">
        <v>232000.0</v>
      </c>
      <c r="AE8" s="128">
        <v>18700.0</v>
      </c>
      <c r="AF8" s="128">
        <v>1450.0</v>
      </c>
      <c r="AG8" s="128"/>
      <c r="AH8" s="152">
        <v>3027110.13</v>
      </c>
      <c r="AI8" s="153">
        <v>1.0</v>
      </c>
      <c r="AJ8" s="128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W8" s="129"/>
      <c r="AX8" s="129"/>
      <c r="AY8" s="129"/>
      <c r="AZ8" s="129"/>
      <c r="BA8" s="129"/>
      <c r="BB8" s="129"/>
      <c r="BC8" s="129"/>
    </row>
    <row r="9" ht="15.75" customHeight="1">
      <c r="A9" s="116" t="s">
        <v>113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25">
        <v>21600.0</v>
      </c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47">
        <v>21600.0</v>
      </c>
      <c r="AI9" s="153">
        <v>0.0</v>
      </c>
      <c r="AJ9" s="116"/>
    </row>
    <row r="10" ht="15.7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7" t="s">
        <v>39</v>
      </c>
      <c r="AI10" s="153">
        <v>0.0</v>
      </c>
      <c r="AJ10" s="116"/>
    </row>
    <row r="11" ht="15.75" customHeight="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7" t="s">
        <v>39</v>
      </c>
      <c r="AI11" s="153">
        <v>0.0</v>
      </c>
      <c r="AJ11" s="116"/>
    </row>
    <row r="12" ht="15.7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7" t="s">
        <v>39</v>
      </c>
      <c r="AI12" s="153">
        <v>0.0</v>
      </c>
      <c r="AJ12" s="116"/>
    </row>
    <row r="13" ht="15.75" customHeight="1">
      <c r="A13" s="131" t="s">
        <v>104</v>
      </c>
      <c r="B13" s="133">
        <v>313000.0</v>
      </c>
      <c r="C13" s="133">
        <v>105500.0</v>
      </c>
      <c r="D13" s="133">
        <v>56750.0</v>
      </c>
      <c r="E13" s="133">
        <v>88650.0</v>
      </c>
      <c r="F13" s="133">
        <v>272900.0</v>
      </c>
      <c r="G13" s="133">
        <v>50943.5</v>
      </c>
      <c r="H13" s="133">
        <v>19000.0</v>
      </c>
      <c r="I13" s="133">
        <v>464900.0</v>
      </c>
      <c r="J13" s="133">
        <v>188716.64</v>
      </c>
      <c r="K13" s="133">
        <v>19000.0</v>
      </c>
      <c r="L13" s="133">
        <v>88299.99</v>
      </c>
      <c r="M13" s="133">
        <v>75200.0</v>
      </c>
      <c r="N13" s="133" t="s">
        <v>39</v>
      </c>
      <c r="O13" s="133">
        <v>97750.0</v>
      </c>
      <c r="P13" s="133">
        <v>98250.0</v>
      </c>
      <c r="Q13" s="133">
        <v>55750.0</v>
      </c>
      <c r="R13" s="133">
        <v>54000.0</v>
      </c>
      <c r="S13" s="133">
        <v>36000.0</v>
      </c>
      <c r="T13" s="133">
        <v>38000.0</v>
      </c>
      <c r="U13" s="133">
        <v>86500.0</v>
      </c>
      <c r="V13" s="133">
        <v>38000.0</v>
      </c>
      <c r="W13" s="133">
        <v>19500.0</v>
      </c>
      <c r="X13" s="133">
        <v>84500.0</v>
      </c>
      <c r="Y13" s="133">
        <v>252500.0</v>
      </c>
      <c r="Z13" s="133">
        <v>55750.0</v>
      </c>
      <c r="AA13" s="133">
        <v>57200.0</v>
      </c>
      <c r="AB13" s="133">
        <v>61500.0</v>
      </c>
      <c r="AC13" s="133">
        <v>18500.0</v>
      </c>
      <c r="AD13" s="133">
        <v>232000.0</v>
      </c>
      <c r="AE13" s="133">
        <v>18700.0</v>
      </c>
      <c r="AF13" s="133">
        <v>1450.0</v>
      </c>
      <c r="AG13" s="133" t="s">
        <v>39</v>
      </c>
      <c r="AH13" s="133">
        <v>3048710.13</v>
      </c>
      <c r="AI13" s="134">
        <v>1.0</v>
      </c>
      <c r="AJ13" s="128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W13" s="129"/>
      <c r="AX13" s="129"/>
      <c r="AY13" s="129"/>
      <c r="AZ13" s="129"/>
      <c r="BA13" s="129"/>
      <c r="BB13" s="129"/>
      <c r="BC13" s="129"/>
    </row>
    <row r="14" ht="15.7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7"/>
      <c r="AI14" s="116"/>
      <c r="AJ14" s="116"/>
    </row>
    <row r="15" ht="15.75" customHeight="1">
      <c r="A15" s="116" t="s">
        <v>31</v>
      </c>
      <c r="B15" s="128">
        <v>131468.54</v>
      </c>
      <c r="C15" s="128">
        <v>4925.77</v>
      </c>
      <c r="D15" s="128">
        <v>28992.88</v>
      </c>
      <c r="E15" s="128">
        <v>44219.56</v>
      </c>
      <c r="F15" s="128">
        <v>117448.87</v>
      </c>
      <c r="G15" s="128">
        <v>29806.32</v>
      </c>
      <c r="H15" s="128"/>
      <c r="I15" s="128">
        <v>169692.99</v>
      </c>
      <c r="J15" s="128">
        <v>94749.6</v>
      </c>
      <c r="K15" s="128">
        <v>8805.0</v>
      </c>
      <c r="L15" s="128">
        <v>46140.34</v>
      </c>
      <c r="M15" s="128">
        <v>28142.84</v>
      </c>
      <c r="N15" s="128"/>
      <c r="O15" s="128">
        <v>43541.94</v>
      </c>
      <c r="P15" s="128">
        <v>46950.46</v>
      </c>
      <c r="Q15" s="128">
        <v>22879.5</v>
      </c>
      <c r="R15" s="128">
        <v>27930.5</v>
      </c>
      <c r="S15" s="128">
        <v>17698.0</v>
      </c>
      <c r="T15" s="128">
        <v>19887.84</v>
      </c>
      <c r="U15" s="128">
        <v>35475.44</v>
      </c>
      <c r="V15" s="128">
        <v>20248.18</v>
      </c>
      <c r="W15" s="128">
        <v>8805.0</v>
      </c>
      <c r="X15" s="128">
        <v>35877.46</v>
      </c>
      <c r="Y15" s="128">
        <v>123940.5</v>
      </c>
      <c r="Z15" s="128">
        <v>13439.5</v>
      </c>
      <c r="AA15" s="128">
        <v>27802.88</v>
      </c>
      <c r="AB15" s="128">
        <v>11138.14</v>
      </c>
      <c r="AC15" s="128">
        <v>9085.0</v>
      </c>
      <c r="AD15" s="128">
        <v>83157.33</v>
      </c>
      <c r="AE15" s="128">
        <v>16500.78</v>
      </c>
      <c r="AF15" s="128"/>
      <c r="AG15" s="128">
        <v>318990.43</v>
      </c>
      <c r="AH15" s="152">
        <v>1587741.59</v>
      </c>
      <c r="AI15" s="153">
        <v>0.77</v>
      </c>
      <c r="AJ15" s="128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W15" s="129"/>
      <c r="AX15" s="129"/>
      <c r="AY15" s="129"/>
      <c r="AZ15" s="129"/>
      <c r="BA15" s="129"/>
      <c r="BB15" s="129"/>
      <c r="BC15" s="129"/>
    </row>
    <row r="16" ht="15.75" customHeight="1">
      <c r="A16" s="116" t="s">
        <v>32</v>
      </c>
      <c r="B16" s="138">
        <v>16280.53</v>
      </c>
      <c r="C16" s="138">
        <v>633.17</v>
      </c>
      <c r="D16" s="138">
        <v>3222.79</v>
      </c>
      <c r="E16" s="138">
        <v>5475.07</v>
      </c>
      <c r="F16" s="138">
        <v>12660.06</v>
      </c>
      <c r="G16" s="138">
        <v>3271.29</v>
      </c>
      <c r="H16" s="138"/>
      <c r="I16" s="138">
        <v>23684.98</v>
      </c>
      <c r="J16" s="138">
        <v>11572.81</v>
      </c>
      <c r="K16" s="138">
        <v>1076.87</v>
      </c>
      <c r="L16" s="138">
        <v>5954.7</v>
      </c>
      <c r="M16" s="138">
        <v>3311.7</v>
      </c>
      <c r="N16" s="138"/>
      <c r="O16" s="138">
        <v>5398.68</v>
      </c>
      <c r="P16" s="138">
        <v>5986.03</v>
      </c>
      <c r="Q16" s="138">
        <v>2201.29</v>
      </c>
      <c r="R16" s="138">
        <v>3287.21</v>
      </c>
      <c r="S16" s="138">
        <v>2158.51</v>
      </c>
      <c r="T16" s="138">
        <v>2221.31</v>
      </c>
      <c r="U16" s="138">
        <v>4358.1</v>
      </c>
      <c r="V16" s="138">
        <v>2166.3</v>
      </c>
      <c r="W16" s="138">
        <v>1081.11</v>
      </c>
      <c r="X16" s="138">
        <v>4497.65</v>
      </c>
      <c r="Y16" s="138">
        <v>13816.05</v>
      </c>
      <c r="Z16" s="138">
        <v>1761.35</v>
      </c>
      <c r="AA16" s="138">
        <v>3275.36</v>
      </c>
      <c r="AB16" s="138">
        <v>1075.2</v>
      </c>
      <c r="AC16" s="138">
        <v>1080.67</v>
      </c>
      <c r="AD16" s="138">
        <v>11680.13</v>
      </c>
      <c r="AE16" s="138">
        <v>1744.27</v>
      </c>
      <c r="AF16" s="138"/>
      <c r="AG16" s="138">
        <v>53559.63</v>
      </c>
      <c r="AH16" s="147">
        <v>208492.82</v>
      </c>
      <c r="AI16" s="153">
        <v>0.1</v>
      </c>
      <c r="AJ16" s="138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W16" s="139"/>
      <c r="AX16" s="139"/>
      <c r="AZ16" s="139"/>
      <c r="BA16" s="139"/>
      <c r="BB16" s="139"/>
      <c r="BC16" s="139"/>
    </row>
    <row r="17" ht="15.75" customHeight="1">
      <c r="A17" s="116" t="s">
        <v>33</v>
      </c>
      <c r="B17" s="138">
        <v>11777.24</v>
      </c>
      <c r="C17" s="138">
        <v>594.58</v>
      </c>
      <c r="D17" s="138">
        <v>2340.88</v>
      </c>
      <c r="E17" s="138">
        <v>3938.5</v>
      </c>
      <c r="F17" s="138">
        <v>9469.31</v>
      </c>
      <c r="G17" s="138">
        <v>2375.83</v>
      </c>
      <c r="H17" s="138"/>
      <c r="I17" s="138">
        <v>16880.37</v>
      </c>
      <c r="J17" s="138">
        <v>7645.71</v>
      </c>
      <c r="K17" s="138">
        <v>784.11</v>
      </c>
      <c r="L17" s="138">
        <v>4484.69</v>
      </c>
      <c r="M17" s="138">
        <v>2432.6</v>
      </c>
      <c r="N17" s="138"/>
      <c r="O17" s="138">
        <v>3856.49</v>
      </c>
      <c r="P17" s="138">
        <v>4009.54</v>
      </c>
      <c r="Q17" s="138">
        <v>1647.79</v>
      </c>
      <c r="R17" s="138">
        <v>2445.49</v>
      </c>
      <c r="S17" s="138">
        <v>1561.1</v>
      </c>
      <c r="T17" s="138">
        <v>1650.36</v>
      </c>
      <c r="U17" s="138">
        <v>3174.19</v>
      </c>
      <c r="V17" s="138">
        <v>1577.5</v>
      </c>
      <c r="W17" s="138">
        <v>783.42</v>
      </c>
      <c r="X17" s="138">
        <v>3529.21</v>
      </c>
      <c r="Y17" s="138">
        <v>9772.85</v>
      </c>
      <c r="Z17" s="138">
        <v>1769.18</v>
      </c>
      <c r="AA17" s="138">
        <v>2393.87</v>
      </c>
      <c r="AB17" s="138">
        <v>802.19</v>
      </c>
      <c r="AC17" s="138">
        <v>786.83</v>
      </c>
      <c r="AD17" s="138">
        <v>7828.05</v>
      </c>
      <c r="AE17" s="138">
        <v>977.58</v>
      </c>
      <c r="AF17" s="138"/>
      <c r="AG17" s="138">
        <v>14350.46</v>
      </c>
      <c r="AH17" s="147">
        <v>125639.92</v>
      </c>
      <c r="AI17" s="153">
        <v>0.06</v>
      </c>
      <c r="AJ17" s="138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W17" s="139"/>
      <c r="AX17" s="139"/>
      <c r="AZ17" s="139"/>
      <c r="BA17" s="139"/>
      <c r="BC17" s="139"/>
    </row>
    <row r="18" ht="15.75" customHeight="1">
      <c r="A18" s="116" t="s">
        <v>34</v>
      </c>
      <c r="B18" s="138">
        <v>6940.05</v>
      </c>
      <c r="C18" s="138">
        <v>352.57</v>
      </c>
      <c r="D18" s="138">
        <v>1388.1</v>
      </c>
      <c r="E18" s="138">
        <v>2335.46</v>
      </c>
      <c r="F18" s="138">
        <v>5786.43</v>
      </c>
      <c r="G18" s="138">
        <v>1408.83</v>
      </c>
      <c r="H18" s="138"/>
      <c r="I18" s="138">
        <v>9994.0</v>
      </c>
      <c r="J18" s="138">
        <v>4533.77</v>
      </c>
      <c r="K18" s="138">
        <v>464.97</v>
      </c>
      <c r="L18" s="138">
        <v>2750.66</v>
      </c>
      <c r="M18" s="138">
        <v>1438.58</v>
      </c>
      <c r="N18" s="138"/>
      <c r="O18" s="138">
        <v>2282.72</v>
      </c>
      <c r="P18" s="138">
        <v>2377.58</v>
      </c>
      <c r="Q18" s="138">
        <v>977.11</v>
      </c>
      <c r="R18" s="138">
        <v>1446.24</v>
      </c>
      <c r="S18" s="138">
        <v>925.71</v>
      </c>
      <c r="T18" s="138">
        <v>974.74</v>
      </c>
      <c r="U18" s="138">
        <v>1882.23</v>
      </c>
      <c r="V18" s="138">
        <v>935.42</v>
      </c>
      <c r="W18" s="138">
        <v>464.55</v>
      </c>
      <c r="X18" s="138">
        <v>2092.76</v>
      </c>
      <c r="Y18" s="138">
        <v>5795.1</v>
      </c>
      <c r="Z18" s="138">
        <v>1049.09</v>
      </c>
      <c r="AA18" s="138">
        <v>1419.52</v>
      </c>
      <c r="AB18" s="138">
        <v>475.68</v>
      </c>
      <c r="AC18" s="138">
        <v>466.57</v>
      </c>
      <c r="AD18" s="138">
        <v>4641.87</v>
      </c>
      <c r="AE18" s="138">
        <v>579.69</v>
      </c>
      <c r="AF18" s="138"/>
      <c r="AG18" s="138">
        <v>8025.53</v>
      </c>
      <c r="AH18" s="147">
        <v>74205.53</v>
      </c>
      <c r="AI18" s="153">
        <v>0.04</v>
      </c>
      <c r="AJ18" s="138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W18" s="139"/>
      <c r="AX18" s="139"/>
      <c r="AZ18" s="139"/>
      <c r="BA18" s="139"/>
      <c r="BC18" s="139"/>
    </row>
    <row r="19" ht="15.75" customHeight="1">
      <c r="A19" s="149" t="s">
        <v>35</v>
      </c>
      <c r="B19" s="138">
        <v>6066.33</v>
      </c>
      <c r="C19" s="116">
        <v>227.29</v>
      </c>
      <c r="D19" s="138">
        <v>1337.81</v>
      </c>
      <c r="E19" s="138">
        <v>2040.42</v>
      </c>
      <c r="F19" s="138">
        <v>5419.43</v>
      </c>
      <c r="G19" s="138">
        <v>1375.35</v>
      </c>
      <c r="H19" s="138"/>
      <c r="I19" s="138">
        <v>7830.12</v>
      </c>
      <c r="J19" s="138">
        <v>4372.02</v>
      </c>
      <c r="K19" s="138">
        <v>406.29</v>
      </c>
      <c r="L19" s="138">
        <v>2129.05</v>
      </c>
      <c r="M19" s="138">
        <v>1298.59</v>
      </c>
      <c r="N19" s="138"/>
      <c r="O19" s="138">
        <v>2009.15</v>
      </c>
      <c r="P19" s="138">
        <v>2166.43</v>
      </c>
      <c r="Q19" s="138">
        <v>1055.73</v>
      </c>
      <c r="R19" s="138">
        <v>1288.79</v>
      </c>
      <c r="S19" s="138">
        <v>816.64</v>
      </c>
      <c r="T19" s="138">
        <v>917.68</v>
      </c>
      <c r="U19" s="138">
        <v>1636.94</v>
      </c>
      <c r="V19" s="138">
        <v>934.31</v>
      </c>
      <c r="W19" s="138">
        <v>406.29</v>
      </c>
      <c r="X19" s="138">
        <v>1655.49</v>
      </c>
      <c r="Y19" s="138">
        <v>5718.97</v>
      </c>
      <c r="Z19" s="138">
        <v>620.14</v>
      </c>
      <c r="AA19" s="138">
        <v>1282.9</v>
      </c>
      <c r="AB19" s="138">
        <v>513.95</v>
      </c>
      <c r="AC19" s="138">
        <v>419.21</v>
      </c>
      <c r="AD19" s="138">
        <v>3837.12</v>
      </c>
      <c r="AE19" s="138">
        <v>761.39</v>
      </c>
      <c r="AF19" s="138"/>
      <c r="AG19" s="138">
        <v>9112.21</v>
      </c>
      <c r="AH19" s="147">
        <v>67656.04</v>
      </c>
      <c r="AI19" s="153">
        <v>0.02</v>
      </c>
      <c r="AJ19" s="138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W19" s="139"/>
      <c r="AZ19" s="139"/>
      <c r="BC19" s="139"/>
    </row>
    <row r="20" ht="15.75" customHeight="1">
      <c r="A20" s="116" t="s">
        <v>36</v>
      </c>
      <c r="B20" s="116" t="s">
        <v>39</v>
      </c>
      <c r="C20" s="116" t="s">
        <v>39</v>
      </c>
      <c r="D20" s="116" t="s">
        <v>39</v>
      </c>
      <c r="E20" s="116" t="s">
        <v>39</v>
      </c>
      <c r="F20" s="116" t="s">
        <v>39</v>
      </c>
      <c r="G20" s="116" t="s">
        <v>39</v>
      </c>
      <c r="H20" s="116"/>
      <c r="I20" s="116" t="s">
        <v>39</v>
      </c>
      <c r="J20" s="116" t="s">
        <v>39</v>
      </c>
      <c r="K20" s="116" t="s">
        <v>39</v>
      </c>
      <c r="L20" s="116" t="s">
        <v>39</v>
      </c>
      <c r="M20" s="116" t="s">
        <v>39</v>
      </c>
      <c r="N20" s="116"/>
      <c r="O20" s="116" t="s">
        <v>39</v>
      </c>
      <c r="P20" s="116" t="s">
        <v>39</v>
      </c>
      <c r="Q20" s="116" t="s">
        <v>39</v>
      </c>
      <c r="R20" s="116" t="s">
        <v>39</v>
      </c>
      <c r="S20" s="116" t="s">
        <v>39</v>
      </c>
      <c r="T20" s="116" t="s">
        <v>39</v>
      </c>
      <c r="U20" s="116" t="s">
        <v>39</v>
      </c>
      <c r="V20" s="116" t="s">
        <v>39</v>
      </c>
      <c r="W20" s="116" t="s">
        <v>39</v>
      </c>
      <c r="X20" s="116" t="s">
        <v>39</v>
      </c>
      <c r="Y20" s="116" t="s">
        <v>39</v>
      </c>
      <c r="Z20" s="116" t="s">
        <v>39</v>
      </c>
      <c r="AA20" s="116" t="s">
        <v>39</v>
      </c>
      <c r="AB20" s="116" t="s">
        <v>39</v>
      </c>
      <c r="AC20" s="116" t="s">
        <v>39</v>
      </c>
      <c r="AD20" s="116" t="s">
        <v>39</v>
      </c>
      <c r="AE20" s="116" t="s">
        <v>39</v>
      </c>
      <c r="AF20" s="116"/>
      <c r="AG20" s="138">
        <v>1415.57</v>
      </c>
      <c r="AH20" s="147">
        <v>1415.57</v>
      </c>
      <c r="AI20" s="153">
        <v>0.0</v>
      </c>
      <c r="AJ20" s="116"/>
    </row>
    <row r="21" ht="15.75" customHeight="1">
      <c r="A21" s="116" t="s">
        <v>37</v>
      </c>
      <c r="B21" s="116" t="s">
        <v>39</v>
      </c>
      <c r="C21" s="116" t="s">
        <v>39</v>
      </c>
      <c r="D21" s="116" t="s">
        <v>39</v>
      </c>
      <c r="E21" s="116" t="s">
        <v>39</v>
      </c>
      <c r="F21" s="116" t="s">
        <v>39</v>
      </c>
      <c r="G21" s="116" t="s">
        <v>39</v>
      </c>
      <c r="H21" s="116"/>
      <c r="I21" s="116" t="s">
        <v>39</v>
      </c>
      <c r="J21" s="116" t="s">
        <v>39</v>
      </c>
      <c r="K21" s="116" t="s">
        <v>39</v>
      </c>
      <c r="L21" s="116" t="s">
        <v>39</v>
      </c>
      <c r="M21" s="116" t="s">
        <v>39</v>
      </c>
      <c r="N21" s="116"/>
      <c r="O21" s="116" t="s">
        <v>39</v>
      </c>
      <c r="P21" s="116" t="s">
        <v>39</v>
      </c>
      <c r="Q21" s="116" t="s">
        <v>39</v>
      </c>
      <c r="R21" s="116" t="s">
        <v>39</v>
      </c>
      <c r="S21" s="116" t="s">
        <v>39</v>
      </c>
      <c r="T21" s="116" t="s">
        <v>39</v>
      </c>
      <c r="U21" s="116" t="s">
        <v>39</v>
      </c>
      <c r="V21" s="116" t="s">
        <v>39</v>
      </c>
      <c r="W21" s="116" t="s">
        <v>39</v>
      </c>
      <c r="X21" s="116" t="s">
        <v>39</v>
      </c>
      <c r="Y21" s="116" t="s">
        <v>39</v>
      </c>
      <c r="Z21" s="116" t="s">
        <v>39</v>
      </c>
      <c r="AA21" s="116" t="s">
        <v>39</v>
      </c>
      <c r="AB21" s="116" t="s">
        <v>39</v>
      </c>
      <c r="AC21" s="116" t="s">
        <v>39</v>
      </c>
      <c r="AD21" s="116" t="s">
        <v>39</v>
      </c>
      <c r="AE21" s="116" t="s">
        <v>39</v>
      </c>
      <c r="AF21" s="116"/>
      <c r="AG21" s="138">
        <v>2407.8</v>
      </c>
      <c r="AH21" s="147">
        <v>2407.8</v>
      </c>
      <c r="AI21" s="153">
        <v>0.0</v>
      </c>
      <c r="AJ21" s="116"/>
    </row>
    <row r="22" ht="15.75" customHeight="1">
      <c r="A22" s="116" t="s">
        <v>38</v>
      </c>
      <c r="B22" s="116" t="s">
        <v>39</v>
      </c>
      <c r="C22" s="116" t="s">
        <v>39</v>
      </c>
      <c r="D22" s="116" t="s">
        <v>39</v>
      </c>
      <c r="E22" s="116" t="s">
        <v>39</v>
      </c>
      <c r="F22" s="116" t="s">
        <v>39</v>
      </c>
      <c r="G22" s="116" t="s">
        <v>39</v>
      </c>
      <c r="H22" s="116"/>
      <c r="I22" s="116" t="s">
        <v>39</v>
      </c>
      <c r="J22" s="116" t="s">
        <v>39</v>
      </c>
      <c r="K22" s="116" t="s">
        <v>39</v>
      </c>
      <c r="L22" s="116" t="s">
        <v>39</v>
      </c>
      <c r="M22" s="116" t="s">
        <v>39</v>
      </c>
      <c r="N22" s="116"/>
      <c r="O22" s="116" t="s">
        <v>39</v>
      </c>
      <c r="P22" s="116" t="s">
        <v>39</v>
      </c>
      <c r="Q22" s="116" t="s">
        <v>39</v>
      </c>
      <c r="R22" s="116" t="s">
        <v>39</v>
      </c>
      <c r="S22" s="116" t="s">
        <v>39</v>
      </c>
      <c r="T22" s="116" t="s">
        <v>39</v>
      </c>
      <c r="U22" s="116" t="s">
        <v>39</v>
      </c>
      <c r="V22" s="116" t="s">
        <v>39</v>
      </c>
      <c r="W22" s="116" t="s">
        <v>39</v>
      </c>
      <c r="X22" s="116" t="s">
        <v>39</v>
      </c>
      <c r="Y22" s="116" t="s">
        <v>39</v>
      </c>
      <c r="Z22" s="116" t="s">
        <v>39</v>
      </c>
      <c r="AA22" s="116" t="s">
        <v>39</v>
      </c>
      <c r="AB22" s="116" t="s">
        <v>39</v>
      </c>
      <c r="AC22" s="116" t="s">
        <v>39</v>
      </c>
      <c r="AD22" s="116" t="s">
        <v>39</v>
      </c>
      <c r="AE22" s="116" t="s">
        <v>39</v>
      </c>
      <c r="AF22" s="116"/>
      <c r="AG22" s="116" t="s">
        <v>39</v>
      </c>
      <c r="AH22" s="117" t="s">
        <v>39</v>
      </c>
      <c r="AI22" s="153">
        <v>0.0</v>
      </c>
      <c r="AJ22" s="116"/>
      <c r="AT22" s="129"/>
    </row>
    <row r="23" ht="15.75" customHeight="1">
      <c r="A23" s="116" t="s">
        <v>40</v>
      </c>
      <c r="B23" s="116" t="s">
        <v>39</v>
      </c>
      <c r="C23" s="116" t="s">
        <v>39</v>
      </c>
      <c r="D23" s="116" t="s">
        <v>39</v>
      </c>
      <c r="E23" s="116" t="s">
        <v>39</v>
      </c>
      <c r="F23" s="116" t="s">
        <v>39</v>
      </c>
      <c r="G23" s="116" t="s">
        <v>39</v>
      </c>
      <c r="H23" s="116"/>
      <c r="I23" s="116" t="s">
        <v>39</v>
      </c>
      <c r="J23" s="116" t="s">
        <v>39</v>
      </c>
      <c r="K23" s="116" t="s">
        <v>39</v>
      </c>
      <c r="L23" s="116" t="s">
        <v>39</v>
      </c>
      <c r="M23" s="116" t="s">
        <v>39</v>
      </c>
      <c r="N23" s="116"/>
      <c r="O23" s="116" t="s">
        <v>39</v>
      </c>
      <c r="P23" s="116" t="s">
        <v>39</v>
      </c>
      <c r="Q23" s="116" t="s">
        <v>39</v>
      </c>
      <c r="R23" s="116" t="s">
        <v>39</v>
      </c>
      <c r="S23" s="116" t="s">
        <v>39</v>
      </c>
      <c r="T23" s="116" t="s">
        <v>39</v>
      </c>
      <c r="U23" s="116" t="s">
        <v>39</v>
      </c>
      <c r="V23" s="116" t="s">
        <v>39</v>
      </c>
      <c r="W23" s="116" t="s">
        <v>39</v>
      </c>
      <c r="X23" s="116" t="s">
        <v>39</v>
      </c>
      <c r="Y23" s="116" t="s">
        <v>39</v>
      </c>
      <c r="Z23" s="116" t="s">
        <v>39</v>
      </c>
      <c r="AA23" s="116" t="s">
        <v>39</v>
      </c>
      <c r="AB23" s="116" t="s">
        <v>39</v>
      </c>
      <c r="AC23" s="116" t="s">
        <v>39</v>
      </c>
      <c r="AD23" s="116" t="s">
        <v>39</v>
      </c>
      <c r="AE23" s="116" t="s">
        <v>39</v>
      </c>
      <c r="AF23" s="116"/>
      <c r="AG23" s="116" t="s">
        <v>39</v>
      </c>
      <c r="AH23" s="117" t="s">
        <v>39</v>
      </c>
      <c r="AI23" s="153">
        <v>0.0</v>
      </c>
      <c r="AJ23" s="116"/>
    </row>
    <row r="24" ht="15.75" customHeight="1">
      <c r="A24" s="116" t="s">
        <v>41</v>
      </c>
      <c r="B24" s="116">
        <v>283.62</v>
      </c>
      <c r="C24" s="116">
        <v>283.62</v>
      </c>
      <c r="D24" s="116">
        <v>283.62</v>
      </c>
      <c r="E24" s="116">
        <v>283.62</v>
      </c>
      <c r="F24" s="116">
        <v>283.62</v>
      </c>
      <c r="G24" s="116">
        <v>283.62</v>
      </c>
      <c r="H24" s="116"/>
      <c r="I24" s="116">
        <v>283.62</v>
      </c>
      <c r="J24" s="116">
        <v>283.62</v>
      </c>
      <c r="K24" s="116" t="s">
        <v>39</v>
      </c>
      <c r="L24" s="116">
        <v>283.62</v>
      </c>
      <c r="M24" s="116">
        <v>283.62</v>
      </c>
      <c r="N24" s="116"/>
      <c r="O24" s="116">
        <v>567.24</v>
      </c>
      <c r="P24" s="116">
        <v>283.62</v>
      </c>
      <c r="Q24" s="116">
        <v>283.62</v>
      </c>
      <c r="R24" s="116">
        <v>283.62</v>
      </c>
      <c r="S24" s="116">
        <v>283.62</v>
      </c>
      <c r="T24" s="116">
        <v>283.62</v>
      </c>
      <c r="U24" s="116">
        <v>283.62</v>
      </c>
      <c r="V24" s="116">
        <v>283.62</v>
      </c>
      <c r="W24" s="116">
        <v>283.62</v>
      </c>
      <c r="X24" s="116">
        <v>567.24</v>
      </c>
      <c r="Y24" s="116">
        <v>283.62</v>
      </c>
      <c r="Z24" s="116">
        <v>283.62</v>
      </c>
      <c r="AA24" s="116">
        <v>283.62</v>
      </c>
      <c r="AB24" s="116">
        <v>283.62</v>
      </c>
      <c r="AC24" s="116">
        <v>283.62</v>
      </c>
      <c r="AD24" s="116">
        <v>567.24</v>
      </c>
      <c r="AE24" s="116">
        <v>283.62</v>
      </c>
      <c r="AF24" s="116"/>
      <c r="AG24" s="138">
        <v>3180.2</v>
      </c>
      <c r="AH24" s="147">
        <v>11688.8</v>
      </c>
      <c r="AI24" s="153">
        <v>0.01</v>
      </c>
      <c r="AJ24" s="116"/>
    </row>
    <row r="25" ht="15.75" customHeight="1">
      <c r="A25" s="116" t="s">
        <v>42</v>
      </c>
      <c r="B25" s="116">
        <v>265.84</v>
      </c>
      <c r="C25" s="116">
        <v>17.6</v>
      </c>
      <c r="D25" s="116">
        <v>53.72</v>
      </c>
      <c r="E25" s="116">
        <v>65.71</v>
      </c>
      <c r="F25" s="116">
        <v>213.55</v>
      </c>
      <c r="G25" s="116">
        <v>46.04</v>
      </c>
      <c r="H25" s="116"/>
      <c r="I25" s="116">
        <v>251.91</v>
      </c>
      <c r="J25" s="116">
        <v>130.74</v>
      </c>
      <c r="K25" s="116">
        <v>117.36</v>
      </c>
      <c r="L25" s="116" t="s">
        <v>39</v>
      </c>
      <c r="M25" s="116">
        <v>35.61</v>
      </c>
      <c r="N25" s="116"/>
      <c r="O25" s="116">
        <v>113.29</v>
      </c>
      <c r="P25" s="116">
        <v>46.04</v>
      </c>
      <c r="Q25" s="116">
        <v>13.2</v>
      </c>
      <c r="R25" s="116" t="s">
        <v>39</v>
      </c>
      <c r="S25" s="116">
        <v>38.88</v>
      </c>
      <c r="T25" s="116">
        <v>273.46</v>
      </c>
      <c r="U25" s="116">
        <v>150.26</v>
      </c>
      <c r="V25" s="116">
        <v>17.6</v>
      </c>
      <c r="W25" s="116" t="s">
        <v>39</v>
      </c>
      <c r="X25" s="116">
        <v>47.43</v>
      </c>
      <c r="Y25" s="116">
        <v>155.01</v>
      </c>
      <c r="Z25" s="116">
        <v>83.65</v>
      </c>
      <c r="AA25" s="116">
        <v>318.61</v>
      </c>
      <c r="AB25" s="116" t="s">
        <v>39</v>
      </c>
      <c r="AC25" s="116">
        <v>115.36</v>
      </c>
      <c r="AD25" s="116">
        <v>611.32</v>
      </c>
      <c r="AE25" s="116" t="s">
        <v>39</v>
      </c>
      <c r="AF25" s="116"/>
      <c r="AG25" s="116">
        <v>285.1</v>
      </c>
      <c r="AH25" s="147">
        <v>3467.29</v>
      </c>
      <c r="AI25" s="153">
        <v>0.0</v>
      </c>
      <c r="AJ25" s="116"/>
    </row>
    <row r="26" ht="15.75" customHeight="1">
      <c r="A26" s="116" t="s">
        <v>43</v>
      </c>
      <c r="B26" s="116" t="s">
        <v>39</v>
      </c>
      <c r="C26" s="116" t="s">
        <v>39</v>
      </c>
      <c r="D26" s="116" t="s">
        <v>39</v>
      </c>
      <c r="E26" s="116" t="s">
        <v>39</v>
      </c>
      <c r="F26" s="116" t="s">
        <v>39</v>
      </c>
      <c r="G26" s="116" t="s">
        <v>39</v>
      </c>
      <c r="H26" s="116"/>
      <c r="I26" s="116" t="s">
        <v>39</v>
      </c>
      <c r="J26" s="116" t="s">
        <v>39</v>
      </c>
      <c r="K26" s="116" t="s">
        <v>39</v>
      </c>
      <c r="L26" s="116" t="s">
        <v>39</v>
      </c>
      <c r="M26" s="116" t="s">
        <v>39</v>
      </c>
      <c r="N26" s="116"/>
      <c r="O26" s="116" t="s">
        <v>39</v>
      </c>
      <c r="P26" s="116" t="s">
        <v>39</v>
      </c>
      <c r="Q26" s="116" t="s">
        <v>39</v>
      </c>
      <c r="R26" s="116" t="s">
        <v>39</v>
      </c>
      <c r="S26" s="116" t="s">
        <v>39</v>
      </c>
      <c r="T26" s="116" t="s">
        <v>39</v>
      </c>
      <c r="U26" s="116" t="s">
        <v>39</v>
      </c>
      <c r="V26" s="116" t="s">
        <v>39</v>
      </c>
      <c r="W26" s="116" t="s">
        <v>39</v>
      </c>
      <c r="X26" s="116" t="s">
        <v>39</v>
      </c>
      <c r="Y26" s="116" t="s">
        <v>39</v>
      </c>
      <c r="Z26" s="116" t="s">
        <v>39</v>
      </c>
      <c r="AA26" s="116" t="s">
        <v>39</v>
      </c>
      <c r="AB26" s="116" t="s">
        <v>39</v>
      </c>
      <c r="AC26" s="116" t="s">
        <v>39</v>
      </c>
      <c r="AD26" s="116" t="s">
        <v>39</v>
      </c>
      <c r="AE26" s="116" t="s">
        <v>39</v>
      </c>
      <c r="AF26" s="116"/>
      <c r="AG26" s="138">
        <v>44837.96</v>
      </c>
      <c r="AH26" s="147">
        <v>44837.96</v>
      </c>
      <c r="AI26" s="153">
        <v>0.0</v>
      </c>
      <c r="AJ26" s="116"/>
    </row>
    <row r="27" ht="15.75" customHeight="1">
      <c r="A27" s="116" t="s">
        <v>44</v>
      </c>
      <c r="B27" s="116" t="s">
        <v>39</v>
      </c>
      <c r="C27" s="116" t="s">
        <v>39</v>
      </c>
      <c r="D27" s="116" t="s">
        <v>39</v>
      </c>
      <c r="E27" s="116" t="s">
        <v>39</v>
      </c>
      <c r="F27" s="116" t="s">
        <v>39</v>
      </c>
      <c r="G27" s="116" t="s">
        <v>39</v>
      </c>
      <c r="H27" s="116"/>
      <c r="I27" s="116" t="s">
        <v>39</v>
      </c>
      <c r="J27" s="116" t="s">
        <v>39</v>
      </c>
      <c r="K27" s="116" t="s">
        <v>39</v>
      </c>
      <c r="L27" s="116" t="s">
        <v>39</v>
      </c>
      <c r="M27" s="116" t="s">
        <v>39</v>
      </c>
      <c r="N27" s="116"/>
      <c r="O27" s="116" t="s">
        <v>39</v>
      </c>
      <c r="P27" s="116" t="s">
        <v>39</v>
      </c>
      <c r="Q27" s="116" t="s">
        <v>39</v>
      </c>
      <c r="R27" s="116" t="s">
        <v>39</v>
      </c>
      <c r="S27" s="116" t="s">
        <v>39</v>
      </c>
      <c r="T27" s="116" t="s">
        <v>39</v>
      </c>
      <c r="U27" s="116" t="s">
        <v>39</v>
      </c>
      <c r="V27" s="116" t="s">
        <v>39</v>
      </c>
      <c r="W27" s="116" t="s">
        <v>39</v>
      </c>
      <c r="X27" s="116" t="s">
        <v>39</v>
      </c>
      <c r="Y27" s="116" t="s">
        <v>39</v>
      </c>
      <c r="Z27" s="116" t="s">
        <v>39</v>
      </c>
      <c r="AA27" s="116" t="s">
        <v>39</v>
      </c>
      <c r="AB27" s="116" t="s">
        <v>39</v>
      </c>
      <c r="AC27" s="116" t="s">
        <v>39</v>
      </c>
      <c r="AD27" s="116" t="s">
        <v>39</v>
      </c>
      <c r="AE27" s="116" t="s">
        <v>39</v>
      </c>
      <c r="AF27" s="116"/>
      <c r="AG27" s="116" t="s">
        <v>39</v>
      </c>
      <c r="AH27" s="117" t="s">
        <v>39</v>
      </c>
      <c r="AI27" s="153">
        <v>0.0</v>
      </c>
      <c r="AJ27" s="116"/>
      <c r="AV27" s="129"/>
      <c r="BC27" s="129"/>
    </row>
    <row r="28" ht="15.75" customHeight="1">
      <c r="A28" s="116" t="s">
        <v>45</v>
      </c>
      <c r="B28" s="116" t="s">
        <v>39</v>
      </c>
      <c r="C28" s="116" t="s">
        <v>39</v>
      </c>
      <c r="D28" s="116" t="s">
        <v>39</v>
      </c>
      <c r="E28" s="116" t="s">
        <v>39</v>
      </c>
      <c r="F28" s="116" t="s">
        <v>39</v>
      </c>
      <c r="G28" s="116" t="s">
        <v>39</v>
      </c>
      <c r="H28" s="116"/>
      <c r="I28" s="116" t="s">
        <v>39</v>
      </c>
      <c r="J28" s="116" t="s">
        <v>39</v>
      </c>
      <c r="K28" s="116" t="s">
        <v>39</v>
      </c>
      <c r="L28" s="116" t="s">
        <v>39</v>
      </c>
      <c r="M28" s="116" t="s">
        <v>39</v>
      </c>
      <c r="N28" s="116"/>
      <c r="O28" s="116" t="s">
        <v>39</v>
      </c>
      <c r="P28" s="116" t="s">
        <v>39</v>
      </c>
      <c r="Q28" s="116" t="s">
        <v>39</v>
      </c>
      <c r="R28" s="116" t="s">
        <v>39</v>
      </c>
      <c r="S28" s="116" t="s">
        <v>39</v>
      </c>
      <c r="T28" s="116" t="s">
        <v>39</v>
      </c>
      <c r="U28" s="116" t="s">
        <v>39</v>
      </c>
      <c r="V28" s="116" t="s">
        <v>39</v>
      </c>
      <c r="W28" s="116" t="s">
        <v>39</v>
      </c>
      <c r="X28" s="116" t="s">
        <v>39</v>
      </c>
      <c r="Y28" s="116" t="s">
        <v>39</v>
      </c>
      <c r="Z28" s="116" t="s">
        <v>39</v>
      </c>
      <c r="AA28" s="116" t="s">
        <v>39</v>
      </c>
      <c r="AB28" s="116" t="s">
        <v>39</v>
      </c>
      <c r="AC28" s="116" t="s">
        <v>39</v>
      </c>
      <c r="AD28" s="116" t="s">
        <v>39</v>
      </c>
      <c r="AE28" s="116" t="s">
        <v>39</v>
      </c>
      <c r="AF28" s="116"/>
      <c r="AG28" s="138">
        <v>4088.66</v>
      </c>
      <c r="AH28" s="147">
        <v>4088.66</v>
      </c>
      <c r="AI28" s="153">
        <v>0.0</v>
      </c>
      <c r="AJ28" s="116"/>
    </row>
    <row r="29" ht="15.75" customHeight="1">
      <c r="A29" s="116" t="s">
        <v>46</v>
      </c>
      <c r="B29" s="128" t="s">
        <v>39</v>
      </c>
      <c r="C29" s="128" t="s">
        <v>39</v>
      </c>
      <c r="D29" s="128" t="s">
        <v>39</v>
      </c>
      <c r="E29" s="128" t="s">
        <v>39</v>
      </c>
      <c r="F29" s="128" t="s">
        <v>39</v>
      </c>
      <c r="G29" s="128" t="s">
        <v>39</v>
      </c>
      <c r="H29" s="128"/>
      <c r="I29" s="128" t="s">
        <v>39</v>
      </c>
      <c r="J29" s="128" t="s">
        <v>39</v>
      </c>
      <c r="K29" s="128" t="s">
        <v>39</v>
      </c>
      <c r="L29" s="128" t="s">
        <v>39</v>
      </c>
      <c r="M29" s="128" t="s">
        <v>39</v>
      </c>
      <c r="N29" s="128"/>
      <c r="O29" s="128" t="s">
        <v>39</v>
      </c>
      <c r="P29" s="128" t="s">
        <v>39</v>
      </c>
      <c r="Q29" s="128" t="s">
        <v>39</v>
      </c>
      <c r="R29" s="128" t="s">
        <v>39</v>
      </c>
      <c r="S29" s="128" t="s">
        <v>39</v>
      </c>
      <c r="T29" s="128" t="s">
        <v>39</v>
      </c>
      <c r="U29" s="128" t="s">
        <v>39</v>
      </c>
      <c r="V29" s="128" t="s">
        <v>39</v>
      </c>
      <c r="W29" s="128" t="s">
        <v>39</v>
      </c>
      <c r="X29" s="128" t="s">
        <v>39</v>
      </c>
      <c r="Y29" s="128" t="s">
        <v>39</v>
      </c>
      <c r="Z29" s="128" t="s">
        <v>39</v>
      </c>
      <c r="AA29" s="128" t="s">
        <v>39</v>
      </c>
      <c r="AB29" s="128" t="s">
        <v>39</v>
      </c>
      <c r="AC29" s="128" t="s">
        <v>39</v>
      </c>
      <c r="AD29" s="128" t="s">
        <v>39</v>
      </c>
      <c r="AE29" s="128" t="s">
        <v>39</v>
      </c>
      <c r="AF29" s="128"/>
      <c r="AG29" s="128">
        <v>220.58</v>
      </c>
      <c r="AH29" s="152">
        <v>220.58</v>
      </c>
      <c r="AI29" s="153">
        <v>0.0</v>
      </c>
      <c r="AJ29" s="128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</row>
    <row r="30" ht="15.75" customHeight="1">
      <c r="A30" s="116" t="s">
        <v>47</v>
      </c>
      <c r="B30" s="116" t="s">
        <v>39</v>
      </c>
      <c r="C30" s="116" t="s">
        <v>39</v>
      </c>
      <c r="D30" s="116" t="s">
        <v>39</v>
      </c>
      <c r="E30" s="116" t="s">
        <v>39</v>
      </c>
      <c r="F30" s="116" t="s">
        <v>39</v>
      </c>
      <c r="G30" s="116" t="s">
        <v>39</v>
      </c>
      <c r="H30" s="116"/>
      <c r="I30" s="116" t="s">
        <v>39</v>
      </c>
      <c r="J30" s="116" t="s">
        <v>39</v>
      </c>
      <c r="K30" s="116" t="s">
        <v>39</v>
      </c>
      <c r="L30" s="116" t="s">
        <v>39</v>
      </c>
      <c r="M30" s="116" t="s">
        <v>39</v>
      </c>
      <c r="N30" s="116"/>
      <c r="O30" s="116" t="s">
        <v>39</v>
      </c>
      <c r="P30" s="116" t="s">
        <v>39</v>
      </c>
      <c r="Q30" s="116" t="s">
        <v>39</v>
      </c>
      <c r="R30" s="116" t="s">
        <v>39</v>
      </c>
      <c r="S30" s="116" t="s">
        <v>39</v>
      </c>
      <c r="T30" s="116" t="s">
        <v>39</v>
      </c>
      <c r="U30" s="116" t="s">
        <v>39</v>
      </c>
      <c r="V30" s="116" t="s">
        <v>39</v>
      </c>
      <c r="W30" s="116" t="s">
        <v>39</v>
      </c>
      <c r="X30" s="116" t="s">
        <v>39</v>
      </c>
      <c r="Y30" s="116" t="s">
        <v>39</v>
      </c>
      <c r="Z30" s="116" t="s">
        <v>39</v>
      </c>
      <c r="AA30" s="116" t="s">
        <v>39</v>
      </c>
      <c r="AB30" s="116" t="s">
        <v>39</v>
      </c>
      <c r="AC30" s="116" t="s">
        <v>39</v>
      </c>
      <c r="AD30" s="116" t="s">
        <v>39</v>
      </c>
      <c r="AE30" s="116" t="s">
        <v>39</v>
      </c>
      <c r="AF30" s="116"/>
      <c r="AG30" s="116" t="s">
        <v>39</v>
      </c>
      <c r="AH30" s="117" t="s">
        <v>39</v>
      </c>
      <c r="AI30" s="153">
        <v>0.0</v>
      </c>
      <c r="AJ30" s="116"/>
    </row>
    <row r="31" ht="15.75" customHeight="1">
      <c r="A31" s="116" t="s">
        <v>48</v>
      </c>
      <c r="B31" s="128" t="s">
        <v>39</v>
      </c>
      <c r="C31" s="128" t="s">
        <v>39</v>
      </c>
      <c r="D31" s="128" t="s">
        <v>39</v>
      </c>
      <c r="E31" s="128" t="s">
        <v>39</v>
      </c>
      <c r="F31" s="128" t="s">
        <v>39</v>
      </c>
      <c r="G31" s="128" t="s">
        <v>39</v>
      </c>
      <c r="H31" s="128"/>
      <c r="I31" s="128" t="s">
        <v>39</v>
      </c>
      <c r="J31" s="128" t="s">
        <v>39</v>
      </c>
      <c r="K31" s="128" t="s">
        <v>39</v>
      </c>
      <c r="L31" s="128" t="s">
        <v>39</v>
      </c>
      <c r="M31" s="128" t="s">
        <v>39</v>
      </c>
      <c r="N31" s="128"/>
      <c r="O31" s="128" t="s">
        <v>39</v>
      </c>
      <c r="P31" s="128" t="s">
        <v>39</v>
      </c>
      <c r="Q31" s="128" t="s">
        <v>39</v>
      </c>
      <c r="R31" s="128" t="s">
        <v>39</v>
      </c>
      <c r="S31" s="128" t="s">
        <v>39</v>
      </c>
      <c r="T31" s="128" t="s">
        <v>39</v>
      </c>
      <c r="U31" s="128" t="s">
        <v>39</v>
      </c>
      <c r="V31" s="128" t="s">
        <v>39</v>
      </c>
      <c r="W31" s="128" t="s">
        <v>39</v>
      </c>
      <c r="X31" s="128" t="s">
        <v>39</v>
      </c>
      <c r="Y31" s="128" t="s">
        <v>39</v>
      </c>
      <c r="Z31" s="128" t="s">
        <v>39</v>
      </c>
      <c r="AA31" s="128" t="s">
        <v>39</v>
      </c>
      <c r="AB31" s="128" t="s">
        <v>39</v>
      </c>
      <c r="AC31" s="128" t="s">
        <v>39</v>
      </c>
      <c r="AD31" s="128" t="s">
        <v>39</v>
      </c>
      <c r="AE31" s="128" t="s">
        <v>39</v>
      </c>
      <c r="AF31" s="128"/>
      <c r="AG31" s="128">
        <v>18703.14</v>
      </c>
      <c r="AH31" s="152">
        <v>18703.14</v>
      </c>
      <c r="AI31" s="153">
        <v>0.0</v>
      </c>
      <c r="AJ31" s="128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</row>
    <row r="32" ht="15.75" customHeight="1">
      <c r="A32" s="116" t="s">
        <v>49</v>
      </c>
      <c r="B32" s="116" t="s">
        <v>39</v>
      </c>
      <c r="C32" s="116" t="s">
        <v>39</v>
      </c>
      <c r="D32" s="116" t="s">
        <v>39</v>
      </c>
      <c r="E32" s="116" t="s">
        <v>39</v>
      </c>
      <c r="F32" s="116" t="s">
        <v>39</v>
      </c>
      <c r="G32" s="116" t="s">
        <v>39</v>
      </c>
      <c r="H32" s="116"/>
      <c r="I32" s="116" t="s">
        <v>39</v>
      </c>
      <c r="J32" s="116" t="s">
        <v>39</v>
      </c>
      <c r="K32" s="116" t="s">
        <v>39</v>
      </c>
      <c r="L32" s="116" t="s">
        <v>39</v>
      </c>
      <c r="M32" s="116" t="s">
        <v>39</v>
      </c>
      <c r="N32" s="116"/>
      <c r="O32" s="116" t="s">
        <v>39</v>
      </c>
      <c r="P32" s="116" t="s">
        <v>39</v>
      </c>
      <c r="Q32" s="116" t="s">
        <v>39</v>
      </c>
      <c r="R32" s="116" t="s">
        <v>39</v>
      </c>
      <c r="S32" s="116" t="s">
        <v>39</v>
      </c>
      <c r="T32" s="116" t="s">
        <v>39</v>
      </c>
      <c r="U32" s="116" t="s">
        <v>39</v>
      </c>
      <c r="V32" s="116" t="s">
        <v>39</v>
      </c>
      <c r="W32" s="116" t="s">
        <v>39</v>
      </c>
      <c r="X32" s="116" t="s">
        <v>39</v>
      </c>
      <c r="Y32" s="116" t="s">
        <v>39</v>
      </c>
      <c r="Z32" s="116" t="s">
        <v>39</v>
      </c>
      <c r="AA32" s="116" t="s">
        <v>39</v>
      </c>
      <c r="AB32" s="116" t="s">
        <v>39</v>
      </c>
      <c r="AC32" s="116" t="s">
        <v>39</v>
      </c>
      <c r="AD32" s="116" t="s">
        <v>39</v>
      </c>
      <c r="AE32" s="116" t="s">
        <v>39</v>
      </c>
      <c r="AF32" s="116"/>
      <c r="AG32" s="116" t="s">
        <v>39</v>
      </c>
      <c r="AH32" s="117" t="s">
        <v>39</v>
      </c>
      <c r="AI32" s="153">
        <v>0.0</v>
      </c>
      <c r="AJ32" s="116"/>
    </row>
    <row r="33" ht="15.75" customHeight="1">
      <c r="A33" s="116" t="s">
        <v>106</v>
      </c>
      <c r="B33" s="116" t="s">
        <v>39</v>
      </c>
      <c r="C33" s="116" t="s">
        <v>39</v>
      </c>
      <c r="D33" s="116" t="s">
        <v>39</v>
      </c>
      <c r="E33" s="116" t="s">
        <v>39</v>
      </c>
      <c r="F33" s="116" t="s">
        <v>39</v>
      </c>
      <c r="G33" s="116" t="s">
        <v>39</v>
      </c>
      <c r="H33" s="116"/>
      <c r="I33" s="116" t="s">
        <v>39</v>
      </c>
      <c r="J33" s="116" t="s">
        <v>39</v>
      </c>
      <c r="K33" s="116" t="s">
        <v>39</v>
      </c>
      <c r="L33" s="116" t="s">
        <v>39</v>
      </c>
      <c r="M33" s="116" t="s">
        <v>39</v>
      </c>
      <c r="N33" s="116"/>
      <c r="O33" s="116" t="s">
        <v>39</v>
      </c>
      <c r="P33" s="116" t="s">
        <v>39</v>
      </c>
      <c r="Q33" s="116" t="s">
        <v>39</v>
      </c>
      <c r="R33" s="116" t="s">
        <v>39</v>
      </c>
      <c r="S33" s="116" t="s">
        <v>39</v>
      </c>
      <c r="T33" s="116" t="s">
        <v>39</v>
      </c>
      <c r="U33" s="116" t="s">
        <v>39</v>
      </c>
      <c r="V33" s="116" t="s">
        <v>39</v>
      </c>
      <c r="W33" s="116" t="s">
        <v>39</v>
      </c>
      <c r="X33" s="116" t="s">
        <v>39</v>
      </c>
      <c r="Y33" s="116" t="s">
        <v>39</v>
      </c>
      <c r="Z33" s="116" t="s">
        <v>39</v>
      </c>
      <c r="AA33" s="116" t="s">
        <v>39</v>
      </c>
      <c r="AB33" s="116" t="s">
        <v>39</v>
      </c>
      <c r="AC33" s="116" t="s">
        <v>39</v>
      </c>
      <c r="AD33" s="116" t="s">
        <v>39</v>
      </c>
      <c r="AE33" s="116" t="s">
        <v>39</v>
      </c>
      <c r="AF33" s="116"/>
      <c r="AG33" s="138">
        <v>5000.0</v>
      </c>
      <c r="AH33" s="147">
        <v>5000.0</v>
      </c>
      <c r="AI33" s="153">
        <v>0.0</v>
      </c>
      <c r="AJ33" s="116"/>
    </row>
    <row r="34" ht="15.75" customHeight="1">
      <c r="A34" s="116" t="s">
        <v>51</v>
      </c>
      <c r="B34" s="116" t="s">
        <v>39</v>
      </c>
      <c r="C34" s="116" t="s">
        <v>39</v>
      </c>
      <c r="D34" s="116" t="s">
        <v>39</v>
      </c>
      <c r="E34" s="116" t="s">
        <v>39</v>
      </c>
      <c r="F34" s="116" t="s">
        <v>39</v>
      </c>
      <c r="G34" s="116" t="s">
        <v>39</v>
      </c>
      <c r="H34" s="116"/>
      <c r="I34" s="116" t="s">
        <v>39</v>
      </c>
      <c r="J34" s="116" t="s">
        <v>39</v>
      </c>
      <c r="K34" s="116" t="s">
        <v>39</v>
      </c>
      <c r="L34" s="116" t="s">
        <v>39</v>
      </c>
      <c r="M34" s="116" t="s">
        <v>39</v>
      </c>
      <c r="N34" s="116"/>
      <c r="O34" s="116" t="s">
        <v>39</v>
      </c>
      <c r="P34" s="116" t="s">
        <v>39</v>
      </c>
      <c r="Q34" s="116" t="s">
        <v>39</v>
      </c>
      <c r="R34" s="116" t="s">
        <v>39</v>
      </c>
      <c r="S34" s="116" t="s">
        <v>39</v>
      </c>
      <c r="T34" s="116" t="s">
        <v>39</v>
      </c>
      <c r="U34" s="116" t="s">
        <v>39</v>
      </c>
      <c r="V34" s="116" t="s">
        <v>39</v>
      </c>
      <c r="W34" s="116" t="s">
        <v>39</v>
      </c>
      <c r="X34" s="116" t="s">
        <v>39</v>
      </c>
      <c r="Y34" s="116" t="s">
        <v>39</v>
      </c>
      <c r="Z34" s="116" t="s">
        <v>39</v>
      </c>
      <c r="AA34" s="116" t="s">
        <v>39</v>
      </c>
      <c r="AB34" s="116" t="s">
        <v>39</v>
      </c>
      <c r="AC34" s="116" t="s">
        <v>39</v>
      </c>
      <c r="AD34" s="138">
        <v>1122.0</v>
      </c>
      <c r="AE34" s="116" t="s">
        <v>39</v>
      </c>
      <c r="AF34" s="116"/>
      <c r="AG34" s="116" t="s">
        <v>39</v>
      </c>
      <c r="AH34" s="147">
        <v>1122.0</v>
      </c>
      <c r="AI34" s="153">
        <v>0.01</v>
      </c>
      <c r="AJ34" s="116"/>
    </row>
    <row r="35" ht="15.75" customHeight="1">
      <c r="A35" s="116" t="s">
        <v>52</v>
      </c>
      <c r="B35" s="116" t="s">
        <v>39</v>
      </c>
      <c r="C35" s="116" t="s">
        <v>39</v>
      </c>
      <c r="D35" s="116" t="s">
        <v>39</v>
      </c>
      <c r="E35" s="116" t="s">
        <v>39</v>
      </c>
      <c r="F35" s="116" t="s">
        <v>39</v>
      </c>
      <c r="G35" s="116" t="s">
        <v>39</v>
      </c>
      <c r="H35" s="116"/>
      <c r="I35" s="116" t="s">
        <v>39</v>
      </c>
      <c r="J35" s="116" t="s">
        <v>39</v>
      </c>
      <c r="K35" s="116" t="s">
        <v>39</v>
      </c>
      <c r="L35" s="116" t="s">
        <v>39</v>
      </c>
      <c r="M35" s="116" t="s">
        <v>39</v>
      </c>
      <c r="N35" s="116"/>
      <c r="O35" s="116" t="s">
        <v>39</v>
      </c>
      <c r="P35" s="116" t="s">
        <v>39</v>
      </c>
      <c r="Q35" s="116" t="s">
        <v>39</v>
      </c>
      <c r="R35" s="116" t="s">
        <v>39</v>
      </c>
      <c r="S35" s="116" t="s">
        <v>39</v>
      </c>
      <c r="T35" s="116" t="s">
        <v>39</v>
      </c>
      <c r="U35" s="116" t="s">
        <v>39</v>
      </c>
      <c r="V35" s="116" t="s">
        <v>39</v>
      </c>
      <c r="W35" s="116" t="s">
        <v>39</v>
      </c>
      <c r="X35" s="116" t="s">
        <v>39</v>
      </c>
      <c r="Y35" s="116" t="s">
        <v>39</v>
      </c>
      <c r="Z35" s="116" t="s">
        <v>39</v>
      </c>
      <c r="AA35" s="116" t="s">
        <v>39</v>
      </c>
      <c r="AB35" s="116" t="s">
        <v>39</v>
      </c>
      <c r="AC35" s="116" t="s">
        <v>39</v>
      </c>
      <c r="AD35" s="116" t="s">
        <v>39</v>
      </c>
      <c r="AE35" s="116" t="s">
        <v>39</v>
      </c>
      <c r="AF35" s="116"/>
      <c r="AG35" s="116" t="s">
        <v>39</v>
      </c>
      <c r="AH35" s="117" t="s">
        <v>39</v>
      </c>
      <c r="AI35" s="153">
        <v>0.0</v>
      </c>
      <c r="AJ35" s="116"/>
    </row>
    <row r="36" ht="15.75" customHeight="1">
      <c r="A36" s="116" t="s">
        <v>53</v>
      </c>
      <c r="B36" s="116" t="s">
        <v>39</v>
      </c>
      <c r="C36" s="116" t="s">
        <v>39</v>
      </c>
      <c r="D36" s="116" t="s">
        <v>39</v>
      </c>
      <c r="E36" s="116" t="s">
        <v>39</v>
      </c>
      <c r="F36" s="116" t="s">
        <v>39</v>
      </c>
      <c r="G36" s="116" t="s">
        <v>39</v>
      </c>
      <c r="H36" s="116"/>
      <c r="I36" s="116" t="s">
        <v>39</v>
      </c>
      <c r="J36" s="116" t="s">
        <v>39</v>
      </c>
      <c r="K36" s="116" t="s">
        <v>39</v>
      </c>
      <c r="L36" s="116" t="s">
        <v>39</v>
      </c>
      <c r="M36" s="116" t="s">
        <v>39</v>
      </c>
      <c r="N36" s="116"/>
      <c r="O36" s="116" t="s">
        <v>39</v>
      </c>
      <c r="P36" s="116" t="s">
        <v>39</v>
      </c>
      <c r="Q36" s="116" t="s">
        <v>39</v>
      </c>
      <c r="R36" s="116" t="s">
        <v>39</v>
      </c>
      <c r="S36" s="116" t="s">
        <v>39</v>
      </c>
      <c r="T36" s="116" t="s">
        <v>39</v>
      </c>
      <c r="U36" s="116" t="s">
        <v>39</v>
      </c>
      <c r="V36" s="116" t="s">
        <v>39</v>
      </c>
      <c r="W36" s="116" t="s">
        <v>39</v>
      </c>
      <c r="X36" s="116" t="s">
        <v>39</v>
      </c>
      <c r="Y36" s="116" t="s">
        <v>39</v>
      </c>
      <c r="Z36" s="116" t="s">
        <v>39</v>
      </c>
      <c r="AA36" s="116" t="s">
        <v>39</v>
      </c>
      <c r="AB36" s="116" t="s">
        <v>39</v>
      </c>
      <c r="AC36" s="116" t="s">
        <v>39</v>
      </c>
      <c r="AD36" s="116" t="s">
        <v>39</v>
      </c>
      <c r="AE36" s="116" t="s">
        <v>39</v>
      </c>
      <c r="AF36" s="116"/>
      <c r="AG36" s="116" t="s">
        <v>39</v>
      </c>
      <c r="AH36" s="117" t="s">
        <v>39</v>
      </c>
      <c r="AI36" s="153">
        <v>0.0</v>
      </c>
      <c r="AJ36" s="116"/>
    </row>
    <row r="37" ht="15.75" customHeight="1">
      <c r="A37" s="116" t="s">
        <v>54</v>
      </c>
      <c r="B37" s="116" t="s">
        <v>39</v>
      </c>
      <c r="C37" s="116" t="s">
        <v>39</v>
      </c>
      <c r="D37" s="116" t="s">
        <v>39</v>
      </c>
      <c r="E37" s="116" t="s">
        <v>39</v>
      </c>
      <c r="F37" s="116" t="s">
        <v>39</v>
      </c>
      <c r="G37" s="116" t="s">
        <v>39</v>
      </c>
      <c r="H37" s="116"/>
      <c r="I37" s="116" t="s">
        <v>39</v>
      </c>
      <c r="J37" s="116" t="s">
        <v>39</v>
      </c>
      <c r="K37" s="116" t="s">
        <v>39</v>
      </c>
      <c r="L37" s="116" t="s">
        <v>39</v>
      </c>
      <c r="M37" s="116" t="s">
        <v>39</v>
      </c>
      <c r="N37" s="116"/>
      <c r="O37" s="116" t="s">
        <v>39</v>
      </c>
      <c r="P37" s="116" t="s">
        <v>39</v>
      </c>
      <c r="Q37" s="116" t="s">
        <v>39</v>
      </c>
      <c r="R37" s="116" t="s">
        <v>39</v>
      </c>
      <c r="S37" s="116" t="s">
        <v>39</v>
      </c>
      <c r="T37" s="116" t="s">
        <v>39</v>
      </c>
      <c r="U37" s="116" t="s">
        <v>39</v>
      </c>
      <c r="V37" s="116" t="s">
        <v>39</v>
      </c>
      <c r="W37" s="116" t="s">
        <v>39</v>
      </c>
      <c r="X37" s="116" t="s">
        <v>39</v>
      </c>
      <c r="Y37" s="116" t="s">
        <v>39</v>
      </c>
      <c r="Z37" s="116" t="s">
        <v>39</v>
      </c>
      <c r="AA37" s="116" t="s">
        <v>39</v>
      </c>
      <c r="AB37" s="116" t="s">
        <v>39</v>
      </c>
      <c r="AC37" s="116" t="s">
        <v>39</v>
      </c>
      <c r="AD37" s="116" t="s">
        <v>39</v>
      </c>
      <c r="AE37" s="116" t="s">
        <v>39</v>
      </c>
      <c r="AF37" s="116"/>
      <c r="AG37" s="138">
        <v>18400.0</v>
      </c>
      <c r="AH37" s="147">
        <v>18400.0</v>
      </c>
      <c r="AI37" s="153">
        <v>0.0</v>
      </c>
      <c r="AJ37" s="116"/>
    </row>
    <row r="38" ht="15.75" customHeight="1">
      <c r="A38" s="116" t="s">
        <v>55</v>
      </c>
      <c r="B38" s="116" t="s">
        <v>39</v>
      </c>
      <c r="C38" s="116" t="s">
        <v>39</v>
      </c>
      <c r="D38" s="116" t="s">
        <v>39</v>
      </c>
      <c r="E38" s="116" t="s">
        <v>39</v>
      </c>
      <c r="F38" s="116" t="s">
        <v>39</v>
      </c>
      <c r="G38" s="116" t="s">
        <v>39</v>
      </c>
      <c r="H38" s="116"/>
      <c r="I38" s="116" t="s">
        <v>39</v>
      </c>
      <c r="J38" s="116" t="s">
        <v>39</v>
      </c>
      <c r="K38" s="116" t="s">
        <v>39</v>
      </c>
      <c r="L38" s="116" t="s">
        <v>39</v>
      </c>
      <c r="M38" s="116" t="s">
        <v>39</v>
      </c>
      <c r="N38" s="116"/>
      <c r="O38" s="116" t="s">
        <v>39</v>
      </c>
      <c r="P38" s="116" t="s">
        <v>39</v>
      </c>
      <c r="Q38" s="116" t="s">
        <v>39</v>
      </c>
      <c r="R38" s="116" t="s">
        <v>39</v>
      </c>
      <c r="S38" s="116" t="s">
        <v>39</v>
      </c>
      <c r="T38" s="116" t="s">
        <v>39</v>
      </c>
      <c r="U38" s="116" t="s">
        <v>39</v>
      </c>
      <c r="V38" s="116" t="s">
        <v>39</v>
      </c>
      <c r="W38" s="116" t="s">
        <v>39</v>
      </c>
      <c r="X38" s="116" t="s">
        <v>39</v>
      </c>
      <c r="Y38" s="116" t="s">
        <v>39</v>
      </c>
      <c r="Z38" s="116" t="s">
        <v>39</v>
      </c>
      <c r="AA38" s="116" t="s">
        <v>39</v>
      </c>
      <c r="AB38" s="116" t="s">
        <v>39</v>
      </c>
      <c r="AC38" s="116" t="s">
        <v>39</v>
      </c>
      <c r="AD38" s="116" t="s">
        <v>39</v>
      </c>
      <c r="AE38" s="116" t="s">
        <v>39</v>
      </c>
      <c r="AF38" s="116"/>
      <c r="AG38" s="116" t="s">
        <v>39</v>
      </c>
      <c r="AH38" s="117" t="s">
        <v>39</v>
      </c>
      <c r="AI38" s="153">
        <v>0.0</v>
      </c>
      <c r="AJ38" s="116"/>
    </row>
    <row r="39" ht="15.75" customHeight="1">
      <c r="A39" s="116" t="s">
        <v>107</v>
      </c>
      <c r="B39" s="116" t="s">
        <v>39</v>
      </c>
      <c r="C39" s="116" t="s">
        <v>39</v>
      </c>
      <c r="D39" s="116" t="s">
        <v>39</v>
      </c>
      <c r="E39" s="116" t="s">
        <v>39</v>
      </c>
      <c r="F39" s="116" t="s">
        <v>39</v>
      </c>
      <c r="G39" s="116" t="s">
        <v>39</v>
      </c>
      <c r="H39" s="116"/>
      <c r="I39" s="116" t="s">
        <v>39</v>
      </c>
      <c r="J39" s="116" t="s">
        <v>39</v>
      </c>
      <c r="K39" s="116" t="s">
        <v>39</v>
      </c>
      <c r="L39" s="116" t="s">
        <v>39</v>
      </c>
      <c r="M39" s="116" t="s">
        <v>39</v>
      </c>
      <c r="N39" s="116"/>
      <c r="O39" s="116" t="s">
        <v>39</v>
      </c>
      <c r="P39" s="116" t="s">
        <v>39</v>
      </c>
      <c r="Q39" s="116" t="s">
        <v>39</v>
      </c>
      <c r="R39" s="116" t="s">
        <v>39</v>
      </c>
      <c r="S39" s="116" t="s">
        <v>39</v>
      </c>
      <c r="T39" s="116" t="s">
        <v>39</v>
      </c>
      <c r="U39" s="116" t="s">
        <v>39</v>
      </c>
      <c r="V39" s="116" t="s">
        <v>39</v>
      </c>
      <c r="W39" s="116" t="s">
        <v>39</v>
      </c>
      <c r="X39" s="116" t="s">
        <v>39</v>
      </c>
      <c r="Y39" s="116" t="s">
        <v>39</v>
      </c>
      <c r="Z39" s="116" t="s">
        <v>39</v>
      </c>
      <c r="AA39" s="116" t="s">
        <v>39</v>
      </c>
      <c r="AB39" s="116" t="s">
        <v>39</v>
      </c>
      <c r="AC39" s="116" t="s">
        <v>39</v>
      </c>
      <c r="AD39" s="116" t="s">
        <v>39</v>
      </c>
      <c r="AE39" s="116" t="s">
        <v>39</v>
      </c>
      <c r="AF39" s="116"/>
      <c r="AG39" s="116" t="s">
        <v>39</v>
      </c>
      <c r="AH39" s="117" t="s">
        <v>39</v>
      </c>
      <c r="AI39" s="153">
        <v>0.0</v>
      </c>
      <c r="AJ39" s="116"/>
    </row>
    <row r="40" ht="15.75" customHeight="1">
      <c r="A40" s="116" t="s">
        <v>57</v>
      </c>
      <c r="B40" s="116" t="s">
        <v>39</v>
      </c>
      <c r="C40" s="116" t="s">
        <v>39</v>
      </c>
      <c r="D40" s="116" t="s">
        <v>39</v>
      </c>
      <c r="E40" s="116" t="s">
        <v>39</v>
      </c>
      <c r="F40" s="116" t="s">
        <v>39</v>
      </c>
      <c r="G40" s="116" t="s">
        <v>39</v>
      </c>
      <c r="H40" s="116"/>
      <c r="I40" s="116" t="s">
        <v>39</v>
      </c>
      <c r="J40" s="116" t="s">
        <v>39</v>
      </c>
      <c r="K40" s="116" t="s">
        <v>39</v>
      </c>
      <c r="L40" s="116" t="s">
        <v>39</v>
      </c>
      <c r="M40" s="116" t="s">
        <v>39</v>
      </c>
      <c r="N40" s="116"/>
      <c r="O40" s="116" t="s">
        <v>39</v>
      </c>
      <c r="P40" s="116" t="s">
        <v>39</v>
      </c>
      <c r="Q40" s="116" t="s">
        <v>39</v>
      </c>
      <c r="R40" s="116" t="s">
        <v>39</v>
      </c>
      <c r="S40" s="116" t="s">
        <v>39</v>
      </c>
      <c r="T40" s="116" t="s">
        <v>39</v>
      </c>
      <c r="U40" s="116" t="s">
        <v>39</v>
      </c>
      <c r="V40" s="116" t="s">
        <v>39</v>
      </c>
      <c r="W40" s="116" t="s">
        <v>39</v>
      </c>
      <c r="X40" s="116" t="s">
        <v>39</v>
      </c>
      <c r="Y40" s="116" t="s">
        <v>39</v>
      </c>
      <c r="Z40" s="116" t="s">
        <v>39</v>
      </c>
      <c r="AA40" s="116" t="s">
        <v>39</v>
      </c>
      <c r="AB40" s="116" t="s">
        <v>39</v>
      </c>
      <c r="AC40" s="116" t="s">
        <v>39</v>
      </c>
      <c r="AD40" s="116" t="s">
        <v>39</v>
      </c>
      <c r="AE40" s="116" t="s">
        <v>39</v>
      </c>
      <c r="AF40" s="116"/>
      <c r="AG40" s="138">
        <v>565000.0</v>
      </c>
      <c r="AH40" s="147">
        <v>565000.0</v>
      </c>
      <c r="AI40" s="153">
        <v>0.0</v>
      </c>
      <c r="AJ40" s="116"/>
    </row>
    <row r="41" ht="15.75" customHeight="1">
      <c r="A41" s="116" t="s">
        <v>58</v>
      </c>
      <c r="B41" s="116" t="s">
        <v>39</v>
      </c>
      <c r="C41" s="116" t="s">
        <v>39</v>
      </c>
      <c r="D41" s="116" t="s">
        <v>39</v>
      </c>
      <c r="E41" s="116" t="s">
        <v>39</v>
      </c>
      <c r="F41" s="116" t="s">
        <v>39</v>
      </c>
      <c r="G41" s="116" t="s">
        <v>39</v>
      </c>
      <c r="H41" s="116"/>
      <c r="I41" s="116" t="s">
        <v>39</v>
      </c>
      <c r="J41" s="116" t="s">
        <v>39</v>
      </c>
      <c r="K41" s="116" t="s">
        <v>39</v>
      </c>
      <c r="L41" s="116" t="s">
        <v>39</v>
      </c>
      <c r="M41" s="116" t="s">
        <v>39</v>
      </c>
      <c r="N41" s="116"/>
      <c r="O41" s="116" t="s">
        <v>39</v>
      </c>
      <c r="P41" s="116" t="s">
        <v>39</v>
      </c>
      <c r="Q41" s="116" t="s">
        <v>39</v>
      </c>
      <c r="R41" s="116" t="s">
        <v>39</v>
      </c>
      <c r="S41" s="116" t="s">
        <v>39</v>
      </c>
      <c r="T41" s="116" t="s">
        <v>39</v>
      </c>
      <c r="U41" s="116" t="s">
        <v>39</v>
      </c>
      <c r="V41" s="116" t="s">
        <v>39</v>
      </c>
      <c r="W41" s="116" t="s">
        <v>39</v>
      </c>
      <c r="X41" s="116" t="s">
        <v>39</v>
      </c>
      <c r="Y41" s="116" t="s">
        <v>39</v>
      </c>
      <c r="Z41" s="116" t="s">
        <v>39</v>
      </c>
      <c r="AA41" s="116" t="s">
        <v>39</v>
      </c>
      <c r="AB41" s="116" t="s">
        <v>39</v>
      </c>
      <c r="AC41" s="116" t="s">
        <v>39</v>
      </c>
      <c r="AD41" s="116" t="s">
        <v>39</v>
      </c>
      <c r="AE41" s="116" t="s">
        <v>39</v>
      </c>
      <c r="AF41" s="116"/>
      <c r="AG41" s="138">
        <v>2616.14</v>
      </c>
      <c r="AH41" s="147">
        <v>2616.14</v>
      </c>
      <c r="AI41" s="153">
        <v>0.0</v>
      </c>
      <c r="AJ41" s="116"/>
    </row>
    <row r="42" ht="15.75" customHeight="1">
      <c r="A42" s="116" t="s">
        <v>59</v>
      </c>
      <c r="B42" s="116" t="s">
        <v>39</v>
      </c>
      <c r="C42" s="116">
        <v>103.91</v>
      </c>
      <c r="D42" s="116">
        <v>171.87</v>
      </c>
      <c r="E42" s="116">
        <v>102.07</v>
      </c>
      <c r="F42" s="116" t="s">
        <v>39</v>
      </c>
      <c r="G42" s="116">
        <v>155.12</v>
      </c>
      <c r="H42" s="116"/>
      <c r="I42" s="116" t="s">
        <v>39</v>
      </c>
      <c r="J42" s="116">
        <v>66.73</v>
      </c>
      <c r="K42" s="116" t="s">
        <v>39</v>
      </c>
      <c r="L42" s="116" t="s">
        <v>39</v>
      </c>
      <c r="M42" s="116">
        <v>118.68</v>
      </c>
      <c r="N42" s="116"/>
      <c r="O42" s="116">
        <v>66.73</v>
      </c>
      <c r="P42" s="116">
        <v>164.96</v>
      </c>
      <c r="Q42" s="116">
        <v>102.07</v>
      </c>
      <c r="R42" s="116" t="s">
        <v>39</v>
      </c>
      <c r="S42" s="116">
        <v>66.73</v>
      </c>
      <c r="T42" s="116">
        <v>128.46</v>
      </c>
      <c r="U42" s="116">
        <v>128.83</v>
      </c>
      <c r="V42" s="116">
        <v>77.56</v>
      </c>
      <c r="W42" s="116" t="s">
        <v>39</v>
      </c>
      <c r="X42" s="116">
        <v>108.98</v>
      </c>
      <c r="Y42" s="116">
        <v>144.66</v>
      </c>
      <c r="Z42" s="116">
        <v>157.24</v>
      </c>
      <c r="AA42" s="116">
        <v>120.52</v>
      </c>
      <c r="AB42" s="116" t="s">
        <v>39</v>
      </c>
      <c r="AC42" s="116">
        <v>76.09</v>
      </c>
      <c r="AD42" s="116">
        <v>74.89</v>
      </c>
      <c r="AE42" s="116" t="s">
        <v>39</v>
      </c>
      <c r="AF42" s="116"/>
      <c r="AG42" s="116">
        <v>74.89</v>
      </c>
      <c r="AH42" s="147">
        <v>2210.99</v>
      </c>
      <c r="AI42" s="153">
        <v>0.0</v>
      </c>
      <c r="AJ42" s="116"/>
    </row>
    <row r="43" ht="15.75" customHeight="1">
      <c r="A43" s="116" t="s">
        <v>60</v>
      </c>
      <c r="B43" s="116" t="s">
        <v>39</v>
      </c>
      <c r="C43" s="116" t="s">
        <v>39</v>
      </c>
      <c r="D43" s="116" t="s">
        <v>39</v>
      </c>
      <c r="E43" s="116" t="s">
        <v>39</v>
      </c>
      <c r="F43" s="116" t="s">
        <v>39</v>
      </c>
      <c r="G43" s="116" t="s">
        <v>39</v>
      </c>
      <c r="H43" s="116"/>
      <c r="I43" s="116" t="s">
        <v>39</v>
      </c>
      <c r="J43" s="116" t="s">
        <v>39</v>
      </c>
      <c r="K43" s="116" t="s">
        <v>39</v>
      </c>
      <c r="L43" s="116" t="s">
        <v>39</v>
      </c>
      <c r="M43" s="116" t="s">
        <v>39</v>
      </c>
      <c r="N43" s="116"/>
      <c r="O43" s="116" t="s">
        <v>39</v>
      </c>
      <c r="P43" s="116" t="s">
        <v>39</v>
      </c>
      <c r="Q43" s="116" t="s">
        <v>39</v>
      </c>
      <c r="R43" s="116" t="s">
        <v>39</v>
      </c>
      <c r="S43" s="116" t="s">
        <v>39</v>
      </c>
      <c r="T43" s="116" t="s">
        <v>39</v>
      </c>
      <c r="U43" s="116" t="s">
        <v>39</v>
      </c>
      <c r="V43" s="116" t="s">
        <v>39</v>
      </c>
      <c r="W43" s="116" t="s">
        <v>39</v>
      </c>
      <c r="X43" s="116" t="s">
        <v>39</v>
      </c>
      <c r="Y43" s="116" t="s">
        <v>39</v>
      </c>
      <c r="Z43" s="116" t="s">
        <v>39</v>
      </c>
      <c r="AA43" s="116" t="s">
        <v>39</v>
      </c>
      <c r="AB43" s="116" t="s">
        <v>39</v>
      </c>
      <c r="AC43" s="116" t="s">
        <v>39</v>
      </c>
      <c r="AD43" s="116" t="s">
        <v>39</v>
      </c>
      <c r="AE43" s="116" t="s">
        <v>39</v>
      </c>
      <c r="AF43" s="116"/>
      <c r="AG43" s="138">
        <v>100970.56</v>
      </c>
      <c r="AH43" s="147">
        <v>100970.56</v>
      </c>
      <c r="AI43" s="153">
        <v>0.0</v>
      </c>
      <c r="AJ43" s="116"/>
    </row>
    <row r="44" ht="15.75" customHeight="1">
      <c r="A44" s="116" t="s">
        <v>61</v>
      </c>
      <c r="B44" s="116" t="s">
        <v>39</v>
      </c>
      <c r="C44" s="116" t="s">
        <v>39</v>
      </c>
      <c r="D44" s="116" t="s">
        <v>39</v>
      </c>
      <c r="E44" s="116" t="s">
        <v>39</v>
      </c>
      <c r="F44" s="116" t="s">
        <v>39</v>
      </c>
      <c r="G44" s="116" t="s">
        <v>39</v>
      </c>
      <c r="H44" s="116"/>
      <c r="I44" s="116" t="s">
        <v>39</v>
      </c>
      <c r="J44" s="116" t="s">
        <v>39</v>
      </c>
      <c r="K44" s="116" t="s">
        <v>39</v>
      </c>
      <c r="L44" s="116" t="s">
        <v>39</v>
      </c>
      <c r="M44" s="116">
        <v>300.0</v>
      </c>
      <c r="N44" s="116"/>
      <c r="O44" s="116" t="s">
        <v>39</v>
      </c>
      <c r="P44" s="116">
        <v>300.0</v>
      </c>
      <c r="Q44" s="116" t="s">
        <v>39</v>
      </c>
      <c r="R44" s="116" t="s">
        <v>39</v>
      </c>
      <c r="S44" s="116" t="s">
        <v>39</v>
      </c>
      <c r="T44" s="116" t="s">
        <v>39</v>
      </c>
      <c r="U44" s="116" t="s">
        <v>39</v>
      </c>
      <c r="V44" s="116" t="s">
        <v>39</v>
      </c>
      <c r="W44" s="116" t="s">
        <v>39</v>
      </c>
      <c r="X44" s="116" t="s">
        <v>39</v>
      </c>
      <c r="Y44" s="116" t="s">
        <v>39</v>
      </c>
      <c r="Z44" s="116" t="s">
        <v>39</v>
      </c>
      <c r="AA44" s="116">
        <v>300.0</v>
      </c>
      <c r="AB44" s="116" t="s">
        <v>39</v>
      </c>
      <c r="AC44" s="116" t="s">
        <v>39</v>
      </c>
      <c r="AD44" s="116" t="s">
        <v>39</v>
      </c>
      <c r="AE44" s="116" t="s">
        <v>39</v>
      </c>
      <c r="AF44" s="116"/>
      <c r="AG44" s="138">
        <v>13212.94</v>
      </c>
      <c r="AH44" s="147">
        <v>14112.94</v>
      </c>
      <c r="AI44" s="153">
        <v>0.0</v>
      </c>
      <c r="AJ44" s="116"/>
    </row>
    <row r="45" ht="15.75" customHeight="1">
      <c r="A45" s="131" t="s">
        <v>109</v>
      </c>
      <c r="B45" s="150">
        <v>173082.15</v>
      </c>
      <c r="C45" s="150">
        <v>7138.51</v>
      </c>
      <c r="D45" s="150">
        <v>37791.67</v>
      </c>
      <c r="E45" s="150">
        <v>58460.41</v>
      </c>
      <c r="F45" s="150">
        <v>151281.27</v>
      </c>
      <c r="G45" s="150">
        <v>38722.4</v>
      </c>
      <c r="H45" s="154" t="s">
        <v>39</v>
      </c>
      <c r="I45" s="150">
        <v>228617.99</v>
      </c>
      <c r="J45" s="150">
        <v>123355.0</v>
      </c>
      <c r="K45" s="150">
        <v>11654.6</v>
      </c>
      <c r="L45" s="150">
        <v>61743.06</v>
      </c>
      <c r="M45" s="150">
        <v>37362.22</v>
      </c>
      <c r="N45" s="154" t="s">
        <v>39</v>
      </c>
      <c r="O45" s="150">
        <v>57836.24</v>
      </c>
      <c r="P45" s="150">
        <v>62284.66</v>
      </c>
      <c r="Q45" s="150">
        <v>29160.31</v>
      </c>
      <c r="R45" s="150">
        <v>36681.85</v>
      </c>
      <c r="S45" s="150">
        <v>23549.19</v>
      </c>
      <c r="T45" s="150">
        <v>26337.47</v>
      </c>
      <c r="U45" s="150">
        <v>47089.61</v>
      </c>
      <c r="V45" s="150">
        <v>26240.49</v>
      </c>
      <c r="W45" s="150">
        <v>11823.99</v>
      </c>
      <c r="X45" s="150">
        <v>48376.22</v>
      </c>
      <c r="Y45" s="150">
        <v>159626.76</v>
      </c>
      <c r="Z45" s="150">
        <v>19163.77</v>
      </c>
      <c r="AA45" s="150">
        <v>37197.28</v>
      </c>
      <c r="AB45" s="150">
        <v>14288.78</v>
      </c>
      <c r="AC45" s="150">
        <v>12313.35</v>
      </c>
      <c r="AD45" s="150">
        <v>113519.95</v>
      </c>
      <c r="AE45" s="150">
        <v>20847.33</v>
      </c>
      <c r="AF45" s="154" t="s">
        <v>39</v>
      </c>
      <c r="AG45" s="150">
        <v>1184451.8</v>
      </c>
      <c r="AH45" s="150">
        <v>2859998.33</v>
      </c>
      <c r="AI45" s="134">
        <v>1.0</v>
      </c>
      <c r="AJ45" s="116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7"/>
      <c r="AI46" s="116"/>
      <c r="AJ46" s="116"/>
    </row>
    <row r="47" ht="15.75" customHeight="1">
      <c r="A47" s="131" t="s">
        <v>14</v>
      </c>
      <c r="B47" s="132">
        <v>139917.85</v>
      </c>
      <c r="C47" s="132">
        <v>98361.49</v>
      </c>
      <c r="D47" s="132">
        <v>18958.33</v>
      </c>
      <c r="E47" s="132">
        <v>30189.59</v>
      </c>
      <c r="F47" s="132">
        <v>121618.73</v>
      </c>
      <c r="G47" s="132">
        <v>12221.1</v>
      </c>
      <c r="H47" s="132">
        <v>19000.0</v>
      </c>
      <c r="I47" s="132">
        <v>236282.01</v>
      </c>
      <c r="J47" s="132">
        <v>65361.64</v>
      </c>
      <c r="K47" s="132">
        <v>7345.4</v>
      </c>
      <c r="L47" s="132">
        <v>26556.93</v>
      </c>
      <c r="M47" s="132">
        <v>37837.78</v>
      </c>
      <c r="N47" s="131" t="s">
        <v>39</v>
      </c>
      <c r="O47" s="132">
        <v>39913.76</v>
      </c>
      <c r="P47" s="132">
        <v>35965.34</v>
      </c>
      <c r="Q47" s="132">
        <v>26589.69</v>
      </c>
      <c r="R47" s="132">
        <v>17318.15</v>
      </c>
      <c r="S47" s="132">
        <v>12450.81</v>
      </c>
      <c r="T47" s="132">
        <v>11662.53</v>
      </c>
      <c r="U47" s="132">
        <v>39410.39</v>
      </c>
      <c r="V47" s="132">
        <v>11759.51</v>
      </c>
      <c r="W47" s="132">
        <v>7676.01</v>
      </c>
      <c r="X47" s="132">
        <v>36123.78</v>
      </c>
      <c r="Y47" s="132">
        <v>92873.24</v>
      </c>
      <c r="Z47" s="132">
        <v>36586.23</v>
      </c>
      <c r="AA47" s="132">
        <v>20002.72</v>
      </c>
      <c r="AB47" s="132">
        <v>47211.22</v>
      </c>
      <c r="AC47" s="132">
        <v>6186.65</v>
      </c>
      <c r="AD47" s="132">
        <v>118480.05</v>
      </c>
      <c r="AE47" s="132">
        <v>-2147.33</v>
      </c>
      <c r="AF47" s="132">
        <v>1450.0</v>
      </c>
      <c r="AG47" s="132">
        <v>-1184451.8</v>
      </c>
      <c r="AH47" s="132">
        <v>188711.8</v>
      </c>
      <c r="AI47" s="123"/>
      <c r="AJ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7"/>
      <c r="AI48" s="116"/>
      <c r="AJ48" s="1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2"/>
    <mergeCell ref="A3:C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3" width="13.0"/>
    <col customWidth="1" min="4" max="4" width="10.38"/>
    <col customWidth="1" min="5" max="5" width="10.5"/>
    <col customWidth="1" min="6" max="6" width="8.5"/>
    <col customWidth="1" min="7" max="7" width="11.88"/>
    <col customWidth="1" min="8" max="8" width="19.13"/>
    <col customWidth="1" min="9" max="9" width="11.75"/>
    <col customWidth="1" min="10" max="10" width="9.5"/>
    <col customWidth="1" min="11" max="11" width="15.63"/>
    <col customWidth="1" min="12" max="12" width="12.75"/>
    <col customWidth="1" min="13" max="13" width="13.38"/>
    <col customWidth="1" min="14" max="14" width="13.13"/>
    <col customWidth="1" min="15" max="15" width="11.75"/>
    <col customWidth="1" min="16" max="16" width="12.38"/>
    <col customWidth="1" min="17" max="17" width="12.75"/>
    <col customWidth="1" min="18" max="18" width="22.63"/>
    <col customWidth="1" min="19" max="19" width="17.25"/>
    <col customWidth="1" min="20" max="20" width="8.13"/>
    <col customWidth="1" min="21" max="21" width="14.0"/>
    <col customWidth="1" min="22" max="22" width="9.5"/>
    <col customWidth="1" min="23" max="23" width="22.25"/>
    <col customWidth="1" min="24" max="24" width="11.25"/>
    <col customWidth="1" min="25" max="25" width="14.38"/>
    <col customWidth="1" min="26" max="26" width="17.13"/>
    <col customWidth="1" min="27" max="27" width="10.5"/>
    <col customWidth="1" min="28" max="28" width="13.0"/>
    <col customWidth="1" min="29" max="29" width="15.0"/>
    <col customWidth="1" min="30" max="30" width="17.63"/>
    <col customWidth="1" min="31" max="31" width="9.5"/>
    <col customWidth="1" min="32" max="32" width="10.25"/>
    <col customWidth="1" min="33" max="33" width="15.5"/>
    <col customWidth="1" min="34" max="34" width="12.0"/>
    <col customWidth="1" min="35" max="35" width="18.38"/>
    <col customWidth="1" min="36" max="36" width="16.88"/>
    <col customWidth="1" min="37" max="37" width="11.63"/>
    <col customWidth="1" min="38" max="38" width="19.63"/>
    <col customWidth="1" min="39" max="39" width="15.13"/>
    <col customWidth="1" min="40" max="40" width="8.38"/>
    <col customWidth="1" min="41" max="41" width="5.25"/>
    <col customWidth="1" min="42" max="42" width="13.5"/>
    <col customWidth="1" min="43" max="43" width="6.75"/>
    <col customWidth="1" min="44" max="44" width="2.5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7"/>
      <c r="AQ1" s="116"/>
      <c r="AR1" s="116"/>
    </row>
    <row r="2" ht="15.75" customHeight="1">
      <c r="A2" s="116" t="s">
        <v>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7"/>
      <c r="AQ2" s="116"/>
      <c r="AR2" s="116"/>
    </row>
    <row r="3" ht="15.75" customHeight="1">
      <c r="A3" s="116" t="s">
        <v>63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6"/>
      <c r="AR3" s="116"/>
    </row>
    <row r="4" ht="15.75" customHeight="1">
      <c r="A4" s="14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6"/>
      <c r="AR4" s="116"/>
    </row>
    <row r="5" ht="15.75" customHeigh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6"/>
      <c r="AR5" s="116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</row>
    <row r="6" ht="15.75" customHeight="1">
      <c r="A6" s="118" t="s">
        <v>28</v>
      </c>
      <c r="B6" s="118" t="s">
        <v>21</v>
      </c>
      <c r="C6" s="118" t="s">
        <v>64</v>
      </c>
      <c r="D6" s="118" t="s">
        <v>65</v>
      </c>
      <c r="E6" s="118" t="s">
        <v>66</v>
      </c>
      <c r="F6" s="118" t="s">
        <v>67</v>
      </c>
      <c r="G6" s="118" t="s">
        <v>68</v>
      </c>
      <c r="H6" s="118" t="s">
        <v>69</v>
      </c>
      <c r="I6" s="118" t="s">
        <v>70</v>
      </c>
      <c r="J6" s="118" t="s">
        <v>71</v>
      </c>
      <c r="K6" s="118" t="s">
        <v>72</v>
      </c>
      <c r="L6" s="118" t="s">
        <v>73</v>
      </c>
      <c r="M6" s="118" t="s">
        <v>74</v>
      </c>
      <c r="N6" s="118" t="s">
        <v>75</v>
      </c>
      <c r="O6" s="118" t="s">
        <v>76</v>
      </c>
      <c r="P6" s="118" t="s">
        <v>77</v>
      </c>
      <c r="Q6" s="118" t="s">
        <v>78</v>
      </c>
      <c r="R6" s="118" t="s">
        <v>79</v>
      </c>
      <c r="S6" s="118" t="s">
        <v>80</v>
      </c>
      <c r="T6" s="118" t="s">
        <v>81</v>
      </c>
      <c r="U6" s="121" t="s">
        <v>82</v>
      </c>
      <c r="V6" s="121" t="s">
        <v>83</v>
      </c>
      <c r="W6" s="121" t="s">
        <v>84</v>
      </c>
      <c r="X6" s="121" t="s">
        <v>85</v>
      </c>
      <c r="Y6" s="118" t="s">
        <v>86</v>
      </c>
      <c r="Z6" s="121" t="s">
        <v>87</v>
      </c>
      <c r="AA6" s="121" t="s">
        <v>88</v>
      </c>
      <c r="AB6" s="121" t="s">
        <v>89</v>
      </c>
      <c r="AC6" s="155" t="s">
        <v>116</v>
      </c>
      <c r="AD6" s="118" t="s">
        <v>90</v>
      </c>
      <c r="AE6" s="121" t="s">
        <v>91</v>
      </c>
      <c r="AF6" s="121" t="s">
        <v>92</v>
      </c>
      <c r="AG6" s="151" t="s">
        <v>93</v>
      </c>
      <c r="AH6" s="118" t="s">
        <v>117</v>
      </c>
      <c r="AI6" s="121" t="s">
        <v>94</v>
      </c>
      <c r="AJ6" s="118" t="s">
        <v>118</v>
      </c>
      <c r="AK6" s="118" t="s">
        <v>114</v>
      </c>
      <c r="AL6" s="118" t="s">
        <v>115</v>
      </c>
      <c r="AM6" s="121" t="s">
        <v>97</v>
      </c>
      <c r="AN6" s="121" t="s">
        <v>98</v>
      </c>
      <c r="AO6" s="121" t="s">
        <v>99</v>
      </c>
      <c r="AP6" s="118" t="s">
        <v>100</v>
      </c>
      <c r="AQ6" s="118" t="s">
        <v>30</v>
      </c>
      <c r="AR6" s="116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</row>
    <row r="7" ht="15.7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6"/>
      <c r="AR7" s="116"/>
    </row>
    <row r="8" ht="15.75" customHeight="1">
      <c r="A8" s="116" t="s">
        <v>102</v>
      </c>
      <c r="B8" s="128">
        <v>313000.0</v>
      </c>
      <c r="C8" s="128">
        <v>105500.0</v>
      </c>
      <c r="D8" s="128">
        <v>56750.0</v>
      </c>
      <c r="E8" s="128">
        <v>88650.0</v>
      </c>
      <c r="F8" s="128">
        <v>272900.0</v>
      </c>
      <c r="G8" s="128">
        <v>50943.5</v>
      </c>
      <c r="H8" s="128">
        <v>38000.0</v>
      </c>
      <c r="I8" s="128">
        <v>464900.0</v>
      </c>
      <c r="J8" s="128">
        <v>189727.81</v>
      </c>
      <c r="K8" s="128">
        <v>19000.0</v>
      </c>
      <c r="L8" s="128">
        <v>88300.0</v>
      </c>
      <c r="M8" s="137">
        <v>53600.0</v>
      </c>
      <c r="N8" s="128"/>
      <c r="O8" s="128"/>
      <c r="P8" s="128"/>
      <c r="Q8" s="128">
        <v>97750.0</v>
      </c>
      <c r="R8" s="128">
        <v>98250.0</v>
      </c>
      <c r="S8" s="128">
        <v>55750.0</v>
      </c>
      <c r="T8" s="128"/>
      <c r="U8" s="128">
        <v>54000.0</v>
      </c>
      <c r="V8" s="128">
        <v>36000.0</v>
      </c>
      <c r="W8" s="128">
        <v>38000.0</v>
      </c>
      <c r="X8" s="128"/>
      <c r="Y8" s="128">
        <v>86500.0</v>
      </c>
      <c r="Z8" s="128">
        <v>38000.0</v>
      </c>
      <c r="AA8" s="128">
        <v>19500.0</v>
      </c>
      <c r="AB8" s="128">
        <v>84500.0</v>
      </c>
      <c r="AC8" s="128"/>
      <c r="AD8" s="128">
        <v>252500.0</v>
      </c>
      <c r="AE8" s="128">
        <v>55750.0</v>
      </c>
      <c r="AF8" s="128"/>
      <c r="AG8" s="128">
        <v>57200.0</v>
      </c>
      <c r="AH8" s="128"/>
      <c r="AI8" s="128">
        <v>41000.0</v>
      </c>
      <c r="AJ8" s="128"/>
      <c r="AK8" s="128">
        <v>18500.0</v>
      </c>
      <c r="AL8" s="128">
        <v>232000.0</v>
      </c>
      <c r="AM8" s="128">
        <v>18700.0</v>
      </c>
      <c r="AN8" s="128"/>
      <c r="AO8" s="128"/>
      <c r="AP8" s="152">
        <v>3025171.31</v>
      </c>
      <c r="AQ8" s="153">
        <v>0.99</v>
      </c>
      <c r="AR8" s="128"/>
      <c r="AS8" s="129"/>
      <c r="AT8" s="129"/>
      <c r="AU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I8" s="129"/>
      <c r="BJ8" s="129"/>
    </row>
    <row r="9" ht="15.75" customHeight="1">
      <c r="A9" s="116" t="s">
        <v>113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25">
        <v>21600.0</v>
      </c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47">
        <v>21600.0</v>
      </c>
      <c r="AQ9" s="153">
        <v>0.01</v>
      </c>
      <c r="AR9" s="116"/>
    </row>
    <row r="10" ht="15.7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 t="s">
        <v>39</v>
      </c>
      <c r="AQ10" s="153">
        <v>0.0</v>
      </c>
      <c r="AR10" s="116"/>
    </row>
    <row r="11" ht="15.75" customHeight="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 t="s">
        <v>39</v>
      </c>
      <c r="AQ11" s="153">
        <v>0.0</v>
      </c>
      <c r="AR11" s="116"/>
    </row>
    <row r="12" ht="15.7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 t="s">
        <v>39</v>
      </c>
      <c r="AQ12" s="153">
        <v>0.0</v>
      </c>
      <c r="AR12" s="116"/>
    </row>
    <row r="13" ht="15.75" customHeight="1">
      <c r="A13" s="131" t="s">
        <v>104</v>
      </c>
      <c r="B13" s="133">
        <v>313000.0</v>
      </c>
      <c r="C13" s="133">
        <v>105500.0</v>
      </c>
      <c r="D13" s="133">
        <v>56750.0</v>
      </c>
      <c r="E13" s="133">
        <v>88650.0</v>
      </c>
      <c r="F13" s="133">
        <v>272900.0</v>
      </c>
      <c r="G13" s="133">
        <v>50943.5</v>
      </c>
      <c r="H13" s="133">
        <v>38000.0</v>
      </c>
      <c r="I13" s="133">
        <v>464900.0</v>
      </c>
      <c r="J13" s="133">
        <v>189727.81</v>
      </c>
      <c r="K13" s="133">
        <v>19000.0</v>
      </c>
      <c r="L13" s="133">
        <v>88300.0</v>
      </c>
      <c r="M13" s="133">
        <v>75200.0</v>
      </c>
      <c r="N13" s="133" t="s">
        <v>39</v>
      </c>
      <c r="O13" s="133" t="s">
        <v>39</v>
      </c>
      <c r="P13" s="133" t="s">
        <v>39</v>
      </c>
      <c r="Q13" s="133">
        <v>97750.0</v>
      </c>
      <c r="R13" s="133">
        <v>98250.0</v>
      </c>
      <c r="S13" s="133">
        <v>55750.0</v>
      </c>
      <c r="T13" s="133" t="s">
        <v>39</v>
      </c>
      <c r="U13" s="133">
        <v>54000.0</v>
      </c>
      <c r="V13" s="133">
        <v>36000.0</v>
      </c>
      <c r="W13" s="133">
        <v>38000.0</v>
      </c>
      <c r="X13" s="133" t="s">
        <v>39</v>
      </c>
      <c r="Y13" s="133">
        <v>86500.0</v>
      </c>
      <c r="Z13" s="133">
        <v>38000.0</v>
      </c>
      <c r="AA13" s="133">
        <v>19500.0</v>
      </c>
      <c r="AB13" s="133">
        <v>84500.0</v>
      </c>
      <c r="AC13" s="133" t="s">
        <v>39</v>
      </c>
      <c r="AD13" s="133">
        <v>252500.0</v>
      </c>
      <c r="AE13" s="133">
        <v>55750.0</v>
      </c>
      <c r="AF13" s="133" t="s">
        <v>39</v>
      </c>
      <c r="AG13" s="133">
        <v>57200.0</v>
      </c>
      <c r="AH13" s="133" t="s">
        <v>39</v>
      </c>
      <c r="AI13" s="133">
        <v>41000.0</v>
      </c>
      <c r="AJ13" s="133" t="s">
        <v>39</v>
      </c>
      <c r="AK13" s="133">
        <v>18500.0</v>
      </c>
      <c r="AL13" s="133">
        <v>232000.0</v>
      </c>
      <c r="AM13" s="133">
        <v>18700.0</v>
      </c>
      <c r="AN13" s="133" t="s">
        <v>39</v>
      </c>
      <c r="AO13" s="133" t="s">
        <v>39</v>
      </c>
      <c r="AP13" s="133">
        <v>3046771.31</v>
      </c>
      <c r="AQ13" s="134">
        <v>1.0</v>
      </c>
      <c r="AR13" s="128"/>
      <c r="AS13" s="129"/>
      <c r="AT13" s="129"/>
      <c r="AU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I13" s="129"/>
      <c r="BJ13" s="129"/>
    </row>
    <row r="14" ht="15.7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6"/>
      <c r="AR14" s="116"/>
    </row>
    <row r="15" ht="15.75" customHeight="1">
      <c r="A15" s="116" t="s">
        <v>31</v>
      </c>
      <c r="B15" s="128">
        <v>124851.85</v>
      </c>
      <c r="C15" s="128">
        <v>12123.29</v>
      </c>
      <c r="D15" s="128">
        <v>27145.88</v>
      </c>
      <c r="E15" s="128">
        <v>45676.56</v>
      </c>
      <c r="F15" s="128">
        <v>95969.74</v>
      </c>
      <c r="G15" s="128">
        <v>27256.32</v>
      </c>
      <c r="H15" s="128">
        <v>18188.0</v>
      </c>
      <c r="I15" s="128">
        <v>186138.47</v>
      </c>
      <c r="J15" s="128">
        <v>63923.41</v>
      </c>
      <c r="K15" s="128">
        <v>8805.0</v>
      </c>
      <c r="L15" s="128">
        <v>43635.85</v>
      </c>
      <c r="M15" s="128">
        <v>27712.84</v>
      </c>
      <c r="N15" s="128"/>
      <c r="O15" s="128"/>
      <c r="P15" s="128"/>
      <c r="Q15" s="128">
        <v>43098.52</v>
      </c>
      <c r="R15" s="128">
        <v>42926.32</v>
      </c>
      <c r="S15" s="128">
        <v>22529.5</v>
      </c>
      <c r="T15" s="128"/>
      <c r="U15" s="128">
        <v>16040.8</v>
      </c>
      <c r="V15" s="128">
        <v>9269.0</v>
      </c>
      <c r="W15" s="128">
        <v>20707.84</v>
      </c>
      <c r="X15" s="128"/>
      <c r="Y15" s="128">
        <v>33905.44</v>
      </c>
      <c r="Z15" s="128">
        <v>18288.18</v>
      </c>
      <c r="AA15" s="128">
        <v>8805.0</v>
      </c>
      <c r="AB15" s="128">
        <v>39273.04</v>
      </c>
      <c r="AC15" s="128"/>
      <c r="AD15" s="128">
        <v>109814.54</v>
      </c>
      <c r="AE15" s="128">
        <v>31252.11</v>
      </c>
      <c r="AF15" s="128"/>
      <c r="AG15" s="128">
        <v>28902.88</v>
      </c>
      <c r="AH15" s="128"/>
      <c r="AI15" s="128">
        <v>15317.0</v>
      </c>
      <c r="AJ15" s="128"/>
      <c r="AK15" s="128">
        <v>8805.0</v>
      </c>
      <c r="AL15" s="128">
        <v>83024.55</v>
      </c>
      <c r="AM15" s="128">
        <v>8805.0</v>
      </c>
      <c r="AN15" s="128"/>
      <c r="AO15" s="128">
        <v>278286.87</v>
      </c>
      <c r="AP15" s="152">
        <v>1500478.8</v>
      </c>
      <c r="AQ15" s="153">
        <v>0.55</v>
      </c>
      <c r="AR15" s="128"/>
      <c r="AS15" s="129"/>
      <c r="AT15" s="129"/>
      <c r="AU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I15" s="129"/>
      <c r="BJ15" s="129"/>
      <c r="BK15" s="129"/>
    </row>
    <row r="16" ht="15.75" customHeight="1">
      <c r="A16" s="116" t="s">
        <v>32</v>
      </c>
      <c r="B16" s="138">
        <v>14969.04</v>
      </c>
      <c r="C16" s="138">
        <v>1015.3</v>
      </c>
      <c r="D16" s="138">
        <v>3172.72</v>
      </c>
      <c r="E16" s="138">
        <v>5250.85</v>
      </c>
      <c r="F16" s="138">
        <v>10766.83</v>
      </c>
      <c r="G16" s="138">
        <v>3187.6</v>
      </c>
      <c r="H16" s="138">
        <v>2085.0</v>
      </c>
      <c r="I16" s="138">
        <v>23478.08</v>
      </c>
      <c r="J16" s="138">
        <v>8204.18</v>
      </c>
      <c r="K16" s="138">
        <v>1047.59</v>
      </c>
      <c r="L16" s="138">
        <v>5028.71</v>
      </c>
      <c r="M16" s="138">
        <v>3200.61</v>
      </c>
      <c r="N16" s="138"/>
      <c r="O16" s="138"/>
      <c r="P16" s="138"/>
      <c r="Q16" s="138">
        <v>5235.22</v>
      </c>
      <c r="R16" s="138">
        <v>5262.32</v>
      </c>
      <c r="S16" s="138">
        <v>2120.51</v>
      </c>
      <c r="T16" s="138"/>
      <c r="U16" s="138">
        <v>1857.44</v>
      </c>
      <c r="V16" s="138">
        <v>1045.29</v>
      </c>
      <c r="W16" s="138">
        <v>2118.48</v>
      </c>
      <c r="X16" s="138"/>
      <c r="Y16" s="138">
        <v>4222.68</v>
      </c>
      <c r="Z16" s="138">
        <v>2091.11</v>
      </c>
      <c r="AA16" s="138">
        <v>1042.73</v>
      </c>
      <c r="AB16" s="138">
        <v>5298.41</v>
      </c>
      <c r="AC16" s="138"/>
      <c r="AD16" s="138">
        <v>12776.89</v>
      </c>
      <c r="AE16" s="138">
        <v>2727.2</v>
      </c>
      <c r="AF16" s="138"/>
      <c r="AG16" s="138">
        <v>3172.69</v>
      </c>
      <c r="AH16" s="138"/>
      <c r="AI16" s="138">
        <v>1956.96</v>
      </c>
      <c r="AJ16" s="138"/>
      <c r="AK16" s="138">
        <v>1046.26</v>
      </c>
      <c r="AL16" s="138">
        <v>10242.43</v>
      </c>
      <c r="AM16" s="138">
        <v>1040.97</v>
      </c>
      <c r="AN16" s="138"/>
      <c r="AO16" s="138">
        <v>34827.44</v>
      </c>
      <c r="AP16" s="147">
        <v>179491.38</v>
      </c>
      <c r="AQ16" s="153">
        <v>0.07</v>
      </c>
      <c r="AR16" s="138"/>
      <c r="AS16" s="139"/>
      <c r="AT16" s="139"/>
      <c r="AU16" s="139"/>
      <c r="AW16" s="139"/>
      <c r="AX16" s="139"/>
      <c r="AZ16" s="139"/>
      <c r="BA16" s="139"/>
      <c r="BB16" s="139"/>
      <c r="BC16" s="139"/>
      <c r="BE16" s="139"/>
      <c r="BF16" s="139"/>
      <c r="BG16" s="139"/>
      <c r="BJ16" s="139"/>
      <c r="BK16" s="139"/>
    </row>
    <row r="17" ht="15.75" customHeight="1">
      <c r="A17" s="116" t="s">
        <v>33</v>
      </c>
      <c r="B17" s="138">
        <v>12115.2</v>
      </c>
      <c r="C17" s="138">
        <v>1505.93</v>
      </c>
      <c r="D17" s="138">
        <v>2340.88</v>
      </c>
      <c r="E17" s="138">
        <v>3938.5</v>
      </c>
      <c r="F17" s="138">
        <v>8412.33</v>
      </c>
      <c r="G17" s="138">
        <v>2375.83</v>
      </c>
      <c r="H17" s="138">
        <v>1567.0</v>
      </c>
      <c r="I17" s="138">
        <v>16795.01</v>
      </c>
      <c r="J17" s="138">
        <v>4937.88</v>
      </c>
      <c r="K17" s="138">
        <v>784.11</v>
      </c>
      <c r="L17" s="138">
        <v>3713.15</v>
      </c>
      <c r="M17" s="138">
        <v>2432.6</v>
      </c>
      <c r="N17" s="138"/>
      <c r="O17" s="138"/>
      <c r="P17" s="138"/>
      <c r="Q17" s="138">
        <v>3856.49</v>
      </c>
      <c r="R17" s="138">
        <v>4009.54</v>
      </c>
      <c r="S17" s="138">
        <v>1647.79</v>
      </c>
      <c r="T17" s="138"/>
      <c r="U17" s="138">
        <v>1399.12</v>
      </c>
      <c r="V17" s="138">
        <v>24.62</v>
      </c>
      <c r="W17" s="138">
        <v>1650.36</v>
      </c>
      <c r="X17" s="138"/>
      <c r="Y17" s="138">
        <v>3174.19</v>
      </c>
      <c r="Z17" s="138">
        <v>1577.5</v>
      </c>
      <c r="AA17" s="138">
        <v>783.42</v>
      </c>
      <c r="AB17" s="138">
        <v>4272.93</v>
      </c>
      <c r="AC17" s="138"/>
      <c r="AD17" s="138">
        <v>9772.85</v>
      </c>
      <c r="AE17" s="138">
        <v>1451.59</v>
      </c>
      <c r="AF17" s="138"/>
      <c r="AG17" s="138">
        <v>2393.87</v>
      </c>
      <c r="AH17" s="138"/>
      <c r="AI17" s="138">
        <v>1446.31</v>
      </c>
      <c r="AJ17" s="138"/>
      <c r="AK17" s="138">
        <v>786.83</v>
      </c>
      <c r="AL17" s="138">
        <v>7690.56</v>
      </c>
      <c r="AM17" s="138">
        <v>977.58</v>
      </c>
      <c r="AN17" s="138"/>
      <c r="AO17" s="138">
        <v>15922.26</v>
      </c>
      <c r="AP17" s="147">
        <v>123755.86</v>
      </c>
      <c r="AQ17" s="153">
        <v>0.05</v>
      </c>
      <c r="AR17" s="138"/>
      <c r="AS17" s="139"/>
      <c r="AT17" s="139"/>
      <c r="AU17" s="139"/>
      <c r="AW17" s="139"/>
      <c r="AX17" s="139"/>
      <c r="AZ17" s="139"/>
      <c r="BA17" s="139"/>
      <c r="BC17" s="139"/>
      <c r="BF17" s="139"/>
      <c r="BJ17" s="139"/>
      <c r="BK17" s="139"/>
    </row>
    <row r="18" ht="15.75" customHeight="1">
      <c r="A18" s="116" t="s">
        <v>34</v>
      </c>
      <c r="B18" s="138">
        <v>7140.46</v>
      </c>
      <c r="C18" s="138">
        <v>941.97</v>
      </c>
      <c r="D18" s="138">
        <v>1388.1</v>
      </c>
      <c r="E18" s="138">
        <v>2335.46</v>
      </c>
      <c r="F18" s="138">
        <v>5389.25</v>
      </c>
      <c r="G18" s="138">
        <v>1408.83</v>
      </c>
      <c r="H18" s="138">
        <v>929.0</v>
      </c>
      <c r="I18" s="138">
        <v>9943.39</v>
      </c>
      <c r="J18" s="138">
        <v>2928.08</v>
      </c>
      <c r="K18" s="138">
        <v>464.97</v>
      </c>
      <c r="L18" s="138">
        <v>2600.05</v>
      </c>
      <c r="M18" s="138">
        <v>1438.58</v>
      </c>
      <c r="N18" s="138"/>
      <c r="O18" s="138"/>
      <c r="P18" s="138"/>
      <c r="Q18" s="138">
        <v>2282.72</v>
      </c>
      <c r="R18" s="138">
        <v>2377.58</v>
      </c>
      <c r="S18" s="138">
        <v>977.11</v>
      </c>
      <c r="T18" s="138"/>
      <c r="U18" s="138">
        <v>1163.64</v>
      </c>
      <c r="V18" s="138">
        <v>14.6</v>
      </c>
      <c r="W18" s="138">
        <v>974.74</v>
      </c>
      <c r="X18" s="138"/>
      <c r="Y18" s="138">
        <v>1882.23</v>
      </c>
      <c r="Z18" s="138">
        <v>935.42</v>
      </c>
      <c r="AA18" s="138">
        <v>464.55</v>
      </c>
      <c r="AB18" s="138">
        <v>2195.89</v>
      </c>
      <c r="AC18" s="138"/>
      <c r="AD18" s="138">
        <v>5795.1</v>
      </c>
      <c r="AE18" s="138">
        <v>860.77</v>
      </c>
      <c r="AF18" s="138"/>
      <c r="AG18" s="138">
        <v>1419.52</v>
      </c>
      <c r="AH18" s="138"/>
      <c r="AI18" s="138">
        <v>857.63</v>
      </c>
      <c r="AJ18" s="138"/>
      <c r="AK18" s="138">
        <v>466.57</v>
      </c>
      <c r="AL18" s="138">
        <v>4560.35</v>
      </c>
      <c r="AM18" s="138">
        <v>579.69</v>
      </c>
      <c r="AN18" s="138"/>
      <c r="AO18" s="138">
        <v>8957.57</v>
      </c>
      <c r="AP18" s="147">
        <v>73673.8</v>
      </c>
      <c r="AQ18" s="153">
        <v>0.03</v>
      </c>
      <c r="AR18" s="138"/>
      <c r="AS18" s="139"/>
      <c r="AT18" s="139"/>
      <c r="AU18" s="139"/>
      <c r="AW18" s="139"/>
      <c r="AX18" s="139"/>
      <c r="AZ18" s="139"/>
      <c r="BA18" s="139"/>
      <c r="BC18" s="139"/>
      <c r="BF18" s="139"/>
      <c r="BJ18" s="139"/>
      <c r="BK18" s="139"/>
    </row>
    <row r="19" ht="15.75" customHeight="1">
      <c r="A19" s="149" t="s">
        <v>35</v>
      </c>
      <c r="B19" s="138">
        <v>5258.99</v>
      </c>
      <c r="C19" s="116">
        <v>510.66</v>
      </c>
      <c r="D19" s="138">
        <v>1143.43</v>
      </c>
      <c r="E19" s="138">
        <v>1923.98</v>
      </c>
      <c r="F19" s="138">
        <v>4042.42</v>
      </c>
      <c r="G19" s="138">
        <v>1148.09</v>
      </c>
      <c r="H19" s="138">
        <v>766.0</v>
      </c>
      <c r="I19" s="138">
        <v>7840.49</v>
      </c>
      <c r="J19" s="138">
        <v>2692.57</v>
      </c>
      <c r="K19" s="138">
        <v>370.88</v>
      </c>
      <c r="L19" s="138">
        <v>1838.0</v>
      </c>
      <c r="M19" s="138">
        <v>1167.32</v>
      </c>
      <c r="N19" s="138"/>
      <c r="O19" s="138"/>
      <c r="P19" s="138"/>
      <c r="Q19" s="138">
        <v>1815.39</v>
      </c>
      <c r="R19" s="138">
        <v>1808.14</v>
      </c>
      <c r="S19" s="138">
        <v>948.98</v>
      </c>
      <c r="T19" s="138"/>
      <c r="U19" s="138">
        <v>675.67</v>
      </c>
      <c r="V19" s="138">
        <v>390.43</v>
      </c>
      <c r="W19" s="138">
        <v>872.25</v>
      </c>
      <c r="X19" s="138"/>
      <c r="Y19" s="138">
        <v>1428.16</v>
      </c>
      <c r="Z19" s="138">
        <v>770.33</v>
      </c>
      <c r="AA19" s="138">
        <v>370.88</v>
      </c>
      <c r="AB19" s="138">
        <v>1654.25</v>
      </c>
      <c r="AC19" s="138"/>
      <c r="AD19" s="138">
        <v>4625.59</v>
      </c>
      <c r="AE19" s="138">
        <v>1316.4</v>
      </c>
      <c r="AF19" s="138"/>
      <c r="AG19" s="138">
        <v>1217.44</v>
      </c>
      <c r="AH19" s="138"/>
      <c r="AI19" s="138">
        <v>645.18</v>
      </c>
      <c r="AJ19" s="138"/>
      <c r="AK19" s="138">
        <v>370.88</v>
      </c>
      <c r="AL19" s="138">
        <v>3497.15</v>
      </c>
      <c r="AM19" s="138">
        <v>370.88</v>
      </c>
      <c r="AN19" s="138"/>
      <c r="AO19" s="138">
        <v>8483.05</v>
      </c>
      <c r="AP19" s="147">
        <v>59963.99</v>
      </c>
      <c r="AQ19" s="153">
        <v>0.02</v>
      </c>
      <c r="AR19" s="138"/>
      <c r="AS19" s="139"/>
      <c r="AT19" s="139"/>
      <c r="AU19" s="139"/>
      <c r="AW19" s="139"/>
      <c r="AZ19" s="139"/>
      <c r="BC19" s="139"/>
      <c r="BF19" s="139"/>
      <c r="BJ19" s="139"/>
      <c r="BK19" s="139"/>
    </row>
    <row r="20" ht="15.75" customHeight="1">
      <c r="A20" s="116" t="s">
        <v>36</v>
      </c>
      <c r="B20" s="116" t="s">
        <v>39</v>
      </c>
      <c r="C20" s="116" t="s">
        <v>39</v>
      </c>
      <c r="D20" s="116" t="s">
        <v>39</v>
      </c>
      <c r="E20" s="116" t="s">
        <v>39</v>
      </c>
      <c r="F20" s="116" t="s">
        <v>39</v>
      </c>
      <c r="G20" s="116" t="s">
        <v>39</v>
      </c>
      <c r="H20" s="116" t="s">
        <v>39</v>
      </c>
      <c r="I20" s="116" t="s">
        <v>39</v>
      </c>
      <c r="J20" s="116" t="s">
        <v>39</v>
      </c>
      <c r="K20" s="116" t="s">
        <v>39</v>
      </c>
      <c r="L20" s="116" t="s">
        <v>39</v>
      </c>
      <c r="M20" s="116" t="s">
        <v>39</v>
      </c>
      <c r="N20" s="116"/>
      <c r="O20" s="116"/>
      <c r="P20" s="116"/>
      <c r="Q20" s="116" t="s">
        <v>39</v>
      </c>
      <c r="R20" s="116" t="s">
        <v>39</v>
      </c>
      <c r="S20" s="116" t="s">
        <v>39</v>
      </c>
      <c r="T20" s="116"/>
      <c r="U20" s="116" t="s">
        <v>39</v>
      </c>
      <c r="V20" s="116" t="s">
        <v>39</v>
      </c>
      <c r="W20" s="116" t="s">
        <v>39</v>
      </c>
      <c r="X20" s="116"/>
      <c r="Y20" s="116" t="s">
        <v>39</v>
      </c>
      <c r="Z20" s="116" t="s">
        <v>39</v>
      </c>
      <c r="AA20" s="116" t="s">
        <v>39</v>
      </c>
      <c r="AB20" s="116" t="s">
        <v>39</v>
      </c>
      <c r="AC20" s="116"/>
      <c r="AD20" s="116" t="s">
        <v>39</v>
      </c>
      <c r="AE20" s="116" t="s">
        <v>39</v>
      </c>
      <c r="AF20" s="116"/>
      <c r="AG20" s="116" t="s">
        <v>39</v>
      </c>
      <c r="AH20" s="116"/>
      <c r="AI20" s="116" t="s">
        <v>39</v>
      </c>
      <c r="AJ20" s="116"/>
      <c r="AK20" s="116" t="s">
        <v>39</v>
      </c>
      <c r="AL20" s="116" t="s">
        <v>39</v>
      </c>
      <c r="AM20" s="116" t="s">
        <v>39</v>
      </c>
      <c r="AN20" s="116"/>
      <c r="AO20" s="138">
        <v>2523.79</v>
      </c>
      <c r="AP20" s="147">
        <v>2523.79</v>
      </c>
      <c r="AQ20" s="153">
        <v>0.0</v>
      </c>
      <c r="AR20" s="116"/>
    </row>
    <row r="21" ht="15.75" customHeight="1">
      <c r="A21" s="116" t="s">
        <v>37</v>
      </c>
      <c r="B21" s="116" t="s">
        <v>39</v>
      </c>
      <c r="C21" s="116" t="s">
        <v>39</v>
      </c>
      <c r="D21" s="116" t="s">
        <v>39</v>
      </c>
      <c r="E21" s="116" t="s">
        <v>39</v>
      </c>
      <c r="F21" s="116" t="s">
        <v>39</v>
      </c>
      <c r="G21" s="116" t="s">
        <v>39</v>
      </c>
      <c r="H21" s="116" t="s">
        <v>39</v>
      </c>
      <c r="I21" s="116" t="s">
        <v>39</v>
      </c>
      <c r="J21" s="116" t="s">
        <v>39</v>
      </c>
      <c r="K21" s="116" t="s">
        <v>39</v>
      </c>
      <c r="L21" s="116" t="s">
        <v>39</v>
      </c>
      <c r="M21" s="116" t="s">
        <v>39</v>
      </c>
      <c r="N21" s="116"/>
      <c r="O21" s="116"/>
      <c r="P21" s="116"/>
      <c r="Q21" s="116" t="s">
        <v>39</v>
      </c>
      <c r="R21" s="116" t="s">
        <v>39</v>
      </c>
      <c r="S21" s="116" t="s">
        <v>39</v>
      </c>
      <c r="T21" s="116"/>
      <c r="U21" s="116" t="s">
        <v>39</v>
      </c>
      <c r="V21" s="116" t="s">
        <v>39</v>
      </c>
      <c r="W21" s="116" t="s">
        <v>39</v>
      </c>
      <c r="X21" s="116"/>
      <c r="Y21" s="116" t="s">
        <v>39</v>
      </c>
      <c r="Z21" s="116" t="s">
        <v>39</v>
      </c>
      <c r="AA21" s="116" t="s">
        <v>39</v>
      </c>
      <c r="AB21" s="116" t="s">
        <v>39</v>
      </c>
      <c r="AC21" s="116"/>
      <c r="AD21" s="116" t="s">
        <v>39</v>
      </c>
      <c r="AE21" s="116" t="s">
        <v>39</v>
      </c>
      <c r="AF21" s="116"/>
      <c r="AG21" s="116" t="s">
        <v>39</v>
      </c>
      <c r="AH21" s="116"/>
      <c r="AI21" s="116" t="s">
        <v>39</v>
      </c>
      <c r="AJ21" s="116"/>
      <c r="AK21" s="116" t="s">
        <v>39</v>
      </c>
      <c r="AL21" s="116" t="s">
        <v>39</v>
      </c>
      <c r="AM21" s="116" t="s">
        <v>39</v>
      </c>
      <c r="AN21" s="116"/>
      <c r="AO21" s="116">
        <v>638.8</v>
      </c>
      <c r="AP21" s="117">
        <v>638.8</v>
      </c>
      <c r="AQ21" s="153">
        <v>0.0</v>
      </c>
      <c r="AR21" s="116"/>
    </row>
    <row r="22" ht="15.75" customHeight="1">
      <c r="A22" s="116" t="s">
        <v>38</v>
      </c>
      <c r="B22" s="116" t="s">
        <v>39</v>
      </c>
      <c r="C22" s="116" t="s">
        <v>39</v>
      </c>
      <c r="D22" s="116" t="s">
        <v>39</v>
      </c>
      <c r="E22" s="116" t="s">
        <v>39</v>
      </c>
      <c r="F22" s="116" t="s">
        <v>39</v>
      </c>
      <c r="G22" s="116" t="s">
        <v>39</v>
      </c>
      <c r="H22" s="116" t="s">
        <v>39</v>
      </c>
      <c r="I22" s="116" t="s">
        <v>39</v>
      </c>
      <c r="J22" s="116" t="s">
        <v>39</v>
      </c>
      <c r="K22" s="116" t="s">
        <v>39</v>
      </c>
      <c r="L22" s="116" t="s">
        <v>39</v>
      </c>
      <c r="M22" s="116" t="s">
        <v>39</v>
      </c>
      <c r="N22" s="116"/>
      <c r="O22" s="116"/>
      <c r="P22" s="116"/>
      <c r="Q22" s="116" t="s">
        <v>39</v>
      </c>
      <c r="R22" s="116" t="s">
        <v>39</v>
      </c>
      <c r="S22" s="116" t="s">
        <v>39</v>
      </c>
      <c r="T22" s="116"/>
      <c r="U22" s="116" t="s">
        <v>39</v>
      </c>
      <c r="V22" s="116" t="s">
        <v>39</v>
      </c>
      <c r="W22" s="116" t="s">
        <v>39</v>
      </c>
      <c r="X22" s="116"/>
      <c r="Y22" s="116" t="s">
        <v>39</v>
      </c>
      <c r="Z22" s="116" t="s">
        <v>39</v>
      </c>
      <c r="AA22" s="116" t="s">
        <v>39</v>
      </c>
      <c r="AB22" s="116" t="s">
        <v>39</v>
      </c>
      <c r="AC22" s="116"/>
      <c r="AD22" s="116" t="s">
        <v>39</v>
      </c>
      <c r="AE22" s="116" t="s">
        <v>39</v>
      </c>
      <c r="AF22" s="116"/>
      <c r="AG22" s="116" t="s">
        <v>39</v>
      </c>
      <c r="AH22" s="116"/>
      <c r="AI22" s="116" t="s">
        <v>39</v>
      </c>
      <c r="AJ22" s="116"/>
      <c r="AK22" s="116" t="s">
        <v>39</v>
      </c>
      <c r="AL22" s="116" t="s">
        <v>39</v>
      </c>
      <c r="AM22" s="116" t="s">
        <v>39</v>
      </c>
      <c r="AN22" s="116"/>
      <c r="AO22" s="116" t="s">
        <v>39</v>
      </c>
      <c r="AP22" s="117" t="s">
        <v>39</v>
      </c>
      <c r="AQ22" s="153">
        <v>0.0</v>
      </c>
      <c r="AR22" s="116"/>
      <c r="AT22" s="129"/>
    </row>
    <row r="23" ht="15.75" customHeight="1">
      <c r="A23" s="116" t="s">
        <v>40</v>
      </c>
      <c r="B23" s="116" t="s">
        <v>39</v>
      </c>
      <c r="C23" s="116" t="s">
        <v>39</v>
      </c>
      <c r="D23" s="116" t="s">
        <v>39</v>
      </c>
      <c r="E23" s="116" t="s">
        <v>39</v>
      </c>
      <c r="F23" s="116" t="s">
        <v>39</v>
      </c>
      <c r="G23" s="116" t="s">
        <v>39</v>
      </c>
      <c r="H23" s="116" t="s">
        <v>39</v>
      </c>
      <c r="I23" s="116" t="s">
        <v>39</v>
      </c>
      <c r="J23" s="116" t="s">
        <v>39</v>
      </c>
      <c r="K23" s="116" t="s">
        <v>39</v>
      </c>
      <c r="L23" s="116" t="s">
        <v>39</v>
      </c>
      <c r="M23" s="116" t="s">
        <v>39</v>
      </c>
      <c r="N23" s="116"/>
      <c r="O23" s="116"/>
      <c r="P23" s="116"/>
      <c r="Q23" s="116" t="s">
        <v>39</v>
      </c>
      <c r="R23" s="116" t="s">
        <v>39</v>
      </c>
      <c r="S23" s="116" t="s">
        <v>39</v>
      </c>
      <c r="T23" s="116"/>
      <c r="U23" s="116" t="s">
        <v>39</v>
      </c>
      <c r="V23" s="116" t="s">
        <v>39</v>
      </c>
      <c r="W23" s="116" t="s">
        <v>39</v>
      </c>
      <c r="X23" s="116"/>
      <c r="Y23" s="116" t="s">
        <v>39</v>
      </c>
      <c r="Z23" s="116" t="s">
        <v>39</v>
      </c>
      <c r="AA23" s="116" t="s">
        <v>39</v>
      </c>
      <c r="AB23" s="116" t="s">
        <v>39</v>
      </c>
      <c r="AC23" s="116"/>
      <c r="AD23" s="116" t="s">
        <v>39</v>
      </c>
      <c r="AE23" s="116" t="s">
        <v>39</v>
      </c>
      <c r="AF23" s="116"/>
      <c r="AG23" s="116" t="s">
        <v>39</v>
      </c>
      <c r="AH23" s="116"/>
      <c r="AI23" s="116" t="s">
        <v>39</v>
      </c>
      <c r="AJ23" s="116"/>
      <c r="AK23" s="116" t="s">
        <v>39</v>
      </c>
      <c r="AL23" s="116" t="s">
        <v>39</v>
      </c>
      <c r="AM23" s="116" t="s">
        <v>39</v>
      </c>
      <c r="AN23" s="116"/>
      <c r="AO23" s="116" t="s">
        <v>39</v>
      </c>
      <c r="AP23" s="117" t="s">
        <v>39</v>
      </c>
      <c r="AQ23" s="153">
        <v>0.0</v>
      </c>
      <c r="AR23" s="116"/>
    </row>
    <row r="24" ht="15.75" customHeight="1">
      <c r="A24" s="116" t="s">
        <v>41</v>
      </c>
      <c r="B24" s="116">
        <v>283.62</v>
      </c>
      <c r="C24" s="116">
        <v>283.62</v>
      </c>
      <c r="D24" s="116">
        <v>283.62</v>
      </c>
      <c r="E24" s="116">
        <v>283.62</v>
      </c>
      <c r="F24" s="116">
        <v>283.62</v>
      </c>
      <c r="G24" s="116">
        <v>283.62</v>
      </c>
      <c r="H24" s="116" t="s">
        <v>39</v>
      </c>
      <c r="I24" s="116">
        <v>283.62</v>
      </c>
      <c r="J24" s="116">
        <v>283.62</v>
      </c>
      <c r="K24" s="116" t="s">
        <v>39</v>
      </c>
      <c r="L24" s="116">
        <v>283.62</v>
      </c>
      <c r="M24" s="116">
        <v>283.62</v>
      </c>
      <c r="N24" s="116"/>
      <c r="O24" s="116"/>
      <c r="P24" s="116"/>
      <c r="Q24" s="116">
        <v>567.24</v>
      </c>
      <c r="R24" s="116">
        <v>283.62</v>
      </c>
      <c r="S24" s="116">
        <v>283.62</v>
      </c>
      <c r="T24" s="116"/>
      <c r="U24" s="116">
        <v>283.62</v>
      </c>
      <c r="V24" s="116">
        <v>283.62</v>
      </c>
      <c r="W24" s="116">
        <v>283.62</v>
      </c>
      <c r="X24" s="116"/>
      <c r="Y24" s="116">
        <v>283.62</v>
      </c>
      <c r="Z24" s="116">
        <v>283.62</v>
      </c>
      <c r="AA24" s="116">
        <v>283.62</v>
      </c>
      <c r="AB24" s="116">
        <v>567.24</v>
      </c>
      <c r="AC24" s="116"/>
      <c r="AD24" s="116">
        <v>283.62</v>
      </c>
      <c r="AE24" s="116">
        <v>283.62</v>
      </c>
      <c r="AF24" s="116"/>
      <c r="AG24" s="116">
        <v>283.62</v>
      </c>
      <c r="AH24" s="116"/>
      <c r="AI24" s="116">
        <v>283.62</v>
      </c>
      <c r="AJ24" s="116"/>
      <c r="AK24" s="116">
        <v>283.62</v>
      </c>
      <c r="AL24" s="116">
        <v>567.24</v>
      </c>
      <c r="AM24" s="116">
        <v>283.62</v>
      </c>
      <c r="AN24" s="116"/>
      <c r="AO24" s="138">
        <v>3747.44</v>
      </c>
      <c r="AP24" s="147">
        <v>12256.04</v>
      </c>
      <c r="AQ24" s="153">
        <v>0.0</v>
      </c>
      <c r="AR24" s="116"/>
    </row>
    <row r="25" ht="15.75" customHeight="1">
      <c r="A25" s="116" t="s">
        <v>42</v>
      </c>
      <c r="B25" s="116">
        <v>222.33</v>
      </c>
      <c r="C25" s="116">
        <v>81.29</v>
      </c>
      <c r="D25" s="116">
        <v>333.04</v>
      </c>
      <c r="E25" s="116">
        <v>35.34</v>
      </c>
      <c r="F25" s="116">
        <v>318.93</v>
      </c>
      <c r="G25" s="116">
        <v>114.13</v>
      </c>
      <c r="H25" s="116">
        <v>62.0</v>
      </c>
      <c r="I25" s="116">
        <v>294.08</v>
      </c>
      <c r="J25" s="116">
        <v>164.59</v>
      </c>
      <c r="K25" s="116" t="s">
        <v>39</v>
      </c>
      <c r="L25" s="116">
        <v>111.54</v>
      </c>
      <c r="M25" s="116">
        <v>335.2</v>
      </c>
      <c r="N25" s="116"/>
      <c r="O25" s="116"/>
      <c r="P25" s="116"/>
      <c r="Q25" s="116">
        <v>300.4</v>
      </c>
      <c r="R25" s="116">
        <v>181.33</v>
      </c>
      <c r="S25" s="116">
        <v>22.0</v>
      </c>
      <c r="T25" s="116"/>
      <c r="U25" s="116">
        <v>70.09</v>
      </c>
      <c r="V25" s="116">
        <v>43.28</v>
      </c>
      <c r="W25" s="116">
        <v>48.41</v>
      </c>
      <c r="X25" s="116"/>
      <c r="Y25" s="116">
        <v>566.79</v>
      </c>
      <c r="Z25" s="116">
        <v>8.8</v>
      </c>
      <c r="AA25" s="116" t="s">
        <v>39</v>
      </c>
      <c r="AB25" s="116">
        <v>85.69</v>
      </c>
      <c r="AC25" s="116"/>
      <c r="AD25" s="116">
        <v>627.11</v>
      </c>
      <c r="AE25" s="116">
        <v>271.49</v>
      </c>
      <c r="AF25" s="116"/>
      <c r="AG25" s="116">
        <v>85.38</v>
      </c>
      <c r="AH25" s="116"/>
      <c r="AI25" s="116" t="s">
        <v>39</v>
      </c>
      <c r="AJ25" s="116"/>
      <c r="AK25" s="116">
        <v>100.1</v>
      </c>
      <c r="AL25" s="116">
        <v>220.25</v>
      </c>
      <c r="AM25" s="116" t="s">
        <v>39</v>
      </c>
      <c r="AN25" s="116"/>
      <c r="AO25" s="138">
        <v>4402.73</v>
      </c>
      <c r="AP25" s="147">
        <v>9106.48</v>
      </c>
      <c r="AQ25" s="153">
        <v>0.0</v>
      </c>
      <c r="AR25" s="116"/>
    </row>
    <row r="26" ht="15.75" customHeight="1">
      <c r="A26" s="116" t="s">
        <v>43</v>
      </c>
      <c r="B26" s="116" t="s">
        <v>39</v>
      </c>
      <c r="C26" s="116" t="s">
        <v>39</v>
      </c>
      <c r="D26" s="116" t="s">
        <v>39</v>
      </c>
      <c r="E26" s="116" t="s">
        <v>39</v>
      </c>
      <c r="F26" s="116" t="s">
        <v>39</v>
      </c>
      <c r="G26" s="116" t="s">
        <v>39</v>
      </c>
      <c r="H26" s="116" t="s">
        <v>39</v>
      </c>
      <c r="I26" s="116" t="s">
        <v>39</v>
      </c>
      <c r="J26" s="116" t="s">
        <v>39</v>
      </c>
      <c r="K26" s="116" t="s">
        <v>39</v>
      </c>
      <c r="L26" s="116" t="s">
        <v>39</v>
      </c>
      <c r="M26" s="116" t="s">
        <v>39</v>
      </c>
      <c r="N26" s="116"/>
      <c r="O26" s="116"/>
      <c r="P26" s="116"/>
      <c r="Q26" s="116" t="s">
        <v>39</v>
      </c>
      <c r="R26" s="116" t="s">
        <v>39</v>
      </c>
      <c r="S26" s="116" t="s">
        <v>39</v>
      </c>
      <c r="T26" s="116"/>
      <c r="U26" s="116" t="s">
        <v>39</v>
      </c>
      <c r="V26" s="116" t="s">
        <v>39</v>
      </c>
      <c r="W26" s="116" t="s">
        <v>39</v>
      </c>
      <c r="X26" s="116"/>
      <c r="Y26" s="116" t="s">
        <v>39</v>
      </c>
      <c r="Z26" s="116" t="s">
        <v>39</v>
      </c>
      <c r="AA26" s="116" t="s">
        <v>39</v>
      </c>
      <c r="AB26" s="116" t="s">
        <v>39</v>
      </c>
      <c r="AC26" s="116"/>
      <c r="AD26" s="116" t="s">
        <v>39</v>
      </c>
      <c r="AE26" s="116" t="s">
        <v>39</v>
      </c>
      <c r="AF26" s="116"/>
      <c r="AG26" s="116" t="s">
        <v>39</v>
      </c>
      <c r="AH26" s="116"/>
      <c r="AI26" s="116" t="s">
        <v>39</v>
      </c>
      <c r="AJ26" s="116"/>
      <c r="AK26" s="116" t="s">
        <v>39</v>
      </c>
      <c r="AL26" s="116" t="s">
        <v>39</v>
      </c>
      <c r="AM26" s="116" t="s">
        <v>39</v>
      </c>
      <c r="AN26" s="116"/>
      <c r="AO26" s="138">
        <v>44837.96</v>
      </c>
      <c r="AP26" s="147">
        <v>44837.96</v>
      </c>
      <c r="AQ26" s="153">
        <v>0.02</v>
      </c>
      <c r="AR26" s="116"/>
    </row>
    <row r="27" ht="15.75" customHeight="1">
      <c r="A27" s="116" t="s">
        <v>44</v>
      </c>
      <c r="B27" s="116" t="s">
        <v>39</v>
      </c>
      <c r="C27" s="116" t="s">
        <v>39</v>
      </c>
      <c r="D27" s="116" t="s">
        <v>39</v>
      </c>
      <c r="E27" s="116" t="s">
        <v>39</v>
      </c>
      <c r="F27" s="116" t="s">
        <v>39</v>
      </c>
      <c r="G27" s="116" t="s">
        <v>39</v>
      </c>
      <c r="H27" s="116" t="s">
        <v>39</v>
      </c>
      <c r="I27" s="116" t="s">
        <v>39</v>
      </c>
      <c r="J27" s="116" t="s">
        <v>39</v>
      </c>
      <c r="K27" s="116" t="s">
        <v>39</v>
      </c>
      <c r="L27" s="116" t="s">
        <v>39</v>
      </c>
      <c r="M27" s="116" t="s">
        <v>39</v>
      </c>
      <c r="N27" s="116"/>
      <c r="O27" s="116"/>
      <c r="P27" s="116"/>
      <c r="Q27" s="116" t="s">
        <v>39</v>
      </c>
      <c r="R27" s="116" t="s">
        <v>39</v>
      </c>
      <c r="S27" s="116" t="s">
        <v>39</v>
      </c>
      <c r="T27" s="116"/>
      <c r="U27" s="116" t="s">
        <v>39</v>
      </c>
      <c r="V27" s="116" t="s">
        <v>39</v>
      </c>
      <c r="W27" s="116" t="s">
        <v>39</v>
      </c>
      <c r="X27" s="116"/>
      <c r="Y27" s="116" t="s">
        <v>39</v>
      </c>
      <c r="Z27" s="116" t="s">
        <v>39</v>
      </c>
      <c r="AA27" s="116" t="s">
        <v>39</v>
      </c>
      <c r="AB27" s="116" t="s">
        <v>39</v>
      </c>
      <c r="AC27" s="116"/>
      <c r="AD27" s="116" t="s">
        <v>39</v>
      </c>
      <c r="AE27" s="116" t="s">
        <v>39</v>
      </c>
      <c r="AF27" s="116"/>
      <c r="AG27" s="116" t="s">
        <v>39</v>
      </c>
      <c r="AH27" s="116"/>
      <c r="AI27" s="116" t="s">
        <v>39</v>
      </c>
      <c r="AJ27" s="116"/>
      <c r="AK27" s="116" t="s">
        <v>39</v>
      </c>
      <c r="AL27" s="116" t="s">
        <v>39</v>
      </c>
      <c r="AM27" s="116" t="s">
        <v>39</v>
      </c>
      <c r="AN27" s="116"/>
      <c r="AO27" s="116" t="s">
        <v>39</v>
      </c>
      <c r="AP27" s="117" t="s">
        <v>39</v>
      </c>
      <c r="AQ27" s="153">
        <v>0.0</v>
      </c>
      <c r="AR27" s="116"/>
      <c r="AV27" s="129"/>
      <c r="BC27" s="129"/>
    </row>
    <row r="28" ht="15.75" customHeight="1">
      <c r="A28" s="116" t="s">
        <v>45</v>
      </c>
      <c r="B28" s="116" t="s">
        <v>39</v>
      </c>
      <c r="C28" s="116" t="s">
        <v>39</v>
      </c>
      <c r="D28" s="116" t="s">
        <v>39</v>
      </c>
      <c r="E28" s="116" t="s">
        <v>39</v>
      </c>
      <c r="F28" s="116" t="s">
        <v>39</v>
      </c>
      <c r="G28" s="116" t="s">
        <v>39</v>
      </c>
      <c r="H28" s="116" t="s">
        <v>39</v>
      </c>
      <c r="I28" s="116" t="s">
        <v>39</v>
      </c>
      <c r="J28" s="116" t="s">
        <v>39</v>
      </c>
      <c r="K28" s="116" t="s">
        <v>39</v>
      </c>
      <c r="L28" s="116" t="s">
        <v>39</v>
      </c>
      <c r="M28" s="116" t="s">
        <v>39</v>
      </c>
      <c r="N28" s="116"/>
      <c r="O28" s="116"/>
      <c r="P28" s="116"/>
      <c r="Q28" s="116" t="s">
        <v>39</v>
      </c>
      <c r="R28" s="116" t="s">
        <v>39</v>
      </c>
      <c r="S28" s="116" t="s">
        <v>39</v>
      </c>
      <c r="T28" s="116"/>
      <c r="U28" s="116" t="s">
        <v>39</v>
      </c>
      <c r="V28" s="116" t="s">
        <v>39</v>
      </c>
      <c r="W28" s="116" t="s">
        <v>39</v>
      </c>
      <c r="X28" s="116"/>
      <c r="Y28" s="116" t="s">
        <v>39</v>
      </c>
      <c r="Z28" s="116" t="s">
        <v>39</v>
      </c>
      <c r="AA28" s="116" t="s">
        <v>39</v>
      </c>
      <c r="AB28" s="116" t="s">
        <v>39</v>
      </c>
      <c r="AC28" s="116"/>
      <c r="AD28" s="116" t="s">
        <v>39</v>
      </c>
      <c r="AE28" s="116" t="s">
        <v>39</v>
      </c>
      <c r="AF28" s="116"/>
      <c r="AG28" s="116" t="s">
        <v>39</v>
      </c>
      <c r="AH28" s="116"/>
      <c r="AI28" s="116" t="s">
        <v>39</v>
      </c>
      <c r="AJ28" s="116"/>
      <c r="AK28" s="116" t="s">
        <v>39</v>
      </c>
      <c r="AL28" s="116" t="s">
        <v>39</v>
      </c>
      <c r="AM28" s="116" t="s">
        <v>39</v>
      </c>
      <c r="AN28" s="116"/>
      <c r="AO28" s="138">
        <v>2100.0</v>
      </c>
      <c r="AP28" s="147">
        <v>2100.0</v>
      </c>
      <c r="AQ28" s="153">
        <v>0.0</v>
      </c>
      <c r="AR28" s="116"/>
    </row>
    <row r="29" ht="15.75" customHeight="1">
      <c r="A29" s="116" t="s">
        <v>46</v>
      </c>
      <c r="B29" s="128" t="s">
        <v>39</v>
      </c>
      <c r="C29" s="128" t="s">
        <v>39</v>
      </c>
      <c r="D29" s="128" t="s">
        <v>39</v>
      </c>
      <c r="E29" s="128" t="s">
        <v>39</v>
      </c>
      <c r="F29" s="128" t="s">
        <v>39</v>
      </c>
      <c r="G29" s="128" t="s">
        <v>39</v>
      </c>
      <c r="H29" s="128" t="s">
        <v>39</v>
      </c>
      <c r="I29" s="128" t="s">
        <v>39</v>
      </c>
      <c r="J29" s="128" t="s">
        <v>39</v>
      </c>
      <c r="K29" s="128" t="s">
        <v>39</v>
      </c>
      <c r="L29" s="128" t="s">
        <v>39</v>
      </c>
      <c r="M29" s="128" t="s">
        <v>39</v>
      </c>
      <c r="N29" s="128"/>
      <c r="O29" s="128"/>
      <c r="P29" s="128"/>
      <c r="Q29" s="128" t="s">
        <v>39</v>
      </c>
      <c r="R29" s="128" t="s">
        <v>39</v>
      </c>
      <c r="S29" s="128" t="s">
        <v>39</v>
      </c>
      <c r="T29" s="128"/>
      <c r="U29" s="128" t="s">
        <v>39</v>
      </c>
      <c r="V29" s="128" t="s">
        <v>39</v>
      </c>
      <c r="W29" s="128" t="s">
        <v>39</v>
      </c>
      <c r="X29" s="128"/>
      <c r="Y29" s="128" t="s">
        <v>39</v>
      </c>
      <c r="Z29" s="128" t="s">
        <v>39</v>
      </c>
      <c r="AA29" s="128" t="s">
        <v>39</v>
      </c>
      <c r="AB29" s="128" t="s">
        <v>39</v>
      </c>
      <c r="AC29" s="128"/>
      <c r="AD29" s="128" t="s">
        <v>39</v>
      </c>
      <c r="AE29" s="128" t="s">
        <v>39</v>
      </c>
      <c r="AF29" s="128"/>
      <c r="AG29" s="128" t="s">
        <v>39</v>
      </c>
      <c r="AH29" s="128"/>
      <c r="AI29" s="128" t="s">
        <v>39</v>
      </c>
      <c r="AJ29" s="128"/>
      <c r="AK29" s="128" t="s">
        <v>39</v>
      </c>
      <c r="AL29" s="128" t="s">
        <v>39</v>
      </c>
      <c r="AM29" s="128" t="s">
        <v>39</v>
      </c>
      <c r="AN29" s="128"/>
      <c r="AO29" s="128" t="s">
        <v>39</v>
      </c>
      <c r="AP29" s="152" t="s">
        <v>39</v>
      </c>
      <c r="AQ29" s="153">
        <v>0.0</v>
      </c>
      <c r="AR29" s="128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I29" s="129"/>
      <c r="BJ29" s="129"/>
      <c r="BK29" s="129"/>
    </row>
    <row r="30" ht="15.75" customHeight="1">
      <c r="A30" s="116" t="s">
        <v>47</v>
      </c>
      <c r="B30" s="116" t="s">
        <v>39</v>
      </c>
      <c r="C30" s="116" t="s">
        <v>39</v>
      </c>
      <c r="D30" s="116" t="s">
        <v>39</v>
      </c>
      <c r="E30" s="116" t="s">
        <v>39</v>
      </c>
      <c r="F30" s="116" t="s">
        <v>39</v>
      </c>
      <c r="G30" s="116" t="s">
        <v>39</v>
      </c>
      <c r="H30" s="116" t="s">
        <v>39</v>
      </c>
      <c r="I30" s="116" t="s">
        <v>39</v>
      </c>
      <c r="J30" s="116" t="s">
        <v>39</v>
      </c>
      <c r="K30" s="116" t="s">
        <v>39</v>
      </c>
      <c r="L30" s="116" t="s">
        <v>39</v>
      </c>
      <c r="M30" s="116" t="s">
        <v>39</v>
      </c>
      <c r="N30" s="116"/>
      <c r="O30" s="116"/>
      <c r="P30" s="116"/>
      <c r="Q30" s="116" t="s">
        <v>39</v>
      </c>
      <c r="R30" s="116" t="s">
        <v>39</v>
      </c>
      <c r="S30" s="116" t="s">
        <v>39</v>
      </c>
      <c r="T30" s="116"/>
      <c r="U30" s="116" t="s">
        <v>39</v>
      </c>
      <c r="V30" s="116" t="s">
        <v>39</v>
      </c>
      <c r="W30" s="116" t="s">
        <v>39</v>
      </c>
      <c r="X30" s="116"/>
      <c r="Y30" s="116" t="s">
        <v>39</v>
      </c>
      <c r="Z30" s="116" t="s">
        <v>39</v>
      </c>
      <c r="AA30" s="116" t="s">
        <v>39</v>
      </c>
      <c r="AB30" s="116" t="s">
        <v>39</v>
      </c>
      <c r="AC30" s="116"/>
      <c r="AD30" s="116" t="s">
        <v>39</v>
      </c>
      <c r="AE30" s="116" t="s">
        <v>39</v>
      </c>
      <c r="AF30" s="116"/>
      <c r="AG30" s="116" t="s">
        <v>39</v>
      </c>
      <c r="AH30" s="116"/>
      <c r="AI30" s="116" t="s">
        <v>39</v>
      </c>
      <c r="AJ30" s="116"/>
      <c r="AK30" s="116" t="s">
        <v>39</v>
      </c>
      <c r="AL30" s="116" t="s">
        <v>39</v>
      </c>
      <c r="AM30" s="116" t="s">
        <v>39</v>
      </c>
      <c r="AN30" s="116"/>
      <c r="AO30" s="116" t="s">
        <v>39</v>
      </c>
      <c r="AP30" s="117" t="s">
        <v>39</v>
      </c>
      <c r="AQ30" s="153">
        <v>0.0</v>
      </c>
      <c r="AR30" s="116"/>
    </row>
    <row r="31" ht="15.75" customHeight="1">
      <c r="A31" s="116" t="s">
        <v>48</v>
      </c>
      <c r="B31" s="128" t="s">
        <v>39</v>
      </c>
      <c r="C31" s="128" t="s">
        <v>39</v>
      </c>
      <c r="D31" s="128" t="s">
        <v>39</v>
      </c>
      <c r="E31" s="128" t="s">
        <v>39</v>
      </c>
      <c r="F31" s="128" t="s">
        <v>39</v>
      </c>
      <c r="G31" s="128" t="s">
        <v>39</v>
      </c>
      <c r="H31" s="128" t="s">
        <v>39</v>
      </c>
      <c r="I31" s="128" t="s">
        <v>39</v>
      </c>
      <c r="J31" s="128" t="s">
        <v>39</v>
      </c>
      <c r="K31" s="128" t="s">
        <v>39</v>
      </c>
      <c r="L31" s="128" t="s">
        <v>39</v>
      </c>
      <c r="M31" s="128" t="s">
        <v>39</v>
      </c>
      <c r="N31" s="128"/>
      <c r="O31" s="128"/>
      <c r="P31" s="128"/>
      <c r="Q31" s="128" t="s">
        <v>39</v>
      </c>
      <c r="R31" s="128" t="s">
        <v>39</v>
      </c>
      <c r="S31" s="128" t="s">
        <v>39</v>
      </c>
      <c r="T31" s="128"/>
      <c r="U31" s="128" t="s">
        <v>39</v>
      </c>
      <c r="V31" s="128" t="s">
        <v>39</v>
      </c>
      <c r="W31" s="128" t="s">
        <v>39</v>
      </c>
      <c r="X31" s="128"/>
      <c r="Y31" s="128" t="s">
        <v>39</v>
      </c>
      <c r="Z31" s="128" t="s">
        <v>39</v>
      </c>
      <c r="AA31" s="128" t="s">
        <v>39</v>
      </c>
      <c r="AB31" s="128" t="s">
        <v>39</v>
      </c>
      <c r="AC31" s="128"/>
      <c r="AD31" s="128" t="s">
        <v>39</v>
      </c>
      <c r="AE31" s="128" t="s">
        <v>39</v>
      </c>
      <c r="AF31" s="128"/>
      <c r="AG31" s="128" t="s">
        <v>39</v>
      </c>
      <c r="AH31" s="128"/>
      <c r="AI31" s="128" t="s">
        <v>39</v>
      </c>
      <c r="AJ31" s="128"/>
      <c r="AK31" s="128" t="s">
        <v>39</v>
      </c>
      <c r="AL31" s="128" t="s">
        <v>39</v>
      </c>
      <c r="AM31" s="128" t="s">
        <v>39</v>
      </c>
      <c r="AN31" s="128"/>
      <c r="AO31" s="128">
        <v>18703.14</v>
      </c>
      <c r="AP31" s="152">
        <v>18703.14</v>
      </c>
      <c r="AQ31" s="153">
        <v>0.01</v>
      </c>
      <c r="AR31" s="128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I31" s="129"/>
      <c r="BJ31" s="129"/>
      <c r="BK31" s="129"/>
    </row>
    <row r="32" ht="15.75" customHeight="1">
      <c r="A32" s="116" t="s">
        <v>49</v>
      </c>
      <c r="B32" s="116" t="s">
        <v>39</v>
      </c>
      <c r="C32" s="116" t="s">
        <v>39</v>
      </c>
      <c r="D32" s="116" t="s">
        <v>39</v>
      </c>
      <c r="E32" s="116" t="s">
        <v>39</v>
      </c>
      <c r="F32" s="116" t="s">
        <v>39</v>
      </c>
      <c r="G32" s="116" t="s">
        <v>39</v>
      </c>
      <c r="H32" s="116" t="s">
        <v>39</v>
      </c>
      <c r="I32" s="116" t="s">
        <v>39</v>
      </c>
      <c r="J32" s="116" t="s">
        <v>39</v>
      </c>
      <c r="K32" s="116" t="s">
        <v>39</v>
      </c>
      <c r="L32" s="116" t="s">
        <v>39</v>
      </c>
      <c r="M32" s="116" t="s">
        <v>39</v>
      </c>
      <c r="N32" s="116"/>
      <c r="O32" s="116"/>
      <c r="P32" s="116"/>
      <c r="Q32" s="116" t="s">
        <v>39</v>
      </c>
      <c r="R32" s="116" t="s">
        <v>39</v>
      </c>
      <c r="S32" s="116" t="s">
        <v>39</v>
      </c>
      <c r="T32" s="116"/>
      <c r="U32" s="116" t="s">
        <v>39</v>
      </c>
      <c r="V32" s="116" t="s">
        <v>39</v>
      </c>
      <c r="W32" s="116" t="s">
        <v>39</v>
      </c>
      <c r="X32" s="116"/>
      <c r="Y32" s="116" t="s">
        <v>39</v>
      </c>
      <c r="Z32" s="116" t="s">
        <v>39</v>
      </c>
      <c r="AA32" s="116" t="s">
        <v>39</v>
      </c>
      <c r="AB32" s="116" t="s">
        <v>39</v>
      </c>
      <c r="AC32" s="116"/>
      <c r="AD32" s="116" t="s">
        <v>39</v>
      </c>
      <c r="AE32" s="116" t="s">
        <v>39</v>
      </c>
      <c r="AF32" s="116"/>
      <c r="AG32" s="116" t="s">
        <v>39</v>
      </c>
      <c r="AH32" s="116"/>
      <c r="AI32" s="116" t="s">
        <v>39</v>
      </c>
      <c r="AJ32" s="116"/>
      <c r="AK32" s="116" t="s">
        <v>39</v>
      </c>
      <c r="AL32" s="116" t="s">
        <v>39</v>
      </c>
      <c r="AM32" s="116" t="s">
        <v>39</v>
      </c>
      <c r="AN32" s="116"/>
      <c r="AO32" s="116" t="s">
        <v>39</v>
      </c>
      <c r="AP32" s="117" t="s">
        <v>39</v>
      </c>
      <c r="AQ32" s="153">
        <v>0.0</v>
      </c>
      <c r="AR32" s="116"/>
    </row>
    <row r="33" ht="15.75" customHeight="1">
      <c r="A33" s="116" t="s">
        <v>106</v>
      </c>
      <c r="B33" s="116" t="s">
        <v>39</v>
      </c>
      <c r="C33" s="116" t="s">
        <v>39</v>
      </c>
      <c r="D33" s="116" t="s">
        <v>39</v>
      </c>
      <c r="E33" s="116" t="s">
        <v>39</v>
      </c>
      <c r="F33" s="116" t="s">
        <v>39</v>
      </c>
      <c r="G33" s="116" t="s">
        <v>39</v>
      </c>
      <c r="H33" s="116" t="s">
        <v>39</v>
      </c>
      <c r="I33" s="116" t="s">
        <v>39</v>
      </c>
      <c r="J33" s="116" t="s">
        <v>39</v>
      </c>
      <c r="K33" s="116" t="s">
        <v>39</v>
      </c>
      <c r="L33" s="116" t="s">
        <v>39</v>
      </c>
      <c r="M33" s="116" t="s">
        <v>39</v>
      </c>
      <c r="N33" s="116"/>
      <c r="O33" s="116"/>
      <c r="P33" s="116"/>
      <c r="Q33" s="116" t="s">
        <v>39</v>
      </c>
      <c r="R33" s="116" t="s">
        <v>39</v>
      </c>
      <c r="S33" s="116" t="s">
        <v>39</v>
      </c>
      <c r="T33" s="116"/>
      <c r="U33" s="116" t="s">
        <v>39</v>
      </c>
      <c r="V33" s="116" t="s">
        <v>39</v>
      </c>
      <c r="W33" s="116" t="s">
        <v>39</v>
      </c>
      <c r="X33" s="116"/>
      <c r="Y33" s="116" t="s">
        <v>39</v>
      </c>
      <c r="Z33" s="116" t="s">
        <v>39</v>
      </c>
      <c r="AA33" s="116" t="s">
        <v>39</v>
      </c>
      <c r="AB33" s="116" t="s">
        <v>39</v>
      </c>
      <c r="AC33" s="116"/>
      <c r="AD33" s="116" t="s">
        <v>39</v>
      </c>
      <c r="AE33" s="116" t="s">
        <v>39</v>
      </c>
      <c r="AF33" s="116"/>
      <c r="AG33" s="116" t="s">
        <v>39</v>
      </c>
      <c r="AH33" s="116"/>
      <c r="AI33" s="116" t="s">
        <v>39</v>
      </c>
      <c r="AJ33" s="116"/>
      <c r="AK33" s="116" t="s">
        <v>39</v>
      </c>
      <c r="AL33" s="116" t="s">
        <v>39</v>
      </c>
      <c r="AM33" s="116" t="s">
        <v>39</v>
      </c>
      <c r="AN33" s="116"/>
      <c r="AO33" s="138">
        <v>5000.0</v>
      </c>
      <c r="AP33" s="147">
        <v>5000.0</v>
      </c>
      <c r="AQ33" s="153">
        <v>0.0</v>
      </c>
      <c r="AR33" s="116"/>
    </row>
    <row r="34" ht="15.75" customHeight="1">
      <c r="A34" s="116" t="s">
        <v>51</v>
      </c>
      <c r="B34" s="116" t="s">
        <v>39</v>
      </c>
      <c r="C34" s="116" t="s">
        <v>39</v>
      </c>
      <c r="D34" s="116" t="s">
        <v>39</v>
      </c>
      <c r="E34" s="116" t="s">
        <v>39</v>
      </c>
      <c r="F34" s="116" t="s">
        <v>39</v>
      </c>
      <c r="G34" s="116" t="s">
        <v>39</v>
      </c>
      <c r="H34" s="116" t="s">
        <v>39</v>
      </c>
      <c r="I34" s="116" t="s">
        <v>39</v>
      </c>
      <c r="J34" s="116" t="s">
        <v>39</v>
      </c>
      <c r="K34" s="116" t="s">
        <v>39</v>
      </c>
      <c r="L34" s="116" t="s">
        <v>39</v>
      </c>
      <c r="M34" s="116" t="s">
        <v>39</v>
      </c>
      <c r="N34" s="116"/>
      <c r="O34" s="116"/>
      <c r="P34" s="116"/>
      <c r="Q34" s="116" t="s">
        <v>39</v>
      </c>
      <c r="R34" s="116" t="s">
        <v>39</v>
      </c>
      <c r="S34" s="116" t="s">
        <v>39</v>
      </c>
      <c r="T34" s="116"/>
      <c r="U34" s="116" t="s">
        <v>39</v>
      </c>
      <c r="V34" s="116" t="s">
        <v>39</v>
      </c>
      <c r="W34" s="116" t="s">
        <v>39</v>
      </c>
      <c r="X34" s="116"/>
      <c r="Y34" s="116" t="s">
        <v>39</v>
      </c>
      <c r="Z34" s="116" t="s">
        <v>39</v>
      </c>
      <c r="AA34" s="116" t="s">
        <v>39</v>
      </c>
      <c r="AB34" s="116" t="s">
        <v>39</v>
      </c>
      <c r="AC34" s="116"/>
      <c r="AD34" s="138">
        <v>1543.1</v>
      </c>
      <c r="AE34" s="116" t="s">
        <v>39</v>
      </c>
      <c r="AF34" s="116"/>
      <c r="AG34" s="116" t="s">
        <v>39</v>
      </c>
      <c r="AH34" s="116"/>
      <c r="AI34" s="116" t="s">
        <v>39</v>
      </c>
      <c r="AJ34" s="116"/>
      <c r="AK34" s="116" t="s">
        <v>39</v>
      </c>
      <c r="AL34" s="116" t="s">
        <v>39</v>
      </c>
      <c r="AM34" s="116" t="s">
        <v>39</v>
      </c>
      <c r="AN34" s="116"/>
      <c r="AO34" s="138">
        <v>8837.78</v>
      </c>
      <c r="AP34" s="147">
        <v>10380.88</v>
      </c>
      <c r="AQ34" s="153">
        <v>0.0</v>
      </c>
      <c r="AR34" s="116"/>
    </row>
    <row r="35" ht="15.75" customHeight="1">
      <c r="A35" s="116" t="s">
        <v>52</v>
      </c>
      <c r="B35" s="116" t="s">
        <v>39</v>
      </c>
      <c r="C35" s="116" t="s">
        <v>39</v>
      </c>
      <c r="D35" s="116" t="s">
        <v>39</v>
      </c>
      <c r="E35" s="116" t="s">
        <v>39</v>
      </c>
      <c r="F35" s="116" t="s">
        <v>39</v>
      </c>
      <c r="G35" s="116" t="s">
        <v>39</v>
      </c>
      <c r="H35" s="116" t="s">
        <v>39</v>
      </c>
      <c r="I35" s="116" t="s">
        <v>39</v>
      </c>
      <c r="J35" s="116" t="s">
        <v>39</v>
      </c>
      <c r="K35" s="116" t="s">
        <v>39</v>
      </c>
      <c r="L35" s="116" t="s">
        <v>39</v>
      </c>
      <c r="M35" s="116" t="s">
        <v>39</v>
      </c>
      <c r="N35" s="116"/>
      <c r="O35" s="116"/>
      <c r="P35" s="116"/>
      <c r="Q35" s="116" t="s">
        <v>39</v>
      </c>
      <c r="R35" s="116" t="s">
        <v>39</v>
      </c>
      <c r="S35" s="116" t="s">
        <v>39</v>
      </c>
      <c r="T35" s="116"/>
      <c r="U35" s="116" t="s">
        <v>39</v>
      </c>
      <c r="V35" s="116" t="s">
        <v>39</v>
      </c>
      <c r="W35" s="116" t="s">
        <v>39</v>
      </c>
      <c r="X35" s="116"/>
      <c r="Y35" s="116" t="s">
        <v>39</v>
      </c>
      <c r="Z35" s="116" t="s">
        <v>39</v>
      </c>
      <c r="AA35" s="116" t="s">
        <v>39</v>
      </c>
      <c r="AB35" s="116" t="s">
        <v>39</v>
      </c>
      <c r="AC35" s="116"/>
      <c r="AD35" s="116" t="s">
        <v>39</v>
      </c>
      <c r="AE35" s="116" t="s">
        <v>39</v>
      </c>
      <c r="AF35" s="116"/>
      <c r="AG35" s="116" t="s">
        <v>39</v>
      </c>
      <c r="AH35" s="116"/>
      <c r="AI35" s="116" t="s">
        <v>39</v>
      </c>
      <c r="AJ35" s="116"/>
      <c r="AK35" s="116" t="s">
        <v>39</v>
      </c>
      <c r="AL35" s="116" t="s">
        <v>39</v>
      </c>
      <c r="AM35" s="116" t="s">
        <v>39</v>
      </c>
      <c r="AN35" s="116"/>
      <c r="AO35" s="116" t="s">
        <v>39</v>
      </c>
      <c r="AP35" s="117" t="s">
        <v>39</v>
      </c>
      <c r="AQ35" s="153">
        <v>0.0</v>
      </c>
      <c r="AR35" s="116"/>
    </row>
    <row r="36" ht="15.75" customHeight="1">
      <c r="A36" s="116" t="s">
        <v>53</v>
      </c>
      <c r="B36" s="116" t="s">
        <v>39</v>
      </c>
      <c r="C36" s="116" t="s">
        <v>39</v>
      </c>
      <c r="D36" s="116" t="s">
        <v>39</v>
      </c>
      <c r="E36" s="116" t="s">
        <v>39</v>
      </c>
      <c r="F36" s="116" t="s">
        <v>39</v>
      </c>
      <c r="G36" s="116" t="s">
        <v>39</v>
      </c>
      <c r="H36" s="116" t="s">
        <v>39</v>
      </c>
      <c r="I36" s="116" t="s">
        <v>39</v>
      </c>
      <c r="J36" s="116" t="s">
        <v>39</v>
      </c>
      <c r="K36" s="116" t="s">
        <v>39</v>
      </c>
      <c r="L36" s="116" t="s">
        <v>39</v>
      </c>
      <c r="M36" s="116" t="s">
        <v>39</v>
      </c>
      <c r="N36" s="116"/>
      <c r="O36" s="116"/>
      <c r="P36" s="116"/>
      <c r="Q36" s="116" t="s">
        <v>39</v>
      </c>
      <c r="R36" s="116" t="s">
        <v>39</v>
      </c>
      <c r="S36" s="116" t="s">
        <v>39</v>
      </c>
      <c r="T36" s="116"/>
      <c r="U36" s="116" t="s">
        <v>39</v>
      </c>
      <c r="V36" s="116" t="s">
        <v>39</v>
      </c>
      <c r="W36" s="116" t="s">
        <v>39</v>
      </c>
      <c r="X36" s="116"/>
      <c r="Y36" s="116" t="s">
        <v>39</v>
      </c>
      <c r="Z36" s="116" t="s">
        <v>39</v>
      </c>
      <c r="AA36" s="116" t="s">
        <v>39</v>
      </c>
      <c r="AB36" s="116" t="s">
        <v>39</v>
      </c>
      <c r="AC36" s="116"/>
      <c r="AD36" s="116" t="s">
        <v>39</v>
      </c>
      <c r="AE36" s="116" t="s">
        <v>39</v>
      </c>
      <c r="AF36" s="116"/>
      <c r="AG36" s="116" t="s">
        <v>39</v>
      </c>
      <c r="AH36" s="116"/>
      <c r="AI36" s="116" t="s">
        <v>39</v>
      </c>
      <c r="AJ36" s="116"/>
      <c r="AK36" s="116" t="s">
        <v>39</v>
      </c>
      <c r="AL36" s="116" t="s">
        <v>39</v>
      </c>
      <c r="AM36" s="116" t="s">
        <v>39</v>
      </c>
      <c r="AN36" s="116"/>
      <c r="AO36" s="116" t="s">
        <v>39</v>
      </c>
      <c r="AP36" s="117" t="s">
        <v>39</v>
      </c>
      <c r="AQ36" s="153">
        <v>0.0</v>
      </c>
      <c r="AR36" s="116"/>
    </row>
    <row r="37" ht="15.75" customHeight="1">
      <c r="A37" s="116" t="s">
        <v>54</v>
      </c>
      <c r="B37" s="116" t="s">
        <v>39</v>
      </c>
      <c r="C37" s="116" t="s">
        <v>39</v>
      </c>
      <c r="D37" s="116" t="s">
        <v>39</v>
      </c>
      <c r="E37" s="116" t="s">
        <v>39</v>
      </c>
      <c r="F37" s="116" t="s">
        <v>39</v>
      </c>
      <c r="G37" s="116" t="s">
        <v>39</v>
      </c>
      <c r="H37" s="116" t="s">
        <v>39</v>
      </c>
      <c r="I37" s="116" t="s">
        <v>39</v>
      </c>
      <c r="J37" s="116" t="s">
        <v>39</v>
      </c>
      <c r="K37" s="116" t="s">
        <v>39</v>
      </c>
      <c r="L37" s="116" t="s">
        <v>39</v>
      </c>
      <c r="M37" s="116" t="s">
        <v>39</v>
      </c>
      <c r="N37" s="116"/>
      <c r="O37" s="116"/>
      <c r="P37" s="116"/>
      <c r="Q37" s="116" t="s">
        <v>39</v>
      </c>
      <c r="R37" s="116" t="s">
        <v>39</v>
      </c>
      <c r="S37" s="116" t="s">
        <v>39</v>
      </c>
      <c r="T37" s="116"/>
      <c r="U37" s="116" t="s">
        <v>39</v>
      </c>
      <c r="V37" s="116" t="s">
        <v>39</v>
      </c>
      <c r="W37" s="116" t="s">
        <v>39</v>
      </c>
      <c r="X37" s="116"/>
      <c r="Y37" s="116" t="s">
        <v>39</v>
      </c>
      <c r="Z37" s="116" t="s">
        <v>39</v>
      </c>
      <c r="AA37" s="116" t="s">
        <v>39</v>
      </c>
      <c r="AB37" s="116" t="s">
        <v>39</v>
      </c>
      <c r="AC37" s="116"/>
      <c r="AD37" s="116" t="s">
        <v>39</v>
      </c>
      <c r="AE37" s="116" t="s">
        <v>39</v>
      </c>
      <c r="AF37" s="116"/>
      <c r="AG37" s="116" t="s">
        <v>39</v>
      </c>
      <c r="AH37" s="116"/>
      <c r="AI37" s="116" t="s">
        <v>39</v>
      </c>
      <c r="AJ37" s="116"/>
      <c r="AK37" s="116" t="s">
        <v>39</v>
      </c>
      <c r="AL37" s="116" t="s">
        <v>39</v>
      </c>
      <c r="AM37" s="116" t="s">
        <v>39</v>
      </c>
      <c r="AN37" s="116"/>
      <c r="AO37" s="138">
        <v>18400.0</v>
      </c>
      <c r="AP37" s="147">
        <v>18400.0</v>
      </c>
      <c r="AQ37" s="153">
        <v>0.01</v>
      </c>
      <c r="AR37" s="116"/>
    </row>
    <row r="38" ht="15.75" customHeight="1">
      <c r="A38" s="116" t="s">
        <v>55</v>
      </c>
      <c r="B38" s="116" t="s">
        <v>39</v>
      </c>
      <c r="C38" s="116" t="s">
        <v>39</v>
      </c>
      <c r="D38" s="116" t="s">
        <v>39</v>
      </c>
      <c r="E38" s="116" t="s">
        <v>39</v>
      </c>
      <c r="F38" s="116" t="s">
        <v>39</v>
      </c>
      <c r="G38" s="116" t="s">
        <v>39</v>
      </c>
      <c r="H38" s="116" t="s">
        <v>39</v>
      </c>
      <c r="I38" s="116" t="s">
        <v>39</v>
      </c>
      <c r="J38" s="116" t="s">
        <v>39</v>
      </c>
      <c r="K38" s="116" t="s">
        <v>39</v>
      </c>
      <c r="L38" s="116" t="s">
        <v>39</v>
      </c>
      <c r="M38" s="116" t="s">
        <v>39</v>
      </c>
      <c r="N38" s="116"/>
      <c r="O38" s="116"/>
      <c r="P38" s="116"/>
      <c r="Q38" s="116" t="s">
        <v>39</v>
      </c>
      <c r="R38" s="116" t="s">
        <v>39</v>
      </c>
      <c r="S38" s="116" t="s">
        <v>39</v>
      </c>
      <c r="T38" s="116"/>
      <c r="U38" s="116" t="s">
        <v>39</v>
      </c>
      <c r="V38" s="116" t="s">
        <v>39</v>
      </c>
      <c r="W38" s="116" t="s">
        <v>39</v>
      </c>
      <c r="X38" s="116"/>
      <c r="Y38" s="116" t="s">
        <v>39</v>
      </c>
      <c r="Z38" s="116" t="s">
        <v>39</v>
      </c>
      <c r="AA38" s="116" t="s">
        <v>39</v>
      </c>
      <c r="AB38" s="116" t="s">
        <v>39</v>
      </c>
      <c r="AC38" s="116"/>
      <c r="AD38" s="116" t="s">
        <v>39</v>
      </c>
      <c r="AE38" s="116" t="s">
        <v>39</v>
      </c>
      <c r="AF38" s="116"/>
      <c r="AG38" s="116" t="s">
        <v>39</v>
      </c>
      <c r="AH38" s="116"/>
      <c r="AI38" s="116" t="s">
        <v>39</v>
      </c>
      <c r="AJ38" s="116"/>
      <c r="AK38" s="116" t="s">
        <v>39</v>
      </c>
      <c r="AL38" s="116" t="s">
        <v>39</v>
      </c>
      <c r="AM38" s="116" t="s">
        <v>39</v>
      </c>
      <c r="AN38" s="116"/>
      <c r="AO38" s="116" t="s">
        <v>39</v>
      </c>
      <c r="AP38" s="117" t="s">
        <v>39</v>
      </c>
      <c r="AQ38" s="153">
        <v>0.0</v>
      </c>
      <c r="AR38" s="116"/>
    </row>
    <row r="39" ht="15.75" customHeight="1">
      <c r="A39" s="116" t="s">
        <v>107</v>
      </c>
      <c r="B39" s="116" t="s">
        <v>39</v>
      </c>
      <c r="C39" s="116" t="s">
        <v>39</v>
      </c>
      <c r="D39" s="116" t="s">
        <v>39</v>
      </c>
      <c r="E39" s="116" t="s">
        <v>39</v>
      </c>
      <c r="F39" s="116" t="s">
        <v>39</v>
      </c>
      <c r="G39" s="116" t="s">
        <v>39</v>
      </c>
      <c r="H39" s="116" t="s">
        <v>39</v>
      </c>
      <c r="I39" s="116" t="s">
        <v>39</v>
      </c>
      <c r="J39" s="116" t="s">
        <v>39</v>
      </c>
      <c r="K39" s="116" t="s">
        <v>39</v>
      </c>
      <c r="L39" s="116" t="s">
        <v>39</v>
      </c>
      <c r="M39" s="116" t="s">
        <v>39</v>
      </c>
      <c r="N39" s="116"/>
      <c r="O39" s="116"/>
      <c r="P39" s="116"/>
      <c r="Q39" s="116" t="s">
        <v>39</v>
      </c>
      <c r="R39" s="116" t="s">
        <v>39</v>
      </c>
      <c r="S39" s="116" t="s">
        <v>39</v>
      </c>
      <c r="T39" s="116"/>
      <c r="U39" s="116" t="s">
        <v>39</v>
      </c>
      <c r="V39" s="116" t="s">
        <v>39</v>
      </c>
      <c r="W39" s="116" t="s">
        <v>39</v>
      </c>
      <c r="X39" s="116"/>
      <c r="Y39" s="116" t="s">
        <v>39</v>
      </c>
      <c r="Z39" s="116" t="s">
        <v>39</v>
      </c>
      <c r="AA39" s="116" t="s">
        <v>39</v>
      </c>
      <c r="AB39" s="116" t="s">
        <v>39</v>
      </c>
      <c r="AC39" s="116"/>
      <c r="AD39" s="116" t="s">
        <v>39</v>
      </c>
      <c r="AE39" s="116" t="s">
        <v>39</v>
      </c>
      <c r="AF39" s="116"/>
      <c r="AG39" s="116" t="s">
        <v>39</v>
      </c>
      <c r="AH39" s="116"/>
      <c r="AI39" s="116" t="s">
        <v>39</v>
      </c>
      <c r="AJ39" s="116"/>
      <c r="AK39" s="116" t="s">
        <v>39</v>
      </c>
      <c r="AL39" s="116" t="s">
        <v>39</v>
      </c>
      <c r="AM39" s="116" t="s">
        <v>39</v>
      </c>
      <c r="AN39" s="116"/>
      <c r="AO39" s="116" t="s">
        <v>39</v>
      </c>
      <c r="AP39" s="117" t="s">
        <v>39</v>
      </c>
      <c r="AQ39" s="153">
        <v>0.0</v>
      </c>
      <c r="AR39" s="116"/>
    </row>
    <row r="40" ht="15.75" customHeight="1">
      <c r="A40" s="116" t="s">
        <v>57</v>
      </c>
      <c r="B40" s="116" t="s">
        <v>39</v>
      </c>
      <c r="C40" s="116" t="s">
        <v>39</v>
      </c>
      <c r="D40" s="116" t="s">
        <v>39</v>
      </c>
      <c r="E40" s="116" t="s">
        <v>39</v>
      </c>
      <c r="F40" s="116" t="s">
        <v>39</v>
      </c>
      <c r="G40" s="116" t="s">
        <v>39</v>
      </c>
      <c r="H40" s="116" t="s">
        <v>39</v>
      </c>
      <c r="I40" s="116" t="s">
        <v>39</v>
      </c>
      <c r="J40" s="116" t="s">
        <v>39</v>
      </c>
      <c r="K40" s="116" t="s">
        <v>39</v>
      </c>
      <c r="L40" s="116" t="s">
        <v>39</v>
      </c>
      <c r="M40" s="116" t="s">
        <v>39</v>
      </c>
      <c r="N40" s="116"/>
      <c r="O40" s="116"/>
      <c r="P40" s="116"/>
      <c r="Q40" s="116" t="s">
        <v>39</v>
      </c>
      <c r="R40" s="116" t="s">
        <v>39</v>
      </c>
      <c r="S40" s="116" t="s">
        <v>39</v>
      </c>
      <c r="T40" s="116"/>
      <c r="U40" s="116" t="s">
        <v>39</v>
      </c>
      <c r="V40" s="116" t="s">
        <v>39</v>
      </c>
      <c r="W40" s="116" t="s">
        <v>39</v>
      </c>
      <c r="X40" s="116"/>
      <c r="Y40" s="116" t="s">
        <v>39</v>
      </c>
      <c r="Z40" s="116" t="s">
        <v>39</v>
      </c>
      <c r="AA40" s="116" t="s">
        <v>39</v>
      </c>
      <c r="AB40" s="116" t="s">
        <v>39</v>
      </c>
      <c r="AC40" s="116"/>
      <c r="AD40" s="116" t="s">
        <v>39</v>
      </c>
      <c r="AE40" s="116" t="s">
        <v>39</v>
      </c>
      <c r="AF40" s="116"/>
      <c r="AG40" s="116" t="s">
        <v>39</v>
      </c>
      <c r="AH40" s="116"/>
      <c r="AI40" s="116" t="s">
        <v>39</v>
      </c>
      <c r="AJ40" s="116"/>
      <c r="AK40" s="116" t="s">
        <v>39</v>
      </c>
      <c r="AL40" s="116" t="s">
        <v>39</v>
      </c>
      <c r="AM40" s="116" t="s">
        <v>39</v>
      </c>
      <c r="AN40" s="116"/>
      <c r="AO40" s="138">
        <v>565000.0</v>
      </c>
      <c r="AP40" s="147">
        <v>565000.0</v>
      </c>
      <c r="AQ40" s="153">
        <v>0.21</v>
      </c>
      <c r="AR40" s="116"/>
    </row>
    <row r="41" ht="15.75" customHeight="1">
      <c r="A41" s="116" t="s">
        <v>58</v>
      </c>
      <c r="B41" s="116" t="s">
        <v>39</v>
      </c>
      <c r="C41" s="116" t="s">
        <v>39</v>
      </c>
      <c r="D41" s="116" t="s">
        <v>39</v>
      </c>
      <c r="E41" s="116" t="s">
        <v>39</v>
      </c>
      <c r="F41" s="116" t="s">
        <v>39</v>
      </c>
      <c r="G41" s="116" t="s">
        <v>39</v>
      </c>
      <c r="H41" s="116" t="s">
        <v>39</v>
      </c>
      <c r="I41" s="116" t="s">
        <v>39</v>
      </c>
      <c r="J41" s="116" t="s">
        <v>39</v>
      </c>
      <c r="K41" s="116" t="s">
        <v>39</v>
      </c>
      <c r="L41" s="116" t="s">
        <v>39</v>
      </c>
      <c r="M41" s="116" t="s">
        <v>39</v>
      </c>
      <c r="N41" s="116"/>
      <c r="O41" s="116"/>
      <c r="P41" s="116"/>
      <c r="Q41" s="116" t="s">
        <v>39</v>
      </c>
      <c r="R41" s="116" t="s">
        <v>39</v>
      </c>
      <c r="S41" s="116" t="s">
        <v>39</v>
      </c>
      <c r="T41" s="116"/>
      <c r="U41" s="116" t="s">
        <v>39</v>
      </c>
      <c r="V41" s="116" t="s">
        <v>39</v>
      </c>
      <c r="W41" s="116" t="s">
        <v>39</v>
      </c>
      <c r="X41" s="116"/>
      <c r="Y41" s="116" t="s">
        <v>39</v>
      </c>
      <c r="Z41" s="116" t="s">
        <v>39</v>
      </c>
      <c r="AA41" s="116" t="s">
        <v>39</v>
      </c>
      <c r="AB41" s="116" t="s">
        <v>39</v>
      </c>
      <c r="AC41" s="116"/>
      <c r="AD41" s="116" t="s">
        <v>39</v>
      </c>
      <c r="AE41" s="116" t="s">
        <v>39</v>
      </c>
      <c r="AF41" s="116"/>
      <c r="AG41" s="116" t="s">
        <v>39</v>
      </c>
      <c r="AH41" s="116"/>
      <c r="AI41" s="116" t="s">
        <v>39</v>
      </c>
      <c r="AJ41" s="116"/>
      <c r="AK41" s="116" t="s">
        <v>39</v>
      </c>
      <c r="AL41" s="116" t="s">
        <v>39</v>
      </c>
      <c r="AM41" s="116" t="s">
        <v>39</v>
      </c>
      <c r="AN41" s="116"/>
      <c r="AO41" s="116">
        <v>715.56</v>
      </c>
      <c r="AP41" s="117">
        <v>715.56</v>
      </c>
      <c r="AQ41" s="153">
        <v>0.0</v>
      </c>
      <c r="AR41" s="116"/>
    </row>
    <row r="42" ht="15.75" customHeight="1">
      <c r="A42" s="116" t="s">
        <v>59</v>
      </c>
      <c r="B42" s="116">
        <v>58.62</v>
      </c>
      <c r="C42" s="116">
        <v>133.16</v>
      </c>
      <c r="D42" s="116">
        <v>124.58</v>
      </c>
      <c r="E42" s="116">
        <v>76.09</v>
      </c>
      <c r="F42" s="116" t="s">
        <v>39</v>
      </c>
      <c r="G42" s="116">
        <v>118.68</v>
      </c>
      <c r="H42" s="116">
        <v>36.0</v>
      </c>
      <c r="I42" s="116" t="s">
        <v>39</v>
      </c>
      <c r="J42" s="116">
        <v>66.73</v>
      </c>
      <c r="K42" s="116" t="s">
        <v>39</v>
      </c>
      <c r="L42" s="116">
        <v>170.06</v>
      </c>
      <c r="M42" s="116">
        <v>85.84</v>
      </c>
      <c r="N42" s="116"/>
      <c r="O42" s="116"/>
      <c r="P42" s="116"/>
      <c r="Q42" s="116">
        <v>82.76</v>
      </c>
      <c r="R42" s="116">
        <v>123.36</v>
      </c>
      <c r="S42" s="116">
        <v>108.74</v>
      </c>
      <c r="T42" s="116"/>
      <c r="U42" s="116">
        <v>52.33</v>
      </c>
      <c r="V42" s="116">
        <v>92.5</v>
      </c>
      <c r="W42" s="116">
        <v>68.56</v>
      </c>
      <c r="X42" s="116"/>
      <c r="Y42" s="116">
        <v>139.19</v>
      </c>
      <c r="Z42" s="116">
        <v>25.98</v>
      </c>
      <c r="AA42" s="116" t="s">
        <v>39</v>
      </c>
      <c r="AB42" s="116">
        <v>76.09</v>
      </c>
      <c r="AC42" s="116"/>
      <c r="AD42" s="116">
        <v>154.2</v>
      </c>
      <c r="AE42" s="116">
        <v>259.33</v>
      </c>
      <c r="AF42" s="116"/>
      <c r="AG42" s="116" t="s">
        <v>39</v>
      </c>
      <c r="AH42" s="116"/>
      <c r="AI42" s="116" t="s">
        <v>39</v>
      </c>
      <c r="AJ42" s="116"/>
      <c r="AK42" s="116">
        <v>92.7</v>
      </c>
      <c r="AL42" s="116">
        <v>24.14</v>
      </c>
      <c r="AM42" s="116" t="s">
        <v>39</v>
      </c>
      <c r="AN42" s="116"/>
      <c r="AO42" s="116">
        <v>329.37</v>
      </c>
      <c r="AP42" s="147">
        <v>2498.74</v>
      </c>
      <c r="AQ42" s="153">
        <v>0.0</v>
      </c>
      <c r="AR42" s="116"/>
    </row>
    <row r="43" ht="15.75" customHeight="1">
      <c r="A43" s="116" t="s">
        <v>60</v>
      </c>
      <c r="B43" s="116" t="s">
        <v>39</v>
      </c>
      <c r="C43" s="116" t="s">
        <v>39</v>
      </c>
      <c r="D43" s="116">
        <v>15.0</v>
      </c>
      <c r="E43" s="116" t="s">
        <v>39</v>
      </c>
      <c r="F43" s="116" t="s">
        <v>39</v>
      </c>
      <c r="G43" s="116" t="s">
        <v>39</v>
      </c>
      <c r="H43" s="116" t="s">
        <v>39</v>
      </c>
      <c r="I43" s="116" t="s">
        <v>39</v>
      </c>
      <c r="J43" s="116" t="s">
        <v>39</v>
      </c>
      <c r="K43" s="116" t="s">
        <v>39</v>
      </c>
      <c r="L43" s="116" t="s">
        <v>39</v>
      </c>
      <c r="M43" s="116" t="s">
        <v>39</v>
      </c>
      <c r="N43" s="116"/>
      <c r="O43" s="116"/>
      <c r="P43" s="116"/>
      <c r="Q43" s="116" t="s">
        <v>39</v>
      </c>
      <c r="R43" s="116" t="s">
        <v>39</v>
      </c>
      <c r="S43" s="116" t="s">
        <v>39</v>
      </c>
      <c r="T43" s="116"/>
      <c r="U43" s="116" t="s">
        <v>39</v>
      </c>
      <c r="V43" s="116" t="s">
        <v>39</v>
      </c>
      <c r="W43" s="116" t="s">
        <v>39</v>
      </c>
      <c r="X43" s="116"/>
      <c r="Y43" s="116" t="s">
        <v>39</v>
      </c>
      <c r="Z43" s="116" t="s">
        <v>39</v>
      </c>
      <c r="AA43" s="116" t="s">
        <v>39</v>
      </c>
      <c r="AB43" s="116" t="s">
        <v>39</v>
      </c>
      <c r="AC43" s="116"/>
      <c r="AD43" s="116" t="s">
        <v>39</v>
      </c>
      <c r="AE43" s="116" t="s">
        <v>39</v>
      </c>
      <c r="AF43" s="116"/>
      <c r="AG43" s="116" t="s">
        <v>39</v>
      </c>
      <c r="AH43" s="116"/>
      <c r="AI43" s="116" t="s">
        <v>39</v>
      </c>
      <c r="AJ43" s="116"/>
      <c r="AK43" s="116" t="s">
        <v>39</v>
      </c>
      <c r="AL43" s="116" t="s">
        <v>39</v>
      </c>
      <c r="AM43" s="116" t="s">
        <v>39</v>
      </c>
      <c r="AN43" s="116"/>
      <c r="AO43" s="138">
        <v>80899.85</v>
      </c>
      <c r="AP43" s="147">
        <v>80914.85</v>
      </c>
      <c r="AQ43" s="153">
        <v>0.03</v>
      </c>
      <c r="AR43" s="116"/>
    </row>
    <row r="44" ht="15.75" customHeight="1">
      <c r="A44" s="116" t="s">
        <v>61</v>
      </c>
      <c r="B44" s="116">
        <v>80.0</v>
      </c>
      <c r="C44" s="116" t="s">
        <v>39</v>
      </c>
      <c r="D44" s="116" t="s">
        <v>39</v>
      </c>
      <c r="E44" s="116" t="s">
        <v>39</v>
      </c>
      <c r="F44" s="116" t="s">
        <v>39</v>
      </c>
      <c r="G44" s="116" t="s">
        <v>39</v>
      </c>
      <c r="H44" s="116"/>
      <c r="I44" s="116" t="s">
        <v>39</v>
      </c>
      <c r="J44" s="116" t="s">
        <v>39</v>
      </c>
      <c r="K44" s="116" t="s">
        <v>39</v>
      </c>
      <c r="L44" s="116" t="s">
        <v>39</v>
      </c>
      <c r="M44" s="116" t="s">
        <v>39</v>
      </c>
      <c r="N44" s="116"/>
      <c r="O44" s="116"/>
      <c r="P44" s="116"/>
      <c r="Q44" s="116" t="s">
        <v>39</v>
      </c>
      <c r="R44" s="116">
        <v>300.0</v>
      </c>
      <c r="S44" s="116" t="s">
        <v>39</v>
      </c>
      <c r="T44" s="116"/>
      <c r="U44" s="116">
        <v>128.0</v>
      </c>
      <c r="V44" s="138">
        <v>1000.0</v>
      </c>
      <c r="W44" s="116">
        <v>100.0</v>
      </c>
      <c r="X44" s="116"/>
      <c r="Y44" s="116" t="s">
        <v>39</v>
      </c>
      <c r="Z44" s="116" t="s">
        <v>39</v>
      </c>
      <c r="AA44" s="116" t="s">
        <v>39</v>
      </c>
      <c r="AB44" s="116" t="s">
        <v>39</v>
      </c>
      <c r="AC44" s="116"/>
      <c r="AD44" s="116">
        <v>366.0</v>
      </c>
      <c r="AE44" s="116">
        <v>50.0</v>
      </c>
      <c r="AF44" s="116"/>
      <c r="AG44" s="116" t="s">
        <v>39</v>
      </c>
      <c r="AH44" s="116"/>
      <c r="AI44" s="116"/>
      <c r="AJ44" s="116"/>
      <c r="AK44" s="116" t="s">
        <v>39</v>
      </c>
      <c r="AL44" s="116">
        <v>54.0</v>
      </c>
      <c r="AM44" s="116" t="s">
        <v>39</v>
      </c>
      <c r="AN44" s="116"/>
      <c r="AO44" s="138">
        <v>4509.0</v>
      </c>
      <c r="AP44" s="147">
        <v>6587.0</v>
      </c>
      <c r="AQ44" s="153">
        <v>0.0</v>
      </c>
      <c r="AR44" s="116"/>
    </row>
    <row r="45" ht="15.75" customHeight="1">
      <c r="A45" s="131" t="s">
        <v>109</v>
      </c>
      <c r="B45" s="150">
        <v>164980.11</v>
      </c>
      <c r="C45" s="150">
        <v>16595.22</v>
      </c>
      <c r="D45" s="150">
        <v>35947.25</v>
      </c>
      <c r="E45" s="150">
        <v>59520.4</v>
      </c>
      <c r="F45" s="150">
        <v>125183.12</v>
      </c>
      <c r="G45" s="150">
        <v>35893.1</v>
      </c>
      <c r="H45" s="150">
        <v>23632.45</v>
      </c>
      <c r="I45" s="150">
        <v>244773.14</v>
      </c>
      <c r="J45" s="150">
        <v>83201.06</v>
      </c>
      <c r="K45" s="150">
        <v>11472.55</v>
      </c>
      <c r="L45" s="150">
        <v>57380.98</v>
      </c>
      <c r="M45" s="150">
        <v>36656.61</v>
      </c>
      <c r="N45" s="154" t="s">
        <v>39</v>
      </c>
      <c r="O45" s="154" t="s">
        <v>39</v>
      </c>
      <c r="P45" s="154" t="s">
        <v>39</v>
      </c>
      <c r="Q45" s="150">
        <v>57238.74</v>
      </c>
      <c r="R45" s="150">
        <v>57272.21</v>
      </c>
      <c r="S45" s="150">
        <v>28638.25</v>
      </c>
      <c r="T45" s="154" t="s">
        <v>39</v>
      </c>
      <c r="U45" s="150">
        <v>21670.71</v>
      </c>
      <c r="V45" s="150">
        <v>12163.34</v>
      </c>
      <c r="W45" s="150">
        <v>26824.26</v>
      </c>
      <c r="X45" s="154" t="s">
        <v>39</v>
      </c>
      <c r="Y45" s="150">
        <v>45602.3</v>
      </c>
      <c r="Z45" s="150">
        <v>23980.94</v>
      </c>
      <c r="AA45" s="150">
        <v>11750.2</v>
      </c>
      <c r="AB45" s="150">
        <v>53423.54</v>
      </c>
      <c r="AC45" s="154" t="s">
        <v>39</v>
      </c>
      <c r="AD45" s="150">
        <v>145759.0</v>
      </c>
      <c r="AE45" s="150">
        <v>38472.51</v>
      </c>
      <c r="AF45" s="154" t="s">
        <v>39</v>
      </c>
      <c r="AG45" s="150">
        <v>37475.4</v>
      </c>
      <c r="AH45" s="154" t="s">
        <v>39</v>
      </c>
      <c r="AI45" s="150">
        <v>20506.7</v>
      </c>
      <c r="AJ45" s="154" t="s">
        <v>39</v>
      </c>
      <c r="AK45" s="150">
        <v>11951.96</v>
      </c>
      <c r="AL45" s="150">
        <v>109880.67</v>
      </c>
      <c r="AM45" s="150">
        <v>12057.74</v>
      </c>
      <c r="AN45" s="154" t="s">
        <v>39</v>
      </c>
      <c r="AO45" s="150">
        <v>1107122.61</v>
      </c>
      <c r="AP45" s="150">
        <v>2717027.07</v>
      </c>
      <c r="AQ45" s="134">
        <v>1.0</v>
      </c>
      <c r="AR45" s="116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7"/>
      <c r="AQ46" s="116"/>
      <c r="AR46" s="116"/>
    </row>
    <row r="47" ht="15.75" customHeight="1">
      <c r="A47" s="131" t="s">
        <v>14</v>
      </c>
      <c r="B47" s="132">
        <v>148019.89</v>
      </c>
      <c r="C47" s="132">
        <v>88904.78</v>
      </c>
      <c r="D47" s="132">
        <v>20802.75</v>
      </c>
      <c r="E47" s="132">
        <v>29129.6</v>
      </c>
      <c r="F47" s="132">
        <v>147716.88</v>
      </c>
      <c r="G47" s="132">
        <v>15050.4</v>
      </c>
      <c r="H47" s="132">
        <v>14367.55</v>
      </c>
      <c r="I47" s="132">
        <v>220126.86</v>
      </c>
      <c r="J47" s="132">
        <v>106526.75</v>
      </c>
      <c r="K47" s="132">
        <v>7527.45</v>
      </c>
      <c r="L47" s="132">
        <v>30919.02</v>
      </c>
      <c r="M47" s="132">
        <v>38543.39</v>
      </c>
      <c r="N47" s="131" t="s">
        <v>39</v>
      </c>
      <c r="O47" s="131" t="s">
        <v>39</v>
      </c>
      <c r="P47" s="131" t="s">
        <v>39</v>
      </c>
      <c r="Q47" s="132">
        <v>40511.26</v>
      </c>
      <c r="R47" s="132">
        <v>40977.79</v>
      </c>
      <c r="S47" s="132">
        <v>27111.75</v>
      </c>
      <c r="T47" s="131" t="s">
        <v>39</v>
      </c>
      <c r="U47" s="132">
        <v>32329.29</v>
      </c>
      <c r="V47" s="132">
        <v>23836.66</v>
      </c>
      <c r="W47" s="132">
        <v>11175.74</v>
      </c>
      <c r="X47" s="131" t="s">
        <v>39</v>
      </c>
      <c r="Y47" s="132">
        <v>40897.7</v>
      </c>
      <c r="Z47" s="132">
        <v>14019.06</v>
      </c>
      <c r="AA47" s="132">
        <v>7749.8</v>
      </c>
      <c r="AB47" s="132">
        <v>31076.46</v>
      </c>
      <c r="AC47" s="131" t="s">
        <v>39</v>
      </c>
      <c r="AD47" s="132">
        <v>106741.0</v>
      </c>
      <c r="AE47" s="132">
        <v>17277.49</v>
      </c>
      <c r="AF47" s="131" t="s">
        <v>39</v>
      </c>
      <c r="AG47" s="132">
        <v>19724.6</v>
      </c>
      <c r="AH47" s="131" t="s">
        <v>39</v>
      </c>
      <c r="AI47" s="132">
        <v>20493.3</v>
      </c>
      <c r="AJ47" s="131" t="s">
        <v>39</v>
      </c>
      <c r="AK47" s="132">
        <v>6548.04</v>
      </c>
      <c r="AL47" s="132">
        <v>122119.33</v>
      </c>
      <c r="AM47" s="132">
        <v>6642.26</v>
      </c>
      <c r="AN47" s="131" t="s">
        <v>39</v>
      </c>
      <c r="AO47" s="132">
        <v>-1107122.61</v>
      </c>
      <c r="AP47" s="132">
        <v>329744.24</v>
      </c>
      <c r="AQ47" s="116"/>
      <c r="AR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7"/>
      <c r="AQ48" s="116"/>
      <c r="AR48" s="1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2"/>
    <mergeCell ref="A3:C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3.0"/>
    <col customWidth="1" min="3" max="3" width="10.38"/>
    <col customWidth="1" min="4" max="4" width="10.5"/>
    <col customWidth="1" min="5" max="5" width="8.5"/>
    <col customWidth="1" min="6" max="6" width="11.88"/>
    <col customWidth="1" min="7" max="7" width="19.13"/>
    <col customWidth="1" min="8" max="8" width="11.75"/>
    <col customWidth="1" min="9" max="9" width="9.75"/>
    <col customWidth="1" min="10" max="10" width="15.63"/>
    <col customWidth="1" min="11" max="11" width="12.75"/>
    <col customWidth="1" min="12" max="12" width="13.38"/>
    <col customWidth="1" min="13" max="13" width="13.13"/>
    <col customWidth="1" min="14" max="14" width="11.75"/>
    <col customWidth="1" min="15" max="15" width="12.38"/>
    <col customWidth="1" min="16" max="16" width="12.75"/>
    <col customWidth="1" min="17" max="17" width="22.63"/>
    <col customWidth="1" min="18" max="18" width="17.63"/>
    <col customWidth="1" min="19" max="19" width="11.13"/>
    <col customWidth="1" min="20" max="20" width="14.0"/>
    <col customWidth="1" min="21" max="21" width="9.5"/>
    <col customWidth="1" min="22" max="22" width="22.25"/>
    <col customWidth="1" min="23" max="23" width="12.0"/>
    <col customWidth="1" min="24" max="24" width="17.75"/>
    <col customWidth="1" min="25" max="25" width="17.13"/>
    <col customWidth="1" min="26" max="26" width="10.5"/>
    <col customWidth="1" min="27" max="27" width="13.13"/>
    <col customWidth="1" min="28" max="28" width="15.0"/>
    <col customWidth="1" min="29" max="29" width="17.63"/>
    <col customWidth="1" min="30" max="30" width="10.88"/>
    <col customWidth="1" min="31" max="31" width="12.88"/>
    <col customWidth="1" min="32" max="32" width="15.5"/>
    <col customWidth="1" min="33" max="33" width="12.0"/>
    <col customWidth="1" min="34" max="34" width="18.38"/>
    <col customWidth="1" min="35" max="35" width="16.88"/>
    <col customWidth="1" min="36" max="36" width="11.63"/>
    <col customWidth="1" min="37" max="37" width="19.63"/>
    <col customWidth="1" min="38" max="38" width="15.13"/>
    <col customWidth="1" min="39" max="39" width="12.38"/>
    <col customWidth="1" min="40" max="40" width="19.63"/>
    <col customWidth="1" min="41" max="41" width="11.13"/>
    <col customWidth="1" min="42" max="42" width="8.38"/>
    <col customWidth="1" min="43" max="43" width="5.25"/>
    <col customWidth="1" min="44" max="44" width="1.5"/>
  </cols>
  <sheetData>
    <row r="1" ht="15.75" customHeight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7"/>
      <c r="AR1" s="116"/>
      <c r="AS1" s="116"/>
    </row>
    <row r="2" ht="15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7"/>
      <c r="AR2" s="116"/>
      <c r="AS2" s="116"/>
    </row>
    <row r="3" ht="15.75" customHeight="1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7"/>
      <c r="AR3" s="116"/>
      <c r="AS3" s="116"/>
    </row>
    <row r="4" ht="15.75" customHeight="1">
      <c r="A4" s="14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7"/>
      <c r="AR4" s="116"/>
      <c r="AS4" s="116"/>
    </row>
    <row r="5" ht="15.75" customHeight="1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7"/>
      <c r="AR5" s="116"/>
      <c r="AS5" s="116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</row>
    <row r="6" ht="15.75" customHeight="1">
      <c r="A6" s="118" t="s">
        <v>28</v>
      </c>
      <c r="B6" s="118" t="s">
        <v>21</v>
      </c>
      <c r="C6" s="118" t="s">
        <v>64</v>
      </c>
      <c r="D6" s="118" t="s">
        <v>65</v>
      </c>
      <c r="E6" s="118" t="s">
        <v>66</v>
      </c>
      <c r="F6" s="118" t="s">
        <v>67</v>
      </c>
      <c r="G6" s="118" t="s">
        <v>68</v>
      </c>
      <c r="H6" s="118" t="s">
        <v>69</v>
      </c>
      <c r="I6" s="118" t="s">
        <v>70</v>
      </c>
      <c r="J6" s="118" t="s">
        <v>71</v>
      </c>
      <c r="K6" s="118" t="s">
        <v>72</v>
      </c>
      <c r="L6" s="118" t="s">
        <v>73</v>
      </c>
      <c r="M6" s="118" t="s">
        <v>74</v>
      </c>
      <c r="N6" s="118" t="s">
        <v>75</v>
      </c>
      <c r="O6" s="118" t="s">
        <v>119</v>
      </c>
      <c r="P6" s="118" t="s">
        <v>76</v>
      </c>
      <c r="Q6" s="118" t="s">
        <v>77</v>
      </c>
      <c r="R6" s="118" t="s">
        <v>78</v>
      </c>
      <c r="S6" s="118" t="s">
        <v>79</v>
      </c>
      <c r="T6" s="118" t="s">
        <v>80</v>
      </c>
      <c r="U6" s="118" t="s">
        <v>81</v>
      </c>
      <c r="V6" s="121" t="s">
        <v>82</v>
      </c>
      <c r="W6" s="121" t="s">
        <v>83</v>
      </c>
      <c r="X6" s="121" t="s">
        <v>84</v>
      </c>
      <c r="Y6" s="121" t="s">
        <v>85</v>
      </c>
      <c r="Z6" s="118" t="s">
        <v>86</v>
      </c>
      <c r="AA6" s="121" t="s">
        <v>87</v>
      </c>
      <c r="AB6" s="121" t="s">
        <v>88</v>
      </c>
      <c r="AC6" s="121" t="s">
        <v>89</v>
      </c>
      <c r="AD6" s="155" t="s">
        <v>116</v>
      </c>
      <c r="AE6" s="118" t="s">
        <v>90</v>
      </c>
      <c r="AF6" s="121" t="s">
        <v>91</v>
      </c>
      <c r="AG6" s="121" t="s">
        <v>92</v>
      </c>
      <c r="AH6" s="151" t="s">
        <v>93</v>
      </c>
      <c r="AI6" s="118" t="s">
        <v>117</v>
      </c>
      <c r="AJ6" s="121" t="s">
        <v>94</v>
      </c>
      <c r="AK6" s="118" t="s">
        <v>118</v>
      </c>
      <c r="AL6" s="118" t="s">
        <v>114</v>
      </c>
      <c r="AM6" s="118" t="s">
        <v>115</v>
      </c>
      <c r="AN6" s="121" t="s">
        <v>97</v>
      </c>
      <c r="AO6" s="121" t="s">
        <v>98</v>
      </c>
      <c r="AP6" s="121" t="s">
        <v>99</v>
      </c>
      <c r="AQ6" s="118" t="s">
        <v>100</v>
      </c>
      <c r="AR6" s="118" t="s">
        <v>30</v>
      </c>
      <c r="AS6" s="116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</row>
    <row r="7" ht="15.7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7"/>
      <c r="AR7" s="116"/>
      <c r="AS7" s="116"/>
    </row>
    <row r="8" ht="15.75" customHeight="1">
      <c r="A8" s="116" t="s">
        <v>102</v>
      </c>
      <c r="B8" s="156">
        <v>313000.0</v>
      </c>
      <c r="C8" s="156">
        <v>105500.0</v>
      </c>
      <c r="D8" s="156">
        <v>56750.0</v>
      </c>
      <c r="E8" s="156">
        <v>88650.0</v>
      </c>
      <c r="F8" s="156">
        <v>272900.0</v>
      </c>
      <c r="G8" s="156">
        <v>58750.0</v>
      </c>
      <c r="H8" s="128"/>
      <c r="I8" s="156">
        <v>464900.0</v>
      </c>
      <c r="J8" s="156">
        <v>187737.14</v>
      </c>
      <c r="K8" s="156">
        <v>19000.0</v>
      </c>
      <c r="L8" s="156">
        <v>88300.0</v>
      </c>
      <c r="M8" s="137">
        <v>53600.0</v>
      </c>
      <c r="N8" s="128"/>
      <c r="O8" s="128"/>
      <c r="P8" s="128"/>
      <c r="Q8" s="128"/>
      <c r="R8" s="156">
        <v>97750.0</v>
      </c>
      <c r="S8" s="156">
        <v>98250.0</v>
      </c>
      <c r="T8" s="156">
        <v>55750.0</v>
      </c>
      <c r="U8" s="128"/>
      <c r="V8" s="156">
        <v>54000.0</v>
      </c>
      <c r="W8" s="156">
        <v>36000.0</v>
      </c>
      <c r="X8" s="156">
        <v>38000.0</v>
      </c>
      <c r="Y8" s="128"/>
      <c r="Z8" s="156">
        <v>86500.0</v>
      </c>
      <c r="AA8" s="156">
        <v>19000.0</v>
      </c>
      <c r="AB8" s="156">
        <v>19500.0</v>
      </c>
      <c r="AC8" s="156">
        <v>84500.0</v>
      </c>
      <c r="AD8" s="128"/>
      <c r="AE8" s="156">
        <v>252500.0</v>
      </c>
      <c r="AF8" s="156">
        <v>55750.0</v>
      </c>
      <c r="AG8" s="128"/>
      <c r="AH8" s="156">
        <v>57200.0</v>
      </c>
      <c r="AI8" s="128"/>
      <c r="AJ8" s="156">
        <v>41000.0</v>
      </c>
      <c r="AK8" s="128"/>
      <c r="AL8" s="156">
        <v>18500.0</v>
      </c>
      <c r="AM8" s="156">
        <v>232000.0</v>
      </c>
      <c r="AN8" s="156">
        <v>18700.0</v>
      </c>
      <c r="AO8" s="156">
        <v>16450.0</v>
      </c>
      <c r="AP8" s="128"/>
      <c r="AQ8" s="157">
        <v>2990437.14</v>
      </c>
      <c r="AR8" s="153">
        <v>0.99</v>
      </c>
      <c r="AS8" s="128"/>
      <c r="AT8" s="129"/>
      <c r="AU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I8" s="129"/>
      <c r="BJ8" s="129"/>
      <c r="BL8" s="129"/>
    </row>
    <row r="9" ht="15.75" customHeight="1">
      <c r="A9" s="116" t="s">
        <v>113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25">
        <v>21600.0</v>
      </c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58">
        <v>21600.0</v>
      </c>
      <c r="AR9" s="153">
        <v>0.01</v>
      </c>
      <c r="AS9" s="116"/>
    </row>
    <row r="10" ht="15.7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58">
        <v>0.0</v>
      </c>
      <c r="AR10" s="153">
        <v>0.0</v>
      </c>
      <c r="AS10" s="116"/>
    </row>
    <row r="11" ht="15.75" customHeight="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58">
        <v>0.0</v>
      </c>
      <c r="AR11" s="153">
        <v>0.0</v>
      </c>
      <c r="AS11" s="116"/>
    </row>
    <row r="12" ht="15.7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58">
        <v>0.0</v>
      </c>
      <c r="AR12" s="153">
        <v>0.0</v>
      </c>
      <c r="AS12" s="116"/>
    </row>
    <row r="13" ht="15.75" customHeight="1">
      <c r="A13" s="131" t="s">
        <v>104</v>
      </c>
      <c r="B13" s="133">
        <v>313000.0</v>
      </c>
      <c r="C13" s="133">
        <v>105500.0</v>
      </c>
      <c r="D13" s="133">
        <v>56750.0</v>
      </c>
      <c r="E13" s="133">
        <v>88650.0</v>
      </c>
      <c r="F13" s="133">
        <v>272900.0</v>
      </c>
      <c r="G13" s="133">
        <v>58750.0</v>
      </c>
      <c r="H13" s="133" t="s">
        <v>39</v>
      </c>
      <c r="I13" s="133">
        <v>464900.0</v>
      </c>
      <c r="J13" s="133">
        <v>187737.14</v>
      </c>
      <c r="K13" s="133">
        <v>19000.0</v>
      </c>
      <c r="L13" s="133">
        <v>88300.0</v>
      </c>
      <c r="M13" s="133">
        <v>75200.0</v>
      </c>
      <c r="N13" s="133" t="s">
        <v>39</v>
      </c>
      <c r="O13" s="133" t="s">
        <v>39</v>
      </c>
      <c r="P13" s="133" t="s">
        <v>39</v>
      </c>
      <c r="Q13" s="133" t="s">
        <v>39</v>
      </c>
      <c r="R13" s="133">
        <v>97750.0</v>
      </c>
      <c r="S13" s="133">
        <v>98250.0</v>
      </c>
      <c r="T13" s="133">
        <v>55750.0</v>
      </c>
      <c r="U13" s="133" t="s">
        <v>39</v>
      </c>
      <c r="V13" s="133">
        <v>54000.0</v>
      </c>
      <c r="W13" s="133">
        <v>36000.0</v>
      </c>
      <c r="X13" s="133">
        <v>38000.0</v>
      </c>
      <c r="Y13" s="133" t="s">
        <v>39</v>
      </c>
      <c r="Z13" s="133">
        <v>86500.0</v>
      </c>
      <c r="AA13" s="133">
        <v>19000.0</v>
      </c>
      <c r="AB13" s="133">
        <v>19500.0</v>
      </c>
      <c r="AC13" s="133">
        <v>84500.0</v>
      </c>
      <c r="AD13" s="133" t="s">
        <v>39</v>
      </c>
      <c r="AE13" s="133">
        <v>252500.0</v>
      </c>
      <c r="AF13" s="133">
        <v>55750.0</v>
      </c>
      <c r="AG13" s="133" t="s">
        <v>39</v>
      </c>
      <c r="AH13" s="133">
        <v>57200.0</v>
      </c>
      <c r="AI13" s="133" t="s">
        <v>39</v>
      </c>
      <c r="AJ13" s="133">
        <v>41000.0</v>
      </c>
      <c r="AK13" s="133" t="s">
        <v>39</v>
      </c>
      <c r="AL13" s="133">
        <v>18500.0</v>
      </c>
      <c r="AM13" s="133">
        <v>232000.0</v>
      </c>
      <c r="AN13" s="133">
        <v>18700.0</v>
      </c>
      <c r="AO13" s="133">
        <v>16450.0</v>
      </c>
      <c r="AP13" s="133" t="s">
        <v>39</v>
      </c>
      <c r="AQ13" s="133">
        <v>3012037.14</v>
      </c>
      <c r="AR13" s="134">
        <v>1.0</v>
      </c>
      <c r="AS13" s="128"/>
      <c r="AT13" s="129"/>
      <c r="AU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I13" s="129"/>
      <c r="BJ13" s="129"/>
      <c r="BL13" s="129"/>
    </row>
    <row r="14" ht="15.7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7"/>
      <c r="AR14" s="116"/>
      <c r="AS14" s="116"/>
    </row>
    <row r="15" ht="15.75" customHeight="1">
      <c r="A15" s="116" t="s">
        <v>31</v>
      </c>
      <c r="B15" s="156">
        <v>124056.03</v>
      </c>
      <c r="C15" s="156">
        <v>2670.0</v>
      </c>
      <c r="D15" s="156">
        <v>28712.88</v>
      </c>
      <c r="E15" s="156">
        <v>43443.56</v>
      </c>
      <c r="F15" s="156">
        <v>112936.41</v>
      </c>
      <c r="G15" s="156">
        <v>29866.32</v>
      </c>
      <c r="H15" s="128"/>
      <c r="I15" s="156">
        <v>192935.78</v>
      </c>
      <c r="J15" s="156">
        <v>71388.1</v>
      </c>
      <c r="K15" s="156">
        <v>8805.0</v>
      </c>
      <c r="L15" s="156">
        <v>39201.71</v>
      </c>
      <c r="M15" s="156">
        <v>27434.84</v>
      </c>
      <c r="N15" s="128"/>
      <c r="O15" s="128"/>
      <c r="P15" s="128"/>
      <c r="Q15" s="128"/>
      <c r="R15" s="156">
        <v>41737.83</v>
      </c>
      <c r="S15" s="156">
        <v>45617.14</v>
      </c>
      <c r="T15" s="156">
        <v>22319.5</v>
      </c>
      <c r="U15" s="128"/>
      <c r="V15" s="156">
        <v>26610.5</v>
      </c>
      <c r="W15" s="156">
        <v>16860.0</v>
      </c>
      <c r="X15" s="156">
        <v>19607.84</v>
      </c>
      <c r="Y15" s="128"/>
      <c r="Z15" s="156">
        <v>33555.44</v>
      </c>
      <c r="AA15" s="156">
        <v>17418.18</v>
      </c>
      <c r="AB15" s="156">
        <v>9925.0</v>
      </c>
      <c r="AC15" s="156">
        <v>44081.56</v>
      </c>
      <c r="AD15" s="128"/>
      <c r="AE15" s="156">
        <v>109008.43</v>
      </c>
      <c r="AF15" s="156">
        <v>12682.07</v>
      </c>
      <c r="AG15" s="128"/>
      <c r="AH15" s="156">
        <v>28202.88</v>
      </c>
      <c r="AI15" s="128"/>
      <c r="AJ15" s="156">
        <v>16091.0</v>
      </c>
      <c r="AK15" s="128"/>
      <c r="AL15" s="156">
        <v>8405.0</v>
      </c>
      <c r="AM15" s="156">
        <v>69106.99</v>
      </c>
      <c r="AN15" s="156">
        <v>8805.0</v>
      </c>
      <c r="AO15" s="128"/>
      <c r="AP15" s="156">
        <v>309371.74</v>
      </c>
      <c r="AQ15" s="152">
        <v>1520856.73</v>
      </c>
      <c r="AR15" s="153">
        <v>0.55</v>
      </c>
      <c r="AS15" s="128"/>
      <c r="AT15" s="129"/>
      <c r="AU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I15" s="129"/>
      <c r="BJ15" s="129"/>
      <c r="BK15" s="129"/>
      <c r="BL15" s="129"/>
    </row>
    <row r="16" ht="15.75" customHeight="1">
      <c r="A16" s="116" t="s">
        <v>32</v>
      </c>
      <c r="B16" s="148">
        <v>14038.15</v>
      </c>
      <c r="C16" s="148">
        <v>0.0</v>
      </c>
      <c r="D16" s="148">
        <v>3249.25</v>
      </c>
      <c r="E16" s="148">
        <v>5453.37</v>
      </c>
      <c r="F16" s="148">
        <v>13134.64</v>
      </c>
      <c r="G16" s="148">
        <v>3249.15</v>
      </c>
      <c r="H16" s="138"/>
      <c r="I16" s="148">
        <v>26614.26</v>
      </c>
      <c r="J16" s="148">
        <v>10436.31</v>
      </c>
      <c r="K16" s="148">
        <v>1078.96</v>
      </c>
      <c r="L16" s="148">
        <v>4454.97</v>
      </c>
      <c r="M16" s="148">
        <v>3308.6</v>
      </c>
      <c r="N16" s="138"/>
      <c r="O16" s="138"/>
      <c r="P16" s="138"/>
      <c r="Q16" s="138"/>
      <c r="R16" s="148">
        <v>5154.98</v>
      </c>
      <c r="S16" s="148">
        <v>6283.83</v>
      </c>
      <c r="T16" s="148">
        <v>2197.78</v>
      </c>
      <c r="U16" s="138"/>
      <c r="V16" s="148">
        <v>3268.41</v>
      </c>
      <c r="W16" s="148">
        <v>2154.03</v>
      </c>
      <c r="X16" s="148">
        <v>2213.83</v>
      </c>
      <c r="Y16" s="138"/>
      <c r="Z16" s="148">
        <v>4364.3</v>
      </c>
      <c r="AA16" s="148">
        <v>2176.12</v>
      </c>
      <c r="AB16" s="148">
        <v>1077.02</v>
      </c>
      <c r="AC16" s="148">
        <v>5426.1</v>
      </c>
      <c r="AD16" s="138"/>
      <c r="AE16" s="148">
        <v>12897.12</v>
      </c>
      <c r="AF16" s="148">
        <v>1745.99</v>
      </c>
      <c r="AG16" s="138"/>
      <c r="AH16" s="148">
        <v>3281.95</v>
      </c>
      <c r="AI16" s="138"/>
      <c r="AJ16" s="148">
        <v>2176.21</v>
      </c>
      <c r="AK16" s="138"/>
      <c r="AL16" s="148">
        <v>1086.48</v>
      </c>
      <c r="AM16" s="148">
        <v>9306.49</v>
      </c>
      <c r="AN16" s="148">
        <v>1075.66</v>
      </c>
      <c r="AO16" s="138"/>
      <c r="AP16" s="148">
        <v>32694.08</v>
      </c>
      <c r="AQ16" s="147">
        <v>183598.04</v>
      </c>
      <c r="AR16" s="153">
        <v>0.07</v>
      </c>
      <c r="AS16" s="138"/>
      <c r="AT16" s="139"/>
      <c r="AU16" s="139"/>
      <c r="AW16" s="139"/>
      <c r="AX16" s="139"/>
      <c r="AZ16" s="139"/>
      <c r="BA16" s="139"/>
      <c r="BB16" s="139"/>
      <c r="BC16" s="139"/>
      <c r="BE16" s="139"/>
      <c r="BF16" s="139"/>
      <c r="BG16" s="139"/>
      <c r="BJ16" s="139"/>
      <c r="BK16" s="139"/>
      <c r="BL16" s="139"/>
    </row>
    <row r="17" ht="15.75" customHeight="1">
      <c r="A17" s="116" t="s">
        <v>33</v>
      </c>
      <c r="B17" s="148">
        <v>9848.3</v>
      </c>
      <c r="C17" s="148">
        <v>200.12</v>
      </c>
      <c r="D17" s="148">
        <v>2418.05</v>
      </c>
      <c r="E17" s="148">
        <v>3606.93</v>
      </c>
      <c r="F17" s="148">
        <v>9396.09</v>
      </c>
      <c r="G17" s="148">
        <v>2401.1</v>
      </c>
      <c r="H17" s="138"/>
      <c r="I17" s="148">
        <v>18916.9</v>
      </c>
      <c r="J17" s="148">
        <v>6934.97</v>
      </c>
      <c r="K17" s="148">
        <v>791.86</v>
      </c>
      <c r="L17" s="148">
        <v>3313.49</v>
      </c>
      <c r="M17" s="148">
        <v>2464.08</v>
      </c>
      <c r="N17" s="138"/>
      <c r="O17" s="138"/>
      <c r="P17" s="138"/>
      <c r="Q17" s="138"/>
      <c r="R17" s="148">
        <v>3034.75</v>
      </c>
      <c r="S17" s="148">
        <v>4211.21</v>
      </c>
      <c r="T17" s="148">
        <v>1684.97</v>
      </c>
      <c r="U17" s="138"/>
      <c r="V17" s="148">
        <v>2443.34</v>
      </c>
      <c r="W17" s="148">
        <v>1295.77</v>
      </c>
      <c r="X17" s="148">
        <v>1690.64</v>
      </c>
      <c r="Y17" s="138"/>
      <c r="Z17" s="148">
        <v>3219.83</v>
      </c>
      <c r="AA17" s="148">
        <v>1595.01</v>
      </c>
      <c r="AB17" s="148">
        <v>790.75</v>
      </c>
      <c r="AC17" s="148">
        <v>3601.82</v>
      </c>
      <c r="AD17" s="138"/>
      <c r="AE17" s="148">
        <v>9948.74</v>
      </c>
      <c r="AF17" s="148">
        <v>1485.44</v>
      </c>
      <c r="AG17" s="138"/>
      <c r="AH17" s="148">
        <v>2434.46</v>
      </c>
      <c r="AI17" s="138"/>
      <c r="AJ17" s="148">
        <v>1563.88</v>
      </c>
      <c r="AK17" s="138"/>
      <c r="AL17" s="148">
        <v>800.22</v>
      </c>
      <c r="AM17" s="148">
        <v>6397.37</v>
      </c>
      <c r="AN17" s="148">
        <v>788.23</v>
      </c>
      <c r="AO17" s="138"/>
      <c r="AP17" s="148">
        <v>13812.68</v>
      </c>
      <c r="AQ17" s="147">
        <v>121091.0</v>
      </c>
      <c r="AR17" s="153">
        <v>0.04</v>
      </c>
      <c r="AS17" s="138"/>
      <c r="AT17" s="139"/>
      <c r="AU17" s="139"/>
      <c r="AW17" s="139"/>
      <c r="AX17" s="139"/>
      <c r="AZ17" s="139"/>
      <c r="BA17" s="139"/>
      <c r="BC17" s="139"/>
      <c r="BF17" s="139"/>
      <c r="BJ17" s="139"/>
      <c r="BK17" s="139"/>
      <c r="BL17" s="139"/>
    </row>
    <row r="18" ht="15.75" customHeight="1">
      <c r="A18" s="116" t="s">
        <v>34</v>
      </c>
      <c r="B18" s="148">
        <v>5787.87</v>
      </c>
      <c r="C18" s="148">
        <v>500.29</v>
      </c>
      <c r="D18" s="148">
        <v>1433.84</v>
      </c>
      <c r="E18" s="148">
        <v>2138.84</v>
      </c>
      <c r="F18" s="148">
        <v>5583.9</v>
      </c>
      <c r="G18" s="148">
        <v>1423.8</v>
      </c>
      <c r="H18" s="138"/>
      <c r="I18" s="148">
        <v>11200.85</v>
      </c>
      <c r="J18" s="148">
        <v>4221.85</v>
      </c>
      <c r="K18" s="148">
        <v>469.56</v>
      </c>
      <c r="L18" s="148">
        <v>2129.66</v>
      </c>
      <c r="M18" s="148">
        <v>1461.15</v>
      </c>
      <c r="N18" s="138"/>
      <c r="O18" s="138"/>
      <c r="P18" s="138"/>
      <c r="Q18" s="138"/>
      <c r="R18" s="148">
        <v>1799.55</v>
      </c>
      <c r="S18" s="148">
        <v>2497.16</v>
      </c>
      <c r="T18" s="148">
        <v>999.16</v>
      </c>
      <c r="U18" s="138"/>
      <c r="V18" s="148">
        <v>1448.85</v>
      </c>
      <c r="W18" s="148">
        <v>768.36</v>
      </c>
      <c r="X18" s="148">
        <v>990.52</v>
      </c>
      <c r="Y18" s="138"/>
      <c r="Z18" s="148">
        <v>1909.29</v>
      </c>
      <c r="AA18" s="148">
        <v>945.8</v>
      </c>
      <c r="AB18" s="148">
        <v>468.9</v>
      </c>
      <c r="AC18" s="148">
        <v>2135.81</v>
      </c>
      <c r="AD18" s="138"/>
      <c r="AE18" s="148">
        <v>5911.19</v>
      </c>
      <c r="AF18" s="148">
        <v>880.83</v>
      </c>
      <c r="AG18" s="138"/>
      <c r="AH18" s="148">
        <v>1443.59</v>
      </c>
      <c r="AI18" s="138"/>
      <c r="AJ18" s="148">
        <v>927.35</v>
      </c>
      <c r="AK18" s="138"/>
      <c r="AL18" s="148">
        <v>474.52</v>
      </c>
      <c r="AM18" s="148">
        <v>3793.51</v>
      </c>
      <c r="AN18" s="148">
        <v>467.41</v>
      </c>
      <c r="AO18" s="138"/>
      <c r="AP18" s="148">
        <v>20425.72</v>
      </c>
      <c r="AQ18" s="147">
        <v>84639.13</v>
      </c>
      <c r="AR18" s="153">
        <v>0.03</v>
      </c>
      <c r="AS18" s="138"/>
      <c r="AT18" s="139"/>
      <c r="AU18" s="139"/>
      <c r="AW18" s="139"/>
      <c r="AX18" s="139"/>
      <c r="AZ18" s="139"/>
      <c r="BA18" s="139"/>
      <c r="BC18" s="139"/>
      <c r="BF18" s="139"/>
      <c r="BJ18" s="139"/>
      <c r="BK18" s="139"/>
      <c r="BL18" s="139"/>
    </row>
    <row r="19" ht="15.75" customHeight="1">
      <c r="A19" s="149" t="s">
        <v>35</v>
      </c>
      <c r="B19" s="148">
        <v>5202.63</v>
      </c>
      <c r="C19" s="159">
        <v>111.97</v>
      </c>
      <c r="D19" s="148">
        <v>1204.15</v>
      </c>
      <c r="E19" s="148">
        <v>1821.93</v>
      </c>
      <c r="F19" s="148">
        <v>4736.3</v>
      </c>
      <c r="G19" s="148">
        <v>1252.53</v>
      </c>
      <c r="H19" s="138"/>
      <c r="I19" s="148">
        <v>8091.29</v>
      </c>
      <c r="J19" s="148">
        <v>2993.86</v>
      </c>
      <c r="K19" s="148">
        <v>369.26</v>
      </c>
      <c r="L19" s="148">
        <v>1644.03</v>
      </c>
      <c r="M19" s="148">
        <v>1150.56</v>
      </c>
      <c r="N19" s="138"/>
      <c r="O19" s="138"/>
      <c r="P19" s="138"/>
      <c r="Q19" s="138"/>
      <c r="R19" s="148">
        <v>1750.39</v>
      </c>
      <c r="S19" s="148">
        <v>1913.08</v>
      </c>
      <c r="T19" s="148">
        <v>936.03</v>
      </c>
      <c r="U19" s="138"/>
      <c r="V19" s="148">
        <v>1115.98</v>
      </c>
      <c r="W19" s="148">
        <v>707.07</v>
      </c>
      <c r="X19" s="148">
        <v>822.31</v>
      </c>
      <c r="Y19" s="138"/>
      <c r="Z19" s="148">
        <v>1407.24</v>
      </c>
      <c r="AA19" s="148">
        <v>730.48</v>
      </c>
      <c r="AB19" s="148">
        <v>416.23</v>
      </c>
      <c r="AC19" s="148">
        <v>1848.68</v>
      </c>
      <c r="AD19" s="138"/>
      <c r="AE19" s="148">
        <v>4571.57</v>
      </c>
      <c r="AF19" s="148">
        <v>531.86</v>
      </c>
      <c r="AG19" s="138"/>
      <c r="AH19" s="148">
        <v>1182.77</v>
      </c>
      <c r="AI19" s="138"/>
      <c r="AJ19" s="148">
        <v>674.82</v>
      </c>
      <c r="AK19" s="138"/>
      <c r="AL19" s="148">
        <v>352.49</v>
      </c>
      <c r="AM19" s="148">
        <v>2898.19</v>
      </c>
      <c r="AN19" s="148">
        <v>369.14</v>
      </c>
      <c r="AO19" s="138"/>
      <c r="AP19" s="148">
        <v>8288.03</v>
      </c>
      <c r="AQ19" s="147">
        <v>59094.87</v>
      </c>
      <c r="AR19" s="153">
        <v>0.02</v>
      </c>
      <c r="AS19" s="138"/>
      <c r="AT19" s="139"/>
      <c r="AU19" s="139"/>
      <c r="AW19" s="139"/>
      <c r="AZ19" s="139"/>
      <c r="BC19" s="139"/>
      <c r="BF19" s="139"/>
      <c r="BJ19" s="139"/>
      <c r="BK19" s="139"/>
      <c r="BL19" s="139"/>
    </row>
    <row r="20" ht="15.75" customHeight="1">
      <c r="A20" s="116" t="s">
        <v>36</v>
      </c>
      <c r="B20" s="159">
        <v>0.0</v>
      </c>
      <c r="C20" s="159">
        <v>0.0</v>
      </c>
      <c r="D20" s="159">
        <v>0.0</v>
      </c>
      <c r="E20" s="159">
        <v>0.0</v>
      </c>
      <c r="F20" s="159">
        <v>0.0</v>
      </c>
      <c r="G20" s="159">
        <v>0.0</v>
      </c>
      <c r="H20" s="116"/>
      <c r="I20" s="159">
        <v>0.0</v>
      </c>
      <c r="J20" s="159">
        <v>0.0</v>
      </c>
      <c r="K20" s="159">
        <v>0.0</v>
      </c>
      <c r="L20" s="159">
        <v>0.0</v>
      </c>
      <c r="M20" s="159">
        <v>0.0</v>
      </c>
      <c r="N20" s="116"/>
      <c r="O20" s="116"/>
      <c r="P20" s="116"/>
      <c r="Q20" s="116"/>
      <c r="R20" s="159">
        <v>0.0</v>
      </c>
      <c r="S20" s="159">
        <v>0.0</v>
      </c>
      <c r="T20" s="159">
        <v>0.0</v>
      </c>
      <c r="U20" s="116"/>
      <c r="V20" s="159">
        <v>0.0</v>
      </c>
      <c r="W20" s="159">
        <v>0.0</v>
      </c>
      <c r="X20" s="159">
        <v>0.0</v>
      </c>
      <c r="Y20" s="116"/>
      <c r="Z20" s="159">
        <v>0.0</v>
      </c>
      <c r="AA20" s="159">
        <v>0.0</v>
      </c>
      <c r="AB20" s="159">
        <v>0.0</v>
      </c>
      <c r="AC20" s="159">
        <v>0.0</v>
      </c>
      <c r="AD20" s="116"/>
      <c r="AE20" s="159">
        <v>0.0</v>
      </c>
      <c r="AF20" s="159">
        <v>0.0</v>
      </c>
      <c r="AG20" s="116"/>
      <c r="AH20" s="159">
        <v>0.0</v>
      </c>
      <c r="AI20" s="116"/>
      <c r="AJ20" s="159">
        <v>0.0</v>
      </c>
      <c r="AK20" s="116"/>
      <c r="AL20" s="159">
        <v>0.0</v>
      </c>
      <c r="AM20" s="159">
        <v>0.0</v>
      </c>
      <c r="AN20" s="159">
        <v>0.0</v>
      </c>
      <c r="AO20" s="116"/>
      <c r="AP20" s="159">
        <v>1929.06</v>
      </c>
      <c r="AQ20" s="147">
        <v>1929.06</v>
      </c>
      <c r="AR20" s="153">
        <v>0.0</v>
      </c>
      <c r="AS20" s="116"/>
    </row>
    <row r="21" ht="15.75" customHeight="1">
      <c r="A21" s="116" t="s">
        <v>37</v>
      </c>
      <c r="B21" s="159">
        <v>0.0</v>
      </c>
      <c r="C21" s="159">
        <v>0.0</v>
      </c>
      <c r="D21" s="159">
        <v>0.0</v>
      </c>
      <c r="E21" s="159">
        <v>0.0</v>
      </c>
      <c r="F21" s="159">
        <v>0.0</v>
      </c>
      <c r="G21" s="159">
        <v>0.0</v>
      </c>
      <c r="H21" s="116"/>
      <c r="I21" s="159">
        <v>0.0</v>
      </c>
      <c r="J21" s="159">
        <v>0.0</v>
      </c>
      <c r="K21" s="159">
        <v>0.0</v>
      </c>
      <c r="L21" s="159">
        <v>0.0</v>
      </c>
      <c r="M21" s="159">
        <v>0.0</v>
      </c>
      <c r="N21" s="116"/>
      <c r="O21" s="116"/>
      <c r="P21" s="116"/>
      <c r="Q21" s="116"/>
      <c r="R21" s="159">
        <v>0.0</v>
      </c>
      <c r="S21" s="159">
        <v>0.0</v>
      </c>
      <c r="T21" s="159">
        <v>0.0</v>
      </c>
      <c r="U21" s="116"/>
      <c r="V21" s="159">
        <v>0.0</v>
      </c>
      <c r="W21" s="159">
        <v>0.0</v>
      </c>
      <c r="X21" s="159">
        <v>0.0</v>
      </c>
      <c r="Y21" s="116"/>
      <c r="Z21" s="159">
        <v>0.0</v>
      </c>
      <c r="AA21" s="159">
        <v>0.0</v>
      </c>
      <c r="AB21" s="159">
        <v>0.0</v>
      </c>
      <c r="AC21" s="159">
        <v>0.0</v>
      </c>
      <c r="AD21" s="116"/>
      <c r="AE21" s="159">
        <v>0.0</v>
      </c>
      <c r="AF21" s="159">
        <v>0.0</v>
      </c>
      <c r="AG21" s="116"/>
      <c r="AH21" s="159">
        <v>0.0</v>
      </c>
      <c r="AI21" s="116"/>
      <c r="AJ21" s="159">
        <v>0.0</v>
      </c>
      <c r="AK21" s="116"/>
      <c r="AL21" s="159">
        <v>0.0</v>
      </c>
      <c r="AM21" s="159">
        <v>0.0</v>
      </c>
      <c r="AN21" s="159">
        <v>0.0</v>
      </c>
      <c r="AO21" s="116"/>
      <c r="AP21" s="159">
        <v>0.0</v>
      </c>
      <c r="AQ21" s="117" t="s">
        <v>39</v>
      </c>
      <c r="AR21" s="153">
        <v>0.0</v>
      </c>
      <c r="AS21" s="116"/>
    </row>
    <row r="22" ht="15.75" customHeight="1">
      <c r="A22" s="116" t="s">
        <v>38</v>
      </c>
      <c r="B22" s="159">
        <v>0.0</v>
      </c>
      <c r="C22" s="159">
        <v>0.0</v>
      </c>
      <c r="D22" s="159">
        <v>0.0</v>
      </c>
      <c r="E22" s="159">
        <v>0.0</v>
      </c>
      <c r="F22" s="159">
        <v>0.0</v>
      </c>
      <c r="G22" s="159">
        <v>0.0</v>
      </c>
      <c r="H22" s="116"/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16"/>
      <c r="O22" s="116"/>
      <c r="P22" s="116"/>
      <c r="Q22" s="116"/>
      <c r="R22" s="159">
        <v>0.0</v>
      </c>
      <c r="S22" s="159">
        <v>0.0</v>
      </c>
      <c r="T22" s="159">
        <v>0.0</v>
      </c>
      <c r="U22" s="116"/>
      <c r="V22" s="159">
        <v>0.0</v>
      </c>
      <c r="W22" s="159">
        <v>0.0</v>
      </c>
      <c r="X22" s="159">
        <v>0.0</v>
      </c>
      <c r="Y22" s="116"/>
      <c r="Z22" s="159">
        <v>0.0</v>
      </c>
      <c r="AA22" s="159">
        <v>0.0</v>
      </c>
      <c r="AB22" s="159">
        <v>0.0</v>
      </c>
      <c r="AC22" s="159">
        <v>0.0</v>
      </c>
      <c r="AD22" s="116"/>
      <c r="AE22" s="159">
        <v>0.0</v>
      </c>
      <c r="AF22" s="159">
        <v>0.0</v>
      </c>
      <c r="AG22" s="116"/>
      <c r="AH22" s="159">
        <v>0.0</v>
      </c>
      <c r="AI22" s="116"/>
      <c r="AJ22" s="159">
        <v>0.0</v>
      </c>
      <c r="AK22" s="116"/>
      <c r="AL22" s="159">
        <v>0.0</v>
      </c>
      <c r="AM22" s="159">
        <v>0.0</v>
      </c>
      <c r="AN22" s="159">
        <v>0.0</v>
      </c>
      <c r="AO22" s="116"/>
      <c r="AP22" s="159">
        <v>0.0</v>
      </c>
      <c r="AQ22" s="117" t="s">
        <v>39</v>
      </c>
      <c r="AR22" s="153">
        <v>0.0</v>
      </c>
      <c r="AS22" s="116"/>
      <c r="AT22" s="129"/>
    </row>
    <row r="23" ht="15.75" customHeight="1">
      <c r="A23" s="116" t="s">
        <v>40</v>
      </c>
      <c r="B23" s="159">
        <v>0.0</v>
      </c>
      <c r="C23" s="159">
        <v>0.0</v>
      </c>
      <c r="D23" s="159">
        <v>0.0</v>
      </c>
      <c r="E23" s="159">
        <v>0.0</v>
      </c>
      <c r="F23" s="159">
        <v>0.0</v>
      </c>
      <c r="G23" s="159">
        <v>0.0</v>
      </c>
      <c r="H23" s="116"/>
      <c r="I23" s="159">
        <v>0.0</v>
      </c>
      <c r="J23" s="159">
        <v>0.0</v>
      </c>
      <c r="K23" s="159">
        <v>0.0</v>
      </c>
      <c r="L23" s="159">
        <v>0.0</v>
      </c>
      <c r="M23" s="159">
        <v>0.0</v>
      </c>
      <c r="N23" s="116"/>
      <c r="O23" s="116"/>
      <c r="P23" s="116"/>
      <c r="Q23" s="116"/>
      <c r="R23" s="159">
        <v>0.0</v>
      </c>
      <c r="S23" s="159">
        <v>0.0</v>
      </c>
      <c r="T23" s="159">
        <v>0.0</v>
      </c>
      <c r="U23" s="116"/>
      <c r="V23" s="159">
        <v>0.0</v>
      </c>
      <c r="W23" s="159">
        <v>0.0</v>
      </c>
      <c r="X23" s="159">
        <v>0.0</v>
      </c>
      <c r="Y23" s="116"/>
      <c r="Z23" s="159">
        <v>0.0</v>
      </c>
      <c r="AA23" s="159">
        <v>0.0</v>
      </c>
      <c r="AB23" s="159">
        <v>0.0</v>
      </c>
      <c r="AC23" s="159">
        <v>0.0</v>
      </c>
      <c r="AD23" s="116"/>
      <c r="AE23" s="159">
        <v>0.0</v>
      </c>
      <c r="AF23" s="159">
        <v>0.0</v>
      </c>
      <c r="AG23" s="116"/>
      <c r="AH23" s="159">
        <v>0.0</v>
      </c>
      <c r="AI23" s="116"/>
      <c r="AJ23" s="159">
        <v>0.0</v>
      </c>
      <c r="AK23" s="116"/>
      <c r="AL23" s="159">
        <v>0.0</v>
      </c>
      <c r="AM23" s="159">
        <v>0.0</v>
      </c>
      <c r="AN23" s="159">
        <v>0.0</v>
      </c>
      <c r="AO23" s="116"/>
      <c r="AP23" s="159">
        <v>1292.9</v>
      </c>
      <c r="AQ23" s="147">
        <v>1292.9</v>
      </c>
      <c r="AR23" s="153">
        <v>0.0</v>
      </c>
      <c r="AS23" s="116"/>
    </row>
    <row r="24" ht="15.75" customHeight="1">
      <c r="A24" s="116" t="s">
        <v>41</v>
      </c>
      <c r="B24" s="159">
        <v>567.24</v>
      </c>
      <c r="C24" s="159">
        <v>567.24</v>
      </c>
      <c r="D24" s="159">
        <v>567.24</v>
      </c>
      <c r="E24" s="159">
        <v>567.24</v>
      </c>
      <c r="F24" s="159">
        <v>567.24</v>
      </c>
      <c r="G24" s="159">
        <v>567.24</v>
      </c>
      <c r="H24" s="116"/>
      <c r="I24" s="159">
        <v>567.24</v>
      </c>
      <c r="J24" s="159">
        <v>567.24</v>
      </c>
      <c r="K24" s="159">
        <v>0.0</v>
      </c>
      <c r="L24" s="159">
        <v>567.24</v>
      </c>
      <c r="M24" s="159">
        <v>567.24</v>
      </c>
      <c r="N24" s="116"/>
      <c r="O24" s="116"/>
      <c r="P24" s="116"/>
      <c r="Q24" s="116"/>
      <c r="R24" s="159">
        <v>1134.48</v>
      </c>
      <c r="S24" s="159">
        <v>567.24</v>
      </c>
      <c r="T24" s="159">
        <v>567.24</v>
      </c>
      <c r="U24" s="116"/>
      <c r="V24" s="159">
        <v>567.24</v>
      </c>
      <c r="W24" s="159">
        <v>567.24</v>
      </c>
      <c r="X24" s="159">
        <v>567.24</v>
      </c>
      <c r="Y24" s="116"/>
      <c r="Z24" s="159">
        <v>567.24</v>
      </c>
      <c r="AA24" s="159">
        <v>567.24</v>
      </c>
      <c r="AB24" s="159">
        <v>567.24</v>
      </c>
      <c r="AC24" s="159">
        <v>1134.48</v>
      </c>
      <c r="AD24" s="116"/>
      <c r="AE24" s="159">
        <v>567.24</v>
      </c>
      <c r="AF24" s="159">
        <v>567.24</v>
      </c>
      <c r="AG24" s="116"/>
      <c r="AH24" s="159">
        <v>567.24</v>
      </c>
      <c r="AI24" s="116"/>
      <c r="AJ24" s="159">
        <v>567.24</v>
      </c>
      <c r="AK24" s="116"/>
      <c r="AL24" s="159">
        <v>567.24</v>
      </c>
      <c r="AM24" s="159">
        <v>1134.48</v>
      </c>
      <c r="AN24" s="159">
        <v>567.24</v>
      </c>
      <c r="AO24" s="116"/>
      <c r="AP24" s="159">
        <v>7150.91</v>
      </c>
      <c r="AQ24" s="147">
        <v>24168.11</v>
      </c>
      <c r="AR24" s="153">
        <v>0.01</v>
      </c>
      <c r="AS24" s="116"/>
    </row>
    <row r="25" ht="15.75" customHeight="1">
      <c r="A25" s="116" t="s">
        <v>42</v>
      </c>
      <c r="B25" s="159">
        <v>236.96</v>
      </c>
      <c r="C25" s="159">
        <v>65.49</v>
      </c>
      <c r="D25" s="159">
        <v>50.45</v>
      </c>
      <c r="E25" s="159">
        <v>52.05</v>
      </c>
      <c r="F25" s="159">
        <v>301.03</v>
      </c>
      <c r="G25" s="159">
        <v>0.0</v>
      </c>
      <c r="H25" s="116"/>
      <c r="I25" s="159">
        <v>458.0</v>
      </c>
      <c r="J25" s="159">
        <v>289.0</v>
      </c>
      <c r="K25" s="159">
        <v>0.0</v>
      </c>
      <c r="L25" s="159">
        <v>441.49</v>
      </c>
      <c r="M25" s="159">
        <v>85.91</v>
      </c>
      <c r="N25" s="116"/>
      <c r="O25" s="116"/>
      <c r="P25" s="116"/>
      <c r="Q25" s="116"/>
      <c r="R25" s="159">
        <v>126.19</v>
      </c>
      <c r="S25" s="159">
        <v>120.45</v>
      </c>
      <c r="T25" s="159">
        <v>74.29</v>
      </c>
      <c r="U25" s="116"/>
      <c r="V25" s="159">
        <v>26.4</v>
      </c>
      <c r="W25" s="159">
        <v>22.46</v>
      </c>
      <c r="X25" s="159">
        <v>304.01</v>
      </c>
      <c r="Y25" s="116"/>
      <c r="Z25" s="159">
        <v>106.13</v>
      </c>
      <c r="AA25" s="159">
        <v>13.2</v>
      </c>
      <c r="AB25" s="159">
        <v>0.0</v>
      </c>
      <c r="AC25" s="159">
        <v>181.36</v>
      </c>
      <c r="AD25" s="116"/>
      <c r="AE25" s="159">
        <v>390.23</v>
      </c>
      <c r="AF25" s="159">
        <v>87.95</v>
      </c>
      <c r="AG25" s="116"/>
      <c r="AH25" s="159">
        <v>121.89</v>
      </c>
      <c r="AI25" s="116"/>
      <c r="AJ25" s="159">
        <v>0.0</v>
      </c>
      <c r="AK25" s="116"/>
      <c r="AL25" s="159">
        <v>100.1</v>
      </c>
      <c r="AM25" s="159">
        <v>65.49</v>
      </c>
      <c r="AN25" s="159">
        <v>0.0</v>
      </c>
      <c r="AO25" s="116"/>
      <c r="AP25" s="159">
        <v>270.95</v>
      </c>
      <c r="AQ25" s="147">
        <v>3991.48</v>
      </c>
      <c r="AR25" s="153">
        <v>0.0</v>
      </c>
      <c r="AS25" s="116"/>
    </row>
    <row r="26" ht="15.75" customHeight="1">
      <c r="A26" s="116" t="s">
        <v>43</v>
      </c>
      <c r="B26" s="159">
        <v>0.0</v>
      </c>
      <c r="C26" s="159">
        <v>0.0</v>
      </c>
      <c r="D26" s="159">
        <v>0.0</v>
      </c>
      <c r="E26" s="159">
        <v>0.0</v>
      </c>
      <c r="F26" s="159">
        <v>0.0</v>
      </c>
      <c r="G26" s="159">
        <v>0.0</v>
      </c>
      <c r="H26" s="116"/>
      <c r="I26" s="159">
        <v>0.0</v>
      </c>
      <c r="J26" s="159">
        <v>0.0</v>
      </c>
      <c r="K26" s="159">
        <v>0.0</v>
      </c>
      <c r="L26" s="159">
        <v>0.0</v>
      </c>
      <c r="M26" s="159">
        <v>0.0</v>
      </c>
      <c r="N26" s="116"/>
      <c r="O26" s="116"/>
      <c r="P26" s="116"/>
      <c r="Q26" s="116"/>
      <c r="R26" s="159">
        <v>0.0</v>
      </c>
      <c r="S26" s="159">
        <v>0.0</v>
      </c>
      <c r="T26" s="159">
        <v>0.0</v>
      </c>
      <c r="U26" s="116"/>
      <c r="V26" s="159">
        <v>0.0</v>
      </c>
      <c r="W26" s="159">
        <v>0.0</v>
      </c>
      <c r="X26" s="159">
        <v>0.0</v>
      </c>
      <c r="Y26" s="116"/>
      <c r="Z26" s="159">
        <v>0.0</v>
      </c>
      <c r="AA26" s="159">
        <v>0.0</v>
      </c>
      <c r="AB26" s="159">
        <v>0.0</v>
      </c>
      <c r="AC26" s="159">
        <v>0.0</v>
      </c>
      <c r="AD26" s="116"/>
      <c r="AE26" s="159">
        <v>0.0</v>
      </c>
      <c r="AF26" s="159">
        <v>0.0</v>
      </c>
      <c r="AG26" s="116"/>
      <c r="AH26" s="159">
        <v>0.0</v>
      </c>
      <c r="AI26" s="116"/>
      <c r="AJ26" s="159">
        <v>0.0</v>
      </c>
      <c r="AK26" s="116"/>
      <c r="AL26" s="159">
        <v>0.0</v>
      </c>
      <c r="AM26" s="159">
        <v>0.0</v>
      </c>
      <c r="AN26" s="159">
        <v>0.0</v>
      </c>
      <c r="AO26" s="116"/>
      <c r="AP26" s="159">
        <v>44837.96</v>
      </c>
      <c r="AQ26" s="147">
        <v>44837.96</v>
      </c>
      <c r="AR26" s="153">
        <v>0.02</v>
      </c>
      <c r="AS26" s="116"/>
    </row>
    <row r="27" ht="15.75" customHeight="1">
      <c r="A27" s="116" t="s">
        <v>44</v>
      </c>
      <c r="B27" s="159">
        <v>0.0</v>
      </c>
      <c r="C27" s="159">
        <v>0.0</v>
      </c>
      <c r="D27" s="159">
        <v>0.0</v>
      </c>
      <c r="E27" s="159">
        <v>0.0</v>
      </c>
      <c r="F27" s="159">
        <v>0.0</v>
      </c>
      <c r="G27" s="159">
        <v>0.0</v>
      </c>
      <c r="H27" s="116"/>
      <c r="I27" s="159">
        <v>0.0</v>
      </c>
      <c r="J27" s="159">
        <v>0.0</v>
      </c>
      <c r="K27" s="159">
        <v>0.0</v>
      </c>
      <c r="L27" s="159">
        <v>0.0</v>
      </c>
      <c r="M27" s="159">
        <v>0.0</v>
      </c>
      <c r="N27" s="116"/>
      <c r="O27" s="116"/>
      <c r="P27" s="116"/>
      <c r="Q27" s="116"/>
      <c r="R27" s="159">
        <v>0.0</v>
      </c>
      <c r="S27" s="159">
        <v>0.0</v>
      </c>
      <c r="T27" s="159">
        <v>0.0</v>
      </c>
      <c r="U27" s="116"/>
      <c r="V27" s="159">
        <v>0.0</v>
      </c>
      <c r="W27" s="159">
        <v>0.0</v>
      </c>
      <c r="X27" s="159">
        <v>0.0</v>
      </c>
      <c r="Y27" s="116"/>
      <c r="Z27" s="159">
        <v>0.0</v>
      </c>
      <c r="AA27" s="159">
        <v>0.0</v>
      </c>
      <c r="AB27" s="159">
        <v>0.0</v>
      </c>
      <c r="AC27" s="159">
        <v>0.0</v>
      </c>
      <c r="AD27" s="116"/>
      <c r="AE27" s="159">
        <v>0.0</v>
      </c>
      <c r="AF27" s="159">
        <v>0.0</v>
      </c>
      <c r="AG27" s="116"/>
      <c r="AH27" s="159">
        <v>0.0</v>
      </c>
      <c r="AI27" s="116"/>
      <c r="AJ27" s="159">
        <v>0.0</v>
      </c>
      <c r="AK27" s="116"/>
      <c r="AL27" s="159">
        <v>0.0</v>
      </c>
      <c r="AM27" s="159">
        <v>0.0</v>
      </c>
      <c r="AN27" s="159">
        <v>0.0</v>
      </c>
      <c r="AO27" s="116"/>
      <c r="AP27" s="159">
        <v>0.0</v>
      </c>
      <c r="AQ27" s="117" t="s">
        <v>39</v>
      </c>
      <c r="AR27" s="153">
        <v>0.0</v>
      </c>
      <c r="AS27" s="116"/>
      <c r="AV27" s="129"/>
      <c r="BC27" s="129"/>
    </row>
    <row r="28" ht="15.75" customHeight="1">
      <c r="A28" s="116" t="s">
        <v>45</v>
      </c>
      <c r="B28" s="159">
        <v>0.0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16"/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16"/>
      <c r="O28" s="116"/>
      <c r="P28" s="116"/>
      <c r="Q28" s="116"/>
      <c r="R28" s="159">
        <v>0.0</v>
      </c>
      <c r="S28" s="159">
        <v>0.0</v>
      </c>
      <c r="T28" s="159">
        <v>0.0</v>
      </c>
      <c r="U28" s="116"/>
      <c r="V28" s="159">
        <v>0.0</v>
      </c>
      <c r="W28" s="159">
        <v>0.0</v>
      </c>
      <c r="X28" s="159">
        <v>0.0</v>
      </c>
      <c r="Y28" s="116"/>
      <c r="Z28" s="159">
        <v>0.0</v>
      </c>
      <c r="AA28" s="159">
        <v>0.0</v>
      </c>
      <c r="AB28" s="159">
        <v>0.0</v>
      </c>
      <c r="AC28" s="159">
        <v>0.0</v>
      </c>
      <c r="AD28" s="116"/>
      <c r="AE28" s="159">
        <v>0.0</v>
      </c>
      <c r="AF28" s="159">
        <v>0.0</v>
      </c>
      <c r="AG28" s="116"/>
      <c r="AH28" s="159">
        <v>0.0</v>
      </c>
      <c r="AI28" s="116"/>
      <c r="AJ28" s="159">
        <v>0.0</v>
      </c>
      <c r="AK28" s="116"/>
      <c r="AL28" s="159">
        <v>0.0</v>
      </c>
      <c r="AM28" s="159">
        <v>0.0</v>
      </c>
      <c r="AN28" s="159">
        <v>0.0</v>
      </c>
      <c r="AO28" s="116"/>
      <c r="AP28" s="159">
        <v>2100.0</v>
      </c>
      <c r="AQ28" s="147">
        <v>2100.0</v>
      </c>
      <c r="AR28" s="153">
        <v>0.0</v>
      </c>
      <c r="AS28" s="116"/>
    </row>
    <row r="29" ht="15.75" customHeight="1">
      <c r="A29" s="116" t="s">
        <v>46</v>
      </c>
      <c r="B29" s="156">
        <v>0.0</v>
      </c>
      <c r="C29" s="156">
        <v>0.0</v>
      </c>
      <c r="D29" s="156">
        <v>0.0</v>
      </c>
      <c r="E29" s="156">
        <v>0.0</v>
      </c>
      <c r="F29" s="156">
        <v>0.0</v>
      </c>
      <c r="G29" s="156">
        <v>0.0</v>
      </c>
      <c r="H29" s="128"/>
      <c r="I29" s="156">
        <v>0.0</v>
      </c>
      <c r="J29" s="156">
        <v>0.0</v>
      </c>
      <c r="K29" s="156">
        <v>0.0</v>
      </c>
      <c r="L29" s="156">
        <v>0.0</v>
      </c>
      <c r="M29" s="156">
        <v>0.0</v>
      </c>
      <c r="N29" s="128"/>
      <c r="O29" s="128"/>
      <c r="P29" s="128"/>
      <c r="Q29" s="128"/>
      <c r="R29" s="156">
        <v>0.0</v>
      </c>
      <c r="S29" s="156">
        <v>0.0</v>
      </c>
      <c r="T29" s="156">
        <v>0.0</v>
      </c>
      <c r="U29" s="128"/>
      <c r="V29" s="156">
        <v>0.0</v>
      </c>
      <c r="W29" s="156">
        <v>0.0</v>
      </c>
      <c r="X29" s="156">
        <v>0.0</v>
      </c>
      <c r="Y29" s="128"/>
      <c r="Z29" s="156">
        <v>0.0</v>
      </c>
      <c r="AA29" s="156">
        <v>0.0</v>
      </c>
      <c r="AB29" s="156">
        <v>0.0</v>
      </c>
      <c r="AC29" s="156">
        <v>0.0</v>
      </c>
      <c r="AD29" s="128"/>
      <c r="AE29" s="156">
        <v>0.0</v>
      </c>
      <c r="AF29" s="156">
        <v>0.0</v>
      </c>
      <c r="AG29" s="128"/>
      <c r="AH29" s="156">
        <v>0.0</v>
      </c>
      <c r="AI29" s="128"/>
      <c r="AJ29" s="156">
        <v>0.0</v>
      </c>
      <c r="AK29" s="128"/>
      <c r="AL29" s="156">
        <v>0.0</v>
      </c>
      <c r="AM29" s="156">
        <v>0.0</v>
      </c>
      <c r="AN29" s="156">
        <v>0.0</v>
      </c>
      <c r="AO29" s="128"/>
      <c r="AP29" s="156">
        <v>441.16</v>
      </c>
      <c r="AQ29" s="152">
        <v>441.16</v>
      </c>
      <c r="AR29" s="153">
        <v>0.0</v>
      </c>
      <c r="AS29" s="128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I29" s="129"/>
      <c r="BJ29" s="129"/>
      <c r="BK29" s="129"/>
      <c r="BL29" s="129"/>
    </row>
    <row r="30" ht="15.75" customHeight="1">
      <c r="A30" s="116" t="s">
        <v>47</v>
      </c>
      <c r="B30" s="159">
        <v>0.0</v>
      </c>
      <c r="C30" s="159">
        <v>0.0</v>
      </c>
      <c r="D30" s="159">
        <v>0.0</v>
      </c>
      <c r="E30" s="159">
        <v>0.0</v>
      </c>
      <c r="F30" s="159">
        <v>0.0</v>
      </c>
      <c r="G30" s="159">
        <v>0.0</v>
      </c>
      <c r="H30" s="116"/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16"/>
      <c r="O30" s="116"/>
      <c r="P30" s="116"/>
      <c r="Q30" s="116"/>
      <c r="R30" s="159">
        <v>0.0</v>
      </c>
      <c r="S30" s="159">
        <v>0.0</v>
      </c>
      <c r="T30" s="159">
        <v>0.0</v>
      </c>
      <c r="U30" s="116"/>
      <c r="V30" s="159">
        <v>0.0</v>
      </c>
      <c r="W30" s="159">
        <v>0.0</v>
      </c>
      <c r="X30" s="159">
        <v>0.0</v>
      </c>
      <c r="Y30" s="116"/>
      <c r="Z30" s="159">
        <v>0.0</v>
      </c>
      <c r="AA30" s="159">
        <v>0.0</v>
      </c>
      <c r="AB30" s="159">
        <v>0.0</v>
      </c>
      <c r="AC30" s="159">
        <v>0.0</v>
      </c>
      <c r="AD30" s="116"/>
      <c r="AE30" s="159">
        <v>0.0</v>
      </c>
      <c r="AF30" s="159">
        <v>0.0</v>
      </c>
      <c r="AG30" s="116"/>
      <c r="AH30" s="159">
        <v>0.0</v>
      </c>
      <c r="AI30" s="116"/>
      <c r="AJ30" s="159">
        <v>0.0</v>
      </c>
      <c r="AK30" s="116"/>
      <c r="AL30" s="159">
        <v>0.0</v>
      </c>
      <c r="AM30" s="159">
        <v>0.0</v>
      </c>
      <c r="AN30" s="159">
        <v>0.0</v>
      </c>
      <c r="AO30" s="116"/>
      <c r="AP30" s="159">
        <v>0.0</v>
      </c>
      <c r="AQ30" s="117" t="s">
        <v>39</v>
      </c>
      <c r="AR30" s="153">
        <v>0.0</v>
      </c>
      <c r="AS30" s="116"/>
    </row>
    <row r="31" ht="15.75" customHeight="1">
      <c r="A31" s="116" t="s">
        <v>48</v>
      </c>
      <c r="B31" s="156">
        <v>0.0</v>
      </c>
      <c r="C31" s="156">
        <v>0.0</v>
      </c>
      <c r="D31" s="156">
        <v>0.0</v>
      </c>
      <c r="E31" s="156">
        <v>0.0</v>
      </c>
      <c r="F31" s="156">
        <v>0.0</v>
      </c>
      <c r="G31" s="156">
        <v>0.0</v>
      </c>
      <c r="H31" s="128"/>
      <c r="I31" s="156">
        <v>0.0</v>
      </c>
      <c r="J31" s="156">
        <v>0.0</v>
      </c>
      <c r="K31" s="156">
        <v>0.0</v>
      </c>
      <c r="L31" s="156">
        <v>0.0</v>
      </c>
      <c r="M31" s="156">
        <v>0.0</v>
      </c>
      <c r="N31" s="128"/>
      <c r="O31" s="128"/>
      <c r="P31" s="128"/>
      <c r="Q31" s="128"/>
      <c r="R31" s="156">
        <v>0.0</v>
      </c>
      <c r="S31" s="156">
        <v>0.0</v>
      </c>
      <c r="T31" s="156">
        <v>0.0</v>
      </c>
      <c r="U31" s="128"/>
      <c r="V31" s="156">
        <v>0.0</v>
      </c>
      <c r="W31" s="156">
        <v>0.0</v>
      </c>
      <c r="X31" s="156">
        <v>0.0</v>
      </c>
      <c r="Y31" s="128"/>
      <c r="Z31" s="156">
        <v>0.0</v>
      </c>
      <c r="AA31" s="156">
        <v>0.0</v>
      </c>
      <c r="AB31" s="156">
        <v>0.0</v>
      </c>
      <c r="AC31" s="156">
        <v>0.0</v>
      </c>
      <c r="AD31" s="128"/>
      <c r="AE31" s="156">
        <v>0.0</v>
      </c>
      <c r="AF31" s="156">
        <v>0.0</v>
      </c>
      <c r="AG31" s="128"/>
      <c r="AH31" s="156">
        <v>0.0</v>
      </c>
      <c r="AI31" s="128"/>
      <c r="AJ31" s="156">
        <v>0.0</v>
      </c>
      <c r="AK31" s="128"/>
      <c r="AL31" s="156">
        <v>0.0</v>
      </c>
      <c r="AM31" s="156">
        <v>0.0</v>
      </c>
      <c r="AN31" s="156">
        <v>0.0</v>
      </c>
      <c r="AO31" s="128"/>
      <c r="AP31" s="156">
        <v>18703.14</v>
      </c>
      <c r="AQ31" s="152">
        <v>18703.14</v>
      </c>
      <c r="AR31" s="153">
        <v>0.01</v>
      </c>
      <c r="AS31" s="128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I31" s="129"/>
      <c r="BJ31" s="129"/>
      <c r="BK31" s="129"/>
      <c r="BL31" s="129"/>
    </row>
    <row r="32" ht="15.75" customHeight="1">
      <c r="A32" s="116" t="s">
        <v>49</v>
      </c>
      <c r="B32" s="159">
        <v>0.0</v>
      </c>
      <c r="C32" s="159">
        <v>0.0</v>
      </c>
      <c r="D32" s="159">
        <v>0.0</v>
      </c>
      <c r="E32" s="159">
        <v>0.0</v>
      </c>
      <c r="F32" s="159">
        <v>0.0</v>
      </c>
      <c r="G32" s="159">
        <v>0.0</v>
      </c>
      <c r="H32" s="116"/>
      <c r="I32" s="159">
        <v>0.0</v>
      </c>
      <c r="J32" s="159">
        <v>0.0</v>
      </c>
      <c r="K32" s="159">
        <v>0.0</v>
      </c>
      <c r="L32" s="159">
        <v>0.0</v>
      </c>
      <c r="M32" s="159">
        <v>0.0</v>
      </c>
      <c r="N32" s="116"/>
      <c r="O32" s="116"/>
      <c r="P32" s="116"/>
      <c r="Q32" s="116"/>
      <c r="R32" s="159">
        <v>0.0</v>
      </c>
      <c r="S32" s="159">
        <v>0.0</v>
      </c>
      <c r="T32" s="159">
        <v>0.0</v>
      </c>
      <c r="U32" s="116"/>
      <c r="V32" s="159">
        <v>0.0</v>
      </c>
      <c r="W32" s="159">
        <v>0.0</v>
      </c>
      <c r="X32" s="159">
        <v>0.0</v>
      </c>
      <c r="Y32" s="116"/>
      <c r="Z32" s="159">
        <v>0.0</v>
      </c>
      <c r="AA32" s="159">
        <v>0.0</v>
      </c>
      <c r="AB32" s="159">
        <v>0.0</v>
      </c>
      <c r="AC32" s="159">
        <v>0.0</v>
      </c>
      <c r="AD32" s="116"/>
      <c r="AE32" s="159">
        <v>0.0</v>
      </c>
      <c r="AF32" s="159">
        <v>0.0</v>
      </c>
      <c r="AG32" s="116"/>
      <c r="AH32" s="159">
        <v>0.0</v>
      </c>
      <c r="AI32" s="116"/>
      <c r="AJ32" s="159">
        <v>0.0</v>
      </c>
      <c r="AK32" s="116"/>
      <c r="AL32" s="159">
        <v>0.0</v>
      </c>
      <c r="AM32" s="159">
        <v>0.0</v>
      </c>
      <c r="AN32" s="159">
        <v>0.0</v>
      </c>
      <c r="AO32" s="116"/>
      <c r="AP32" s="159">
        <v>0.0</v>
      </c>
      <c r="AQ32" s="117" t="s">
        <v>39</v>
      </c>
      <c r="AR32" s="153">
        <v>0.0</v>
      </c>
      <c r="AS32" s="116"/>
    </row>
    <row r="33" ht="15.75" customHeight="1">
      <c r="A33" s="116" t="s">
        <v>106</v>
      </c>
      <c r="B33" s="159">
        <v>0.0</v>
      </c>
      <c r="C33" s="159">
        <v>0.0</v>
      </c>
      <c r="D33" s="159">
        <v>0.0</v>
      </c>
      <c r="E33" s="159">
        <v>0.0</v>
      </c>
      <c r="F33" s="159">
        <v>0.0</v>
      </c>
      <c r="G33" s="159">
        <v>0.0</v>
      </c>
      <c r="H33" s="116"/>
      <c r="I33" s="159">
        <v>0.0</v>
      </c>
      <c r="J33" s="159">
        <v>0.0</v>
      </c>
      <c r="K33" s="159">
        <v>0.0</v>
      </c>
      <c r="L33" s="159">
        <v>0.0</v>
      </c>
      <c r="M33" s="159">
        <v>0.0</v>
      </c>
      <c r="N33" s="116"/>
      <c r="O33" s="116"/>
      <c r="P33" s="116"/>
      <c r="Q33" s="116"/>
      <c r="R33" s="159">
        <v>0.0</v>
      </c>
      <c r="S33" s="159">
        <v>0.0</v>
      </c>
      <c r="T33" s="159">
        <v>0.0</v>
      </c>
      <c r="U33" s="116"/>
      <c r="V33" s="159">
        <v>0.0</v>
      </c>
      <c r="W33" s="159">
        <v>0.0</v>
      </c>
      <c r="X33" s="159">
        <v>0.0</v>
      </c>
      <c r="Y33" s="116"/>
      <c r="Z33" s="159">
        <v>0.0</v>
      </c>
      <c r="AA33" s="159">
        <v>0.0</v>
      </c>
      <c r="AB33" s="159">
        <v>0.0</v>
      </c>
      <c r="AC33" s="159">
        <v>0.0</v>
      </c>
      <c r="AD33" s="116"/>
      <c r="AE33" s="159">
        <v>0.0</v>
      </c>
      <c r="AF33" s="159">
        <v>0.0</v>
      </c>
      <c r="AG33" s="116"/>
      <c r="AH33" s="159">
        <v>0.0</v>
      </c>
      <c r="AI33" s="116"/>
      <c r="AJ33" s="159">
        <v>0.0</v>
      </c>
      <c r="AK33" s="116"/>
      <c r="AL33" s="159">
        <v>0.0</v>
      </c>
      <c r="AM33" s="159">
        <v>0.0</v>
      </c>
      <c r="AN33" s="159">
        <v>0.0</v>
      </c>
      <c r="AO33" s="116"/>
      <c r="AP33" s="159">
        <v>5000.0</v>
      </c>
      <c r="AQ33" s="147">
        <v>5000.0</v>
      </c>
      <c r="AR33" s="153">
        <v>0.0</v>
      </c>
      <c r="AS33" s="116"/>
    </row>
    <row r="34" ht="15.75" customHeight="1">
      <c r="A34" s="116" t="s">
        <v>51</v>
      </c>
      <c r="B34" s="159">
        <v>0.0</v>
      </c>
      <c r="C34" s="159">
        <v>0.0</v>
      </c>
      <c r="D34" s="159">
        <v>0.0</v>
      </c>
      <c r="E34" s="159">
        <v>0.0</v>
      </c>
      <c r="F34" s="159">
        <v>0.0</v>
      </c>
      <c r="G34" s="159">
        <v>0.0</v>
      </c>
      <c r="H34" s="116"/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16"/>
      <c r="O34" s="116"/>
      <c r="P34" s="116"/>
      <c r="Q34" s="116"/>
      <c r="R34" s="159">
        <v>0.0</v>
      </c>
      <c r="S34" s="159">
        <v>0.0</v>
      </c>
      <c r="T34" s="159">
        <v>0.0</v>
      </c>
      <c r="U34" s="116"/>
      <c r="V34" s="159">
        <v>0.0</v>
      </c>
      <c r="W34" s="159">
        <v>0.0</v>
      </c>
      <c r="X34" s="159">
        <v>0.0</v>
      </c>
      <c r="Y34" s="116"/>
      <c r="Z34" s="159">
        <v>0.0</v>
      </c>
      <c r="AA34" s="159">
        <v>0.0</v>
      </c>
      <c r="AB34" s="159">
        <v>0.0</v>
      </c>
      <c r="AC34" s="159">
        <v>0.0</v>
      </c>
      <c r="AD34" s="116"/>
      <c r="AE34" s="159">
        <v>0.0</v>
      </c>
      <c r="AF34" s="159">
        <v>0.0</v>
      </c>
      <c r="AG34" s="116"/>
      <c r="AH34" s="159">
        <v>0.0</v>
      </c>
      <c r="AI34" s="116"/>
      <c r="AJ34" s="159">
        <v>1592.64</v>
      </c>
      <c r="AK34" s="116"/>
      <c r="AL34" s="159">
        <v>0.0</v>
      </c>
      <c r="AM34" s="159">
        <v>538.0</v>
      </c>
      <c r="AN34" s="159">
        <v>0.0</v>
      </c>
      <c r="AO34" s="116"/>
      <c r="AP34" s="159">
        <v>0.0</v>
      </c>
      <c r="AQ34" s="147">
        <v>2130.64</v>
      </c>
      <c r="AR34" s="153">
        <v>0.0</v>
      </c>
      <c r="AS34" s="116"/>
    </row>
    <row r="35" ht="15.75" customHeight="1">
      <c r="A35" s="116" t="s">
        <v>52</v>
      </c>
      <c r="B35" s="159">
        <v>0.0</v>
      </c>
      <c r="C35" s="159">
        <v>0.0</v>
      </c>
      <c r="D35" s="159">
        <v>0.0</v>
      </c>
      <c r="E35" s="159">
        <v>0.0</v>
      </c>
      <c r="F35" s="159">
        <v>0.0</v>
      </c>
      <c r="G35" s="159">
        <v>0.0</v>
      </c>
      <c r="H35" s="116"/>
      <c r="I35" s="159">
        <v>0.0</v>
      </c>
      <c r="J35" s="159">
        <v>0.0</v>
      </c>
      <c r="K35" s="159">
        <v>0.0</v>
      </c>
      <c r="L35" s="159">
        <v>0.0</v>
      </c>
      <c r="M35" s="159">
        <v>0.0</v>
      </c>
      <c r="N35" s="116"/>
      <c r="O35" s="116"/>
      <c r="P35" s="116"/>
      <c r="Q35" s="116"/>
      <c r="R35" s="159">
        <v>0.0</v>
      </c>
      <c r="S35" s="159">
        <v>0.0</v>
      </c>
      <c r="T35" s="159">
        <v>0.0</v>
      </c>
      <c r="U35" s="116"/>
      <c r="V35" s="159">
        <v>0.0</v>
      </c>
      <c r="W35" s="159">
        <v>0.0</v>
      </c>
      <c r="X35" s="159">
        <v>0.0</v>
      </c>
      <c r="Y35" s="116"/>
      <c r="Z35" s="159">
        <v>0.0</v>
      </c>
      <c r="AA35" s="159">
        <v>0.0</v>
      </c>
      <c r="AB35" s="159">
        <v>0.0</v>
      </c>
      <c r="AC35" s="159">
        <v>0.0</v>
      </c>
      <c r="AD35" s="116"/>
      <c r="AE35" s="159">
        <v>0.0</v>
      </c>
      <c r="AF35" s="159">
        <v>0.0</v>
      </c>
      <c r="AG35" s="116"/>
      <c r="AH35" s="159">
        <v>0.0</v>
      </c>
      <c r="AI35" s="116"/>
      <c r="AJ35" s="159">
        <v>0.0</v>
      </c>
      <c r="AK35" s="116"/>
      <c r="AL35" s="159">
        <v>0.0</v>
      </c>
      <c r="AM35" s="159">
        <v>0.0</v>
      </c>
      <c r="AN35" s="159">
        <v>0.0</v>
      </c>
      <c r="AO35" s="116"/>
      <c r="AP35" s="159">
        <v>0.0</v>
      </c>
      <c r="AQ35" s="117" t="s">
        <v>39</v>
      </c>
      <c r="AR35" s="153">
        <v>0.0</v>
      </c>
      <c r="AS35" s="116"/>
    </row>
    <row r="36" ht="15.75" customHeight="1">
      <c r="A36" s="116" t="s">
        <v>53</v>
      </c>
      <c r="B36" s="159">
        <v>0.0</v>
      </c>
      <c r="C36" s="159">
        <v>0.0</v>
      </c>
      <c r="D36" s="159">
        <v>0.0</v>
      </c>
      <c r="E36" s="159">
        <v>0.0</v>
      </c>
      <c r="F36" s="159">
        <v>0.0</v>
      </c>
      <c r="G36" s="159">
        <v>0.0</v>
      </c>
      <c r="H36" s="116"/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16"/>
      <c r="O36" s="116"/>
      <c r="P36" s="116"/>
      <c r="Q36" s="116"/>
      <c r="R36" s="159">
        <v>0.0</v>
      </c>
      <c r="S36" s="159">
        <v>0.0</v>
      </c>
      <c r="T36" s="159">
        <v>0.0</v>
      </c>
      <c r="U36" s="116"/>
      <c r="V36" s="159">
        <v>0.0</v>
      </c>
      <c r="W36" s="159">
        <v>0.0</v>
      </c>
      <c r="X36" s="159">
        <v>0.0</v>
      </c>
      <c r="Y36" s="116"/>
      <c r="Z36" s="159">
        <v>0.0</v>
      </c>
      <c r="AA36" s="159">
        <v>0.0</v>
      </c>
      <c r="AB36" s="159">
        <v>0.0</v>
      </c>
      <c r="AC36" s="159">
        <v>0.0</v>
      </c>
      <c r="AD36" s="116"/>
      <c r="AE36" s="159">
        <v>0.0</v>
      </c>
      <c r="AF36" s="159">
        <v>0.0</v>
      </c>
      <c r="AG36" s="116"/>
      <c r="AH36" s="159">
        <v>0.0</v>
      </c>
      <c r="AI36" s="116"/>
      <c r="AJ36" s="159">
        <v>0.0</v>
      </c>
      <c r="AK36" s="116"/>
      <c r="AL36" s="159">
        <v>0.0</v>
      </c>
      <c r="AM36" s="159">
        <v>0.0</v>
      </c>
      <c r="AN36" s="159">
        <v>0.0</v>
      </c>
      <c r="AO36" s="116"/>
      <c r="AP36" s="159">
        <v>0.0</v>
      </c>
      <c r="AQ36" s="117" t="s">
        <v>39</v>
      </c>
      <c r="AR36" s="153">
        <v>0.0</v>
      </c>
      <c r="AS36" s="116"/>
    </row>
    <row r="37" ht="15.75" customHeight="1">
      <c r="A37" s="116" t="s">
        <v>54</v>
      </c>
      <c r="B37" s="159">
        <v>0.0</v>
      </c>
      <c r="C37" s="159">
        <v>0.0</v>
      </c>
      <c r="D37" s="159">
        <v>0.0</v>
      </c>
      <c r="E37" s="159">
        <v>0.0</v>
      </c>
      <c r="F37" s="159">
        <v>0.0</v>
      </c>
      <c r="G37" s="159">
        <v>0.0</v>
      </c>
      <c r="H37" s="116"/>
      <c r="I37" s="159">
        <v>0.0</v>
      </c>
      <c r="J37" s="159">
        <v>0.0</v>
      </c>
      <c r="K37" s="159">
        <v>0.0</v>
      </c>
      <c r="L37" s="159">
        <v>0.0</v>
      </c>
      <c r="M37" s="159">
        <v>0.0</v>
      </c>
      <c r="N37" s="116"/>
      <c r="O37" s="116"/>
      <c r="P37" s="116"/>
      <c r="Q37" s="116"/>
      <c r="R37" s="159">
        <v>0.0</v>
      </c>
      <c r="S37" s="159">
        <v>0.0</v>
      </c>
      <c r="T37" s="159">
        <v>0.0</v>
      </c>
      <c r="U37" s="116"/>
      <c r="V37" s="159">
        <v>0.0</v>
      </c>
      <c r="W37" s="159">
        <v>0.0</v>
      </c>
      <c r="X37" s="159">
        <v>0.0</v>
      </c>
      <c r="Y37" s="116"/>
      <c r="Z37" s="159">
        <v>0.0</v>
      </c>
      <c r="AA37" s="159">
        <v>0.0</v>
      </c>
      <c r="AB37" s="159">
        <v>0.0</v>
      </c>
      <c r="AC37" s="159">
        <v>0.0</v>
      </c>
      <c r="AD37" s="116"/>
      <c r="AE37" s="159">
        <v>0.0</v>
      </c>
      <c r="AF37" s="159">
        <v>0.0</v>
      </c>
      <c r="AG37" s="116"/>
      <c r="AH37" s="159">
        <v>0.0</v>
      </c>
      <c r="AI37" s="116"/>
      <c r="AJ37" s="159">
        <v>0.0</v>
      </c>
      <c r="AK37" s="116"/>
      <c r="AL37" s="159">
        <v>0.0</v>
      </c>
      <c r="AM37" s="159">
        <v>0.0</v>
      </c>
      <c r="AN37" s="159">
        <v>0.0</v>
      </c>
      <c r="AO37" s="116"/>
      <c r="AP37" s="159">
        <v>18400.0</v>
      </c>
      <c r="AQ37" s="147">
        <v>18400.0</v>
      </c>
      <c r="AR37" s="153">
        <v>0.01</v>
      </c>
      <c r="AS37" s="116"/>
    </row>
    <row r="38" ht="15.75" customHeight="1">
      <c r="A38" s="116" t="s">
        <v>55</v>
      </c>
      <c r="B38" s="159">
        <v>0.0</v>
      </c>
      <c r="C38" s="159">
        <v>0.0</v>
      </c>
      <c r="D38" s="159">
        <v>0.0</v>
      </c>
      <c r="E38" s="159">
        <v>0.0</v>
      </c>
      <c r="F38" s="159">
        <v>0.0</v>
      </c>
      <c r="G38" s="159">
        <v>0.0</v>
      </c>
      <c r="H38" s="116"/>
      <c r="I38" s="159">
        <v>0.0</v>
      </c>
      <c r="J38" s="159">
        <v>0.0</v>
      </c>
      <c r="K38" s="159">
        <v>0.0</v>
      </c>
      <c r="L38" s="159">
        <v>0.0</v>
      </c>
      <c r="M38" s="159">
        <v>0.0</v>
      </c>
      <c r="N38" s="116"/>
      <c r="O38" s="116"/>
      <c r="P38" s="116"/>
      <c r="Q38" s="116"/>
      <c r="R38" s="159">
        <v>0.0</v>
      </c>
      <c r="S38" s="159">
        <v>0.0</v>
      </c>
      <c r="T38" s="159">
        <v>0.0</v>
      </c>
      <c r="U38" s="116"/>
      <c r="V38" s="159">
        <v>0.0</v>
      </c>
      <c r="W38" s="159">
        <v>0.0</v>
      </c>
      <c r="X38" s="159">
        <v>0.0</v>
      </c>
      <c r="Y38" s="116"/>
      <c r="Z38" s="159">
        <v>0.0</v>
      </c>
      <c r="AA38" s="159">
        <v>0.0</v>
      </c>
      <c r="AB38" s="159">
        <v>0.0</v>
      </c>
      <c r="AC38" s="159">
        <v>0.0</v>
      </c>
      <c r="AD38" s="116"/>
      <c r="AE38" s="159">
        <v>0.0</v>
      </c>
      <c r="AF38" s="159">
        <v>0.0</v>
      </c>
      <c r="AG38" s="116"/>
      <c r="AH38" s="159">
        <v>0.0</v>
      </c>
      <c r="AI38" s="116"/>
      <c r="AJ38" s="159">
        <v>0.0</v>
      </c>
      <c r="AK38" s="116"/>
      <c r="AL38" s="159">
        <v>0.0</v>
      </c>
      <c r="AM38" s="159">
        <v>0.0</v>
      </c>
      <c r="AN38" s="159">
        <v>0.0</v>
      </c>
      <c r="AO38" s="116"/>
      <c r="AP38" s="159">
        <v>0.0</v>
      </c>
      <c r="AQ38" s="117" t="s">
        <v>39</v>
      </c>
      <c r="AR38" s="153">
        <v>0.0</v>
      </c>
      <c r="AS38" s="116"/>
    </row>
    <row r="39" ht="15.75" customHeight="1">
      <c r="A39" s="116" t="s">
        <v>107</v>
      </c>
      <c r="B39" s="159">
        <v>0.0</v>
      </c>
      <c r="C39" s="159">
        <v>0.0</v>
      </c>
      <c r="D39" s="159">
        <v>0.0</v>
      </c>
      <c r="E39" s="159">
        <v>0.0</v>
      </c>
      <c r="F39" s="159">
        <v>850.0</v>
      </c>
      <c r="G39" s="159">
        <v>0.0</v>
      </c>
      <c r="H39" s="116"/>
      <c r="I39" s="159">
        <v>3200.0</v>
      </c>
      <c r="J39" s="159">
        <v>495.0</v>
      </c>
      <c r="K39" s="159">
        <v>0.0</v>
      </c>
      <c r="L39" s="159">
        <v>0.0</v>
      </c>
      <c r="M39" s="159">
        <v>0.0</v>
      </c>
      <c r="N39" s="116"/>
      <c r="O39" s="116"/>
      <c r="P39" s="116"/>
      <c r="Q39" s="116"/>
      <c r="R39" s="159">
        <v>0.0</v>
      </c>
      <c r="S39" s="159">
        <v>0.0</v>
      </c>
      <c r="T39" s="159">
        <v>0.0</v>
      </c>
      <c r="U39" s="116"/>
      <c r="V39" s="159">
        <v>0.0</v>
      </c>
      <c r="W39" s="159">
        <v>0.0</v>
      </c>
      <c r="X39" s="159">
        <v>0.0</v>
      </c>
      <c r="Y39" s="116"/>
      <c r="Z39" s="159">
        <v>0.0</v>
      </c>
      <c r="AA39" s="159">
        <v>0.0</v>
      </c>
      <c r="AB39" s="159">
        <v>0.0</v>
      </c>
      <c r="AC39" s="159">
        <v>0.0</v>
      </c>
      <c r="AD39" s="116"/>
      <c r="AE39" s="159">
        <v>0.0</v>
      </c>
      <c r="AF39" s="159">
        <v>0.0</v>
      </c>
      <c r="AG39" s="116"/>
      <c r="AH39" s="159">
        <v>0.0</v>
      </c>
      <c r="AI39" s="116"/>
      <c r="AJ39" s="159">
        <v>0.0</v>
      </c>
      <c r="AK39" s="116"/>
      <c r="AL39" s="159">
        <v>0.0</v>
      </c>
      <c r="AM39" s="159">
        <v>0.0</v>
      </c>
      <c r="AN39" s="159">
        <v>0.0</v>
      </c>
      <c r="AO39" s="116"/>
      <c r="AP39" s="159">
        <v>5054.47</v>
      </c>
      <c r="AQ39" s="147">
        <v>9599.47</v>
      </c>
      <c r="AR39" s="153">
        <v>0.0</v>
      </c>
      <c r="AS39" s="116"/>
    </row>
    <row r="40" ht="15.75" customHeight="1">
      <c r="A40" s="116" t="s">
        <v>57</v>
      </c>
      <c r="B40" s="159">
        <v>0.0</v>
      </c>
      <c r="C40" s="159">
        <v>0.0</v>
      </c>
      <c r="D40" s="159">
        <v>0.0</v>
      </c>
      <c r="E40" s="159">
        <v>0.0</v>
      </c>
      <c r="F40" s="159">
        <v>0.0</v>
      </c>
      <c r="G40" s="159">
        <v>0.0</v>
      </c>
      <c r="H40" s="116"/>
      <c r="I40" s="159">
        <v>0.0</v>
      </c>
      <c r="J40" s="159">
        <v>0.0</v>
      </c>
      <c r="K40" s="159">
        <v>0.0</v>
      </c>
      <c r="L40" s="159">
        <v>0.0</v>
      </c>
      <c r="M40" s="159">
        <v>0.0</v>
      </c>
      <c r="N40" s="116"/>
      <c r="O40" s="116"/>
      <c r="P40" s="116"/>
      <c r="Q40" s="116"/>
      <c r="R40" s="159">
        <v>0.0</v>
      </c>
      <c r="S40" s="159">
        <v>0.0</v>
      </c>
      <c r="T40" s="159">
        <v>0.0</v>
      </c>
      <c r="U40" s="116"/>
      <c r="V40" s="159">
        <v>0.0</v>
      </c>
      <c r="W40" s="159">
        <v>0.0</v>
      </c>
      <c r="X40" s="159">
        <v>0.0</v>
      </c>
      <c r="Y40" s="116"/>
      <c r="Z40" s="159">
        <v>0.0</v>
      </c>
      <c r="AA40" s="159">
        <v>0.0</v>
      </c>
      <c r="AB40" s="159">
        <v>0.0</v>
      </c>
      <c r="AC40" s="159">
        <v>0.0</v>
      </c>
      <c r="AD40" s="116"/>
      <c r="AE40" s="159">
        <v>0.0</v>
      </c>
      <c r="AF40" s="159">
        <v>0.0</v>
      </c>
      <c r="AG40" s="116"/>
      <c r="AH40" s="159">
        <v>0.0</v>
      </c>
      <c r="AI40" s="116"/>
      <c r="AJ40" s="159">
        <v>0.0</v>
      </c>
      <c r="AK40" s="116"/>
      <c r="AL40" s="159">
        <v>0.0</v>
      </c>
      <c r="AM40" s="159">
        <v>0.0</v>
      </c>
      <c r="AN40" s="159">
        <v>0.0</v>
      </c>
      <c r="AO40" s="116"/>
      <c r="AP40" s="159">
        <v>565000.0</v>
      </c>
      <c r="AQ40" s="147">
        <v>565000.0</v>
      </c>
      <c r="AR40" s="153">
        <v>0.2</v>
      </c>
      <c r="AS40" s="116"/>
    </row>
    <row r="41" ht="15.75" customHeight="1">
      <c r="A41" s="116" t="s">
        <v>58</v>
      </c>
      <c r="B41" s="159">
        <v>0.0</v>
      </c>
      <c r="C41" s="159">
        <v>0.0</v>
      </c>
      <c r="D41" s="159">
        <v>0.0</v>
      </c>
      <c r="E41" s="159">
        <v>0.0</v>
      </c>
      <c r="F41" s="159">
        <v>0.0</v>
      </c>
      <c r="G41" s="159">
        <v>0.0</v>
      </c>
      <c r="H41" s="116"/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16"/>
      <c r="O41" s="116"/>
      <c r="P41" s="116"/>
      <c r="Q41" s="116"/>
      <c r="R41" s="159">
        <v>0.0</v>
      </c>
      <c r="S41" s="159">
        <v>0.0</v>
      </c>
      <c r="T41" s="159">
        <v>0.0</v>
      </c>
      <c r="U41" s="116"/>
      <c r="V41" s="159">
        <v>0.0</v>
      </c>
      <c r="W41" s="159">
        <v>0.0</v>
      </c>
      <c r="X41" s="159">
        <v>0.0</v>
      </c>
      <c r="Y41" s="116"/>
      <c r="Z41" s="159">
        <v>0.0</v>
      </c>
      <c r="AA41" s="159">
        <v>0.0</v>
      </c>
      <c r="AB41" s="159">
        <v>0.0</v>
      </c>
      <c r="AC41" s="159">
        <v>0.0</v>
      </c>
      <c r="AD41" s="116"/>
      <c r="AE41" s="159">
        <v>0.0</v>
      </c>
      <c r="AF41" s="159">
        <v>0.0</v>
      </c>
      <c r="AG41" s="116"/>
      <c r="AH41" s="159">
        <v>0.0</v>
      </c>
      <c r="AI41" s="116"/>
      <c r="AJ41" s="159">
        <v>0.0</v>
      </c>
      <c r="AK41" s="116"/>
      <c r="AL41" s="159">
        <v>0.0</v>
      </c>
      <c r="AM41" s="159">
        <v>0.0</v>
      </c>
      <c r="AN41" s="159">
        <v>0.0</v>
      </c>
      <c r="AO41" s="116"/>
      <c r="AP41" s="159">
        <v>944.07</v>
      </c>
      <c r="AQ41" s="117">
        <v>944.07</v>
      </c>
      <c r="AR41" s="153">
        <v>0.0</v>
      </c>
      <c r="AS41" s="116"/>
    </row>
    <row r="42" ht="15.75" customHeight="1">
      <c r="A42" s="116" t="s">
        <v>59</v>
      </c>
      <c r="B42" s="159">
        <v>42.59</v>
      </c>
      <c r="C42" s="159">
        <v>142.11</v>
      </c>
      <c r="D42" s="159">
        <v>102.85</v>
      </c>
      <c r="E42" s="159">
        <v>239.25</v>
      </c>
      <c r="F42" s="159">
        <v>0.0</v>
      </c>
      <c r="G42" s="159">
        <v>118.68</v>
      </c>
      <c r="H42" s="116"/>
      <c r="I42" s="159">
        <v>77.93</v>
      </c>
      <c r="J42" s="159">
        <v>66.73</v>
      </c>
      <c r="K42" s="159">
        <v>0.0</v>
      </c>
      <c r="L42" s="159">
        <v>120.53</v>
      </c>
      <c r="M42" s="159">
        <v>92.7</v>
      </c>
      <c r="N42" s="116"/>
      <c r="O42" s="116"/>
      <c r="P42" s="116"/>
      <c r="Q42" s="116"/>
      <c r="R42" s="159">
        <v>66.73</v>
      </c>
      <c r="S42" s="159">
        <v>130.27</v>
      </c>
      <c r="T42" s="159">
        <v>92.7</v>
      </c>
      <c r="U42" s="116"/>
      <c r="V42" s="159">
        <v>9.74</v>
      </c>
      <c r="W42" s="159">
        <v>94.54</v>
      </c>
      <c r="X42" s="159">
        <v>157.34</v>
      </c>
      <c r="Y42" s="116"/>
      <c r="Z42" s="159">
        <v>147.6</v>
      </c>
      <c r="AA42" s="159">
        <v>59.86</v>
      </c>
      <c r="AB42" s="159">
        <v>0.0</v>
      </c>
      <c r="AC42" s="159">
        <v>94.54</v>
      </c>
      <c r="AD42" s="116"/>
      <c r="AE42" s="159">
        <v>146.09</v>
      </c>
      <c r="AF42" s="159">
        <v>118.68</v>
      </c>
      <c r="AG42" s="116"/>
      <c r="AH42" s="159">
        <v>104.69</v>
      </c>
      <c r="AI42" s="116"/>
      <c r="AJ42" s="159">
        <v>0.0</v>
      </c>
      <c r="AK42" s="116"/>
      <c r="AL42" s="159">
        <v>137.44</v>
      </c>
      <c r="AM42" s="159">
        <v>0.0</v>
      </c>
      <c r="AN42" s="159">
        <v>0.0</v>
      </c>
      <c r="AO42" s="116"/>
      <c r="AP42" s="159">
        <v>207.82</v>
      </c>
      <c r="AQ42" s="147">
        <v>2571.41</v>
      </c>
      <c r="AR42" s="153">
        <v>0.0</v>
      </c>
      <c r="AS42" s="116"/>
    </row>
    <row r="43" ht="15.75" customHeight="1">
      <c r="A43" s="116" t="s">
        <v>60</v>
      </c>
      <c r="B43" s="159">
        <v>0.0</v>
      </c>
      <c r="C43" s="159">
        <v>0.0</v>
      </c>
      <c r="D43" s="159">
        <v>0.0</v>
      </c>
      <c r="E43" s="159">
        <v>0.0</v>
      </c>
      <c r="F43" s="159">
        <v>0.0</v>
      </c>
      <c r="G43" s="159">
        <v>0.0</v>
      </c>
      <c r="H43" s="116"/>
      <c r="I43" s="159">
        <v>0.0</v>
      </c>
      <c r="J43" s="159">
        <v>0.0</v>
      </c>
      <c r="K43" s="159">
        <v>0.0</v>
      </c>
      <c r="L43" s="159">
        <v>0.0</v>
      </c>
      <c r="M43" s="159">
        <v>0.0</v>
      </c>
      <c r="N43" s="116"/>
      <c r="O43" s="116"/>
      <c r="P43" s="116"/>
      <c r="Q43" s="116"/>
      <c r="R43" s="159">
        <v>0.0</v>
      </c>
      <c r="S43" s="159">
        <v>0.0</v>
      </c>
      <c r="T43" s="159">
        <v>0.0</v>
      </c>
      <c r="U43" s="116"/>
      <c r="V43" s="159">
        <v>0.0</v>
      </c>
      <c r="W43" s="159">
        <v>0.0</v>
      </c>
      <c r="X43" s="159">
        <v>0.0</v>
      </c>
      <c r="Y43" s="116"/>
      <c r="Z43" s="159">
        <v>0.0</v>
      </c>
      <c r="AA43" s="159">
        <v>0.0</v>
      </c>
      <c r="AB43" s="159">
        <v>0.0</v>
      </c>
      <c r="AC43" s="159">
        <v>0.0</v>
      </c>
      <c r="AD43" s="116"/>
      <c r="AE43" s="159">
        <v>0.0</v>
      </c>
      <c r="AF43" s="159">
        <v>0.0</v>
      </c>
      <c r="AG43" s="116"/>
      <c r="AH43" s="159">
        <v>0.0</v>
      </c>
      <c r="AI43" s="116"/>
      <c r="AJ43" s="159">
        <v>0.0</v>
      </c>
      <c r="AK43" s="116"/>
      <c r="AL43" s="159">
        <v>0.0</v>
      </c>
      <c r="AM43" s="159">
        <v>0.0</v>
      </c>
      <c r="AN43" s="159">
        <v>0.0</v>
      </c>
      <c r="AO43" s="116"/>
      <c r="AP43" s="159">
        <v>77801.01</v>
      </c>
      <c r="AQ43" s="147">
        <v>77801.01</v>
      </c>
      <c r="AR43" s="153">
        <v>0.03</v>
      </c>
      <c r="AS43" s="116"/>
    </row>
    <row r="44" ht="15.75" customHeight="1">
      <c r="A44" s="116" t="s">
        <v>61</v>
      </c>
      <c r="B44" s="159">
        <v>60.0</v>
      </c>
      <c r="C44" s="159">
        <v>0.0</v>
      </c>
      <c r="D44" s="159">
        <v>0.0</v>
      </c>
      <c r="E44" s="159">
        <v>0.0</v>
      </c>
      <c r="F44" s="159">
        <v>40.0</v>
      </c>
      <c r="G44" s="159">
        <v>0.0</v>
      </c>
      <c r="H44" s="116"/>
      <c r="I44" s="159">
        <v>0.0</v>
      </c>
      <c r="J44" s="159">
        <v>300.0</v>
      </c>
      <c r="K44" s="159">
        <v>0.0</v>
      </c>
      <c r="L44" s="159">
        <v>50.0</v>
      </c>
      <c r="M44" s="159">
        <v>0.0</v>
      </c>
      <c r="N44" s="116"/>
      <c r="O44" s="116"/>
      <c r="P44" s="116"/>
      <c r="Q44" s="116"/>
      <c r="R44" s="159">
        <v>0.0</v>
      </c>
      <c r="S44" s="159">
        <v>0.0</v>
      </c>
      <c r="T44" s="159">
        <v>0.0</v>
      </c>
      <c r="U44" s="116"/>
      <c r="V44" s="159">
        <v>0.0</v>
      </c>
      <c r="W44" s="159">
        <v>0.0</v>
      </c>
      <c r="X44" s="159">
        <v>0.0</v>
      </c>
      <c r="Y44" s="116"/>
      <c r="Z44" s="159">
        <v>0.0</v>
      </c>
      <c r="AA44" s="159">
        <v>0.0</v>
      </c>
      <c r="AB44" s="159">
        <v>0.0</v>
      </c>
      <c r="AC44" s="159">
        <v>0.0</v>
      </c>
      <c r="AD44" s="116"/>
      <c r="AE44" s="159">
        <v>0.0</v>
      </c>
      <c r="AF44" s="159">
        <v>0.0</v>
      </c>
      <c r="AG44" s="116"/>
      <c r="AH44" s="159">
        <v>0.0</v>
      </c>
      <c r="AI44" s="116"/>
      <c r="AJ44" s="116"/>
      <c r="AK44" s="116"/>
      <c r="AL44" s="159">
        <v>0.0</v>
      </c>
      <c r="AM44" s="159">
        <v>997.0</v>
      </c>
      <c r="AN44" s="159">
        <v>0.0</v>
      </c>
      <c r="AO44" s="116"/>
      <c r="AP44" s="159">
        <v>15883.74</v>
      </c>
      <c r="AQ44" s="147">
        <v>17330.74</v>
      </c>
      <c r="AR44" s="153">
        <v>0.01</v>
      </c>
      <c r="AS44" s="116"/>
    </row>
    <row r="45" ht="15.75" customHeight="1">
      <c r="A45" s="131" t="s">
        <v>109</v>
      </c>
      <c r="B45" s="150">
        <v>159839.77</v>
      </c>
      <c r="C45" s="150">
        <v>4257.22</v>
      </c>
      <c r="D45" s="150">
        <v>37738.71</v>
      </c>
      <c r="E45" s="150">
        <v>57323.17</v>
      </c>
      <c r="F45" s="150">
        <v>147545.61</v>
      </c>
      <c r="G45" s="150">
        <v>38878.82</v>
      </c>
      <c r="H45" s="154" t="s">
        <v>39</v>
      </c>
      <c r="I45" s="150">
        <v>262062.25</v>
      </c>
      <c r="J45" s="150">
        <v>97693.06</v>
      </c>
      <c r="K45" s="150">
        <v>11514.64</v>
      </c>
      <c r="L45" s="150">
        <v>51923.12</v>
      </c>
      <c r="M45" s="150">
        <v>36565.08</v>
      </c>
      <c r="N45" s="154" t="s">
        <v>39</v>
      </c>
      <c r="O45" s="154" t="s">
        <v>39</v>
      </c>
      <c r="P45" s="154" t="s">
        <v>39</v>
      </c>
      <c r="Q45" s="154" t="s">
        <v>39</v>
      </c>
      <c r="R45" s="150">
        <v>54804.9</v>
      </c>
      <c r="S45" s="150">
        <v>61340.38</v>
      </c>
      <c r="T45" s="150">
        <v>28871.67</v>
      </c>
      <c r="U45" s="154" t="s">
        <v>39</v>
      </c>
      <c r="V45" s="150">
        <v>35490.46</v>
      </c>
      <c r="W45" s="150">
        <v>22469.47</v>
      </c>
      <c r="X45" s="150">
        <v>26353.73</v>
      </c>
      <c r="Y45" s="154" t="s">
        <v>39</v>
      </c>
      <c r="Z45" s="150">
        <v>45277.07</v>
      </c>
      <c r="AA45" s="150">
        <v>23505.89</v>
      </c>
      <c r="AB45" s="150">
        <v>13245.14</v>
      </c>
      <c r="AC45" s="150">
        <v>58504.35</v>
      </c>
      <c r="AD45" s="154" t="s">
        <v>39</v>
      </c>
      <c r="AE45" s="150">
        <v>143440.61</v>
      </c>
      <c r="AF45" s="150">
        <v>18100.06</v>
      </c>
      <c r="AG45" s="154" t="s">
        <v>39</v>
      </c>
      <c r="AH45" s="150">
        <v>37339.47</v>
      </c>
      <c r="AI45" s="154" t="s">
        <v>39</v>
      </c>
      <c r="AJ45" s="150">
        <v>23593.14</v>
      </c>
      <c r="AK45" s="154" t="s">
        <v>39</v>
      </c>
      <c r="AL45" s="150">
        <v>11923.49</v>
      </c>
      <c r="AM45" s="150">
        <v>94237.52</v>
      </c>
      <c r="AN45" s="150">
        <v>12072.68</v>
      </c>
      <c r="AO45" s="154" t="s">
        <v>39</v>
      </c>
      <c r="AP45" s="150">
        <v>1149609.44</v>
      </c>
      <c r="AQ45" s="150">
        <v>2765520.92</v>
      </c>
      <c r="AR45" s="134">
        <v>1.0</v>
      </c>
      <c r="AS45" s="116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7"/>
      <c r="AR46" s="116"/>
      <c r="AS46" s="116"/>
    </row>
    <row r="47" ht="15.75" customHeight="1">
      <c r="A47" s="131" t="s">
        <v>14</v>
      </c>
      <c r="B47" s="132">
        <v>153160.23</v>
      </c>
      <c r="C47" s="132">
        <v>101242.78</v>
      </c>
      <c r="D47" s="132">
        <v>19011.29</v>
      </c>
      <c r="E47" s="132">
        <v>31326.83</v>
      </c>
      <c r="F47" s="132">
        <v>125354.39</v>
      </c>
      <c r="G47" s="132">
        <v>19871.18</v>
      </c>
      <c r="H47" s="131" t="s">
        <v>39</v>
      </c>
      <c r="I47" s="132">
        <v>202837.75</v>
      </c>
      <c r="J47" s="132">
        <v>90044.08</v>
      </c>
      <c r="K47" s="132">
        <v>7485.36</v>
      </c>
      <c r="L47" s="132">
        <v>36376.88</v>
      </c>
      <c r="M47" s="132">
        <v>38634.92</v>
      </c>
      <c r="N47" s="131" t="s">
        <v>39</v>
      </c>
      <c r="O47" s="131" t="s">
        <v>39</v>
      </c>
      <c r="P47" s="131" t="s">
        <v>39</v>
      </c>
      <c r="Q47" s="131" t="s">
        <v>39</v>
      </c>
      <c r="R47" s="132">
        <v>42945.1</v>
      </c>
      <c r="S47" s="132">
        <v>36909.62</v>
      </c>
      <c r="T47" s="132">
        <v>26878.33</v>
      </c>
      <c r="U47" s="131" t="s">
        <v>39</v>
      </c>
      <c r="V47" s="132">
        <v>18509.54</v>
      </c>
      <c r="W47" s="132">
        <v>13530.53</v>
      </c>
      <c r="X47" s="132">
        <v>11646.27</v>
      </c>
      <c r="Y47" s="131" t="s">
        <v>39</v>
      </c>
      <c r="Z47" s="132">
        <v>41222.93</v>
      </c>
      <c r="AA47" s="132">
        <v>-4505.89</v>
      </c>
      <c r="AB47" s="132">
        <v>6254.86</v>
      </c>
      <c r="AC47" s="132">
        <v>25995.65</v>
      </c>
      <c r="AD47" s="131" t="s">
        <v>39</v>
      </c>
      <c r="AE47" s="132">
        <v>109059.39</v>
      </c>
      <c r="AF47" s="132">
        <v>37649.94</v>
      </c>
      <c r="AG47" s="131" t="s">
        <v>39</v>
      </c>
      <c r="AH47" s="132">
        <v>19860.53</v>
      </c>
      <c r="AI47" s="131" t="s">
        <v>39</v>
      </c>
      <c r="AJ47" s="132">
        <v>17406.86</v>
      </c>
      <c r="AK47" s="131" t="s">
        <v>39</v>
      </c>
      <c r="AL47" s="132">
        <v>6576.51</v>
      </c>
      <c r="AM47" s="132">
        <v>137762.48</v>
      </c>
      <c r="AN47" s="132">
        <v>6627.32</v>
      </c>
      <c r="AO47" s="132">
        <v>16450.0</v>
      </c>
      <c r="AP47" s="132">
        <v>-1149609.44</v>
      </c>
      <c r="AQ47" s="132">
        <v>246516.22</v>
      </c>
      <c r="AR47" s="123"/>
      <c r="AS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7"/>
      <c r="AR48" s="116"/>
      <c r="AS48" s="1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0.75"/>
    <col customWidth="1" min="3" max="3" width="9.0"/>
    <col customWidth="1" min="4" max="4" width="7.88"/>
    <col customWidth="1" min="5" max="5" width="7.38"/>
    <col customWidth="1" min="6" max="6" width="10.0"/>
    <col customWidth="1" min="7" max="7" width="8.5"/>
    <col customWidth="1" min="8" max="8" width="16.0"/>
    <col customWidth="1" min="9" max="9" width="10.13"/>
    <col customWidth="1" min="10" max="10" width="12.88"/>
    <col customWidth="1" min="11" max="11" width="8.25"/>
    <col customWidth="1" min="12" max="12" width="10.13"/>
    <col customWidth="1" min="13" max="13" width="13.0"/>
    <col customWidth="1" min="14" max="14" width="8.38"/>
    <col customWidth="1" min="15" max="15" width="16.0"/>
    <col customWidth="1" min="16" max="16" width="10.5"/>
    <col customWidth="1" min="17" max="18" width="11.13"/>
    <col customWidth="1" min="19" max="19" width="10.13"/>
    <col customWidth="1" min="20" max="21" width="10.5"/>
  </cols>
  <sheetData>
    <row r="1" ht="15.75" customHeight="1"/>
    <row r="2" ht="15.75" customHeight="1"/>
    <row r="3" ht="15.75" customHeight="1"/>
    <row r="4" ht="15.75" customHeight="1">
      <c r="A4" s="160"/>
    </row>
    <row r="5" ht="15.75" customHeigh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/>
    <row r="8" ht="15.75" customHeight="1"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15.75" customHeight="1"/>
    <row r="10" ht="15.75" customHeight="1"/>
    <row r="11" ht="15.75" customHeight="1"/>
    <row r="12" ht="15.75" customHeight="1"/>
    <row r="13" ht="15.75" customHeight="1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15.75" customHeight="1"/>
    <row r="15" ht="15.7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15.7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15.7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15.7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15.75" customHeight="1">
      <c r="B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15.75" customHeight="1"/>
    <row r="31" ht="15.75" customHeight="1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A4" s="160"/>
    </row>
    <row r="5" ht="15.75" customHeigh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/>
    <row r="8" ht="15.75" customHeight="1"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15.75" customHeight="1"/>
    <row r="10" ht="15.75" customHeight="1"/>
    <row r="11" ht="15.75" customHeight="1"/>
    <row r="12" ht="15.75" customHeight="1"/>
    <row r="13" ht="15.75" customHeight="1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15.75" customHeight="1"/>
    <row r="15" ht="15.7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15.7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15.7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15.7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15.75" customHeight="1">
      <c r="B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15.75" customHeight="1"/>
    <row r="31" ht="15.75" customHeight="1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A4" s="160"/>
    </row>
    <row r="5" ht="15.75" customHeigh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/>
    <row r="8" ht="15.75" customHeight="1"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15.75" customHeight="1"/>
    <row r="10" ht="15.75" customHeight="1"/>
    <row r="11" ht="15.75" customHeight="1"/>
    <row r="12" ht="15.75" customHeight="1"/>
    <row r="13" ht="15.75" customHeight="1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15.75" customHeight="1"/>
    <row r="15" ht="15.7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15.7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15.7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15.7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15.75" customHeight="1">
      <c r="B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15.75" customHeight="1"/>
    <row r="31" ht="15.75" customHeight="1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A4" s="160"/>
    </row>
    <row r="5" ht="15.75" customHeigh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/>
    <row r="8" ht="15.75" customHeight="1"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15.75" customHeight="1"/>
    <row r="10" ht="15.75" customHeight="1"/>
    <row r="11" ht="15.75" customHeight="1"/>
    <row r="12" ht="15.75" customHeight="1"/>
    <row r="13" ht="15.75" customHeight="1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15.75" customHeight="1"/>
    <row r="15" ht="15.7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15.7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15.7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15.7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15.75" customHeight="1">
      <c r="B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15.75" customHeight="1"/>
    <row r="31" ht="15.75" customHeight="1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A4" s="160"/>
    </row>
    <row r="5" ht="15.75" customHeigh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/>
    <row r="8" ht="15.75" customHeight="1"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15.75" customHeight="1"/>
    <row r="10" ht="15.75" customHeight="1"/>
    <row r="11" ht="15.75" customHeight="1"/>
    <row r="12" ht="15.75" customHeight="1"/>
    <row r="13" ht="15.75" customHeight="1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15.75" customHeight="1"/>
    <row r="15" ht="15.7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15.7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15.7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15.7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15.75" customHeight="1">
      <c r="B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15.75" customHeight="1"/>
    <row r="31" ht="15.75" customHeight="1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1.38"/>
    <col customWidth="1" min="3" max="3" width="16.75"/>
    <col customWidth="1" min="4" max="4" width="9.75"/>
    <col customWidth="1" min="5" max="5" width="10.25"/>
    <col customWidth="1" min="6" max="9" width="9.88"/>
    <col customWidth="1" min="10" max="10" width="9.75"/>
    <col customWidth="1" min="11" max="11" width="5.13"/>
    <col customWidth="1" min="12" max="12" width="6.13"/>
    <col customWidth="1" min="13" max="13" width="9.5"/>
    <col customWidth="1" min="14" max="14" width="6.88"/>
    <col customWidth="1" min="15" max="15" width="9.0"/>
    <col customWidth="1" min="16" max="16" width="8.5"/>
    <col customWidth="1" min="17" max="17" width="10.25"/>
    <col customWidth="1" min="18" max="18" width="17.63"/>
    <col customWidth="1" min="19" max="19" width="11.13"/>
    <col customWidth="1" min="20" max="20" width="14.0"/>
    <col customWidth="1" min="21" max="21" width="9.5"/>
    <col customWidth="1" min="22" max="22" width="22.25"/>
    <col customWidth="1" min="23" max="23" width="12.0"/>
    <col customWidth="1" min="24" max="24" width="17.75"/>
    <col customWidth="1" min="25" max="25" width="17.13"/>
    <col customWidth="1" min="26" max="26" width="10.5"/>
    <col customWidth="1" min="27" max="27" width="13.13"/>
    <col customWidth="1" min="28" max="28" width="15.0"/>
    <col customWidth="1" min="29" max="29" width="17.63"/>
    <col customWidth="1" min="30" max="30" width="10.88"/>
    <col customWidth="1" min="31" max="31" width="12.88"/>
    <col customWidth="1" min="32" max="32" width="15.5"/>
    <col customWidth="1" min="33" max="33" width="12.0"/>
    <col customWidth="1" min="34" max="34" width="18.38"/>
    <col customWidth="1" min="35" max="35" width="16.88"/>
    <col customWidth="1" min="36" max="36" width="11.63"/>
    <col customWidth="1" min="37" max="37" width="19.63"/>
  </cols>
  <sheetData>
    <row r="1" ht="15.75" customHeight="1">
      <c r="A1" s="161" t="str">
        <f>IFERROR(__xludf.DUMMYFUNCTION("IMPORTRANGE(Config!C5,Config!D5)"),"#REF!")</f>
        <v>#REF!</v>
      </c>
      <c r="B1" s="161"/>
      <c r="C1" s="161"/>
      <c r="D1" s="161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</row>
    <row r="2" ht="15.75" customHeight="1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</row>
    <row r="3" ht="15.75" customHeight="1">
      <c r="A3" s="161"/>
      <c r="B3" s="161"/>
      <c r="C3" s="161"/>
      <c r="D3" s="161"/>
      <c r="E3" s="162"/>
      <c r="F3" s="162"/>
      <c r="G3" s="162"/>
      <c r="H3" s="163"/>
      <c r="I3" s="163"/>
      <c r="J3" s="161"/>
      <c r="K3" s="161"/>
      <c r="L3" s="161"/>
      <c r="M3" s="161"/>
      <c r="N3" s="161"/>
      <c r="O3" s="161"/>
      <c r="P3" s="161"/>
      <c r="Q3" s="162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</row>
    <row r="4" ht="15.75" customHeight="1">
      <c r="A4" s="161"/>
      <c r="B4" s="161"/>
      <c r="C4" s="161"/>
      <c r="D4" s="161"/>
      <c r="E4" s="162"/>
      <c r="F4" s="162"/>
      <c r="G4" s="162"/>
      <c r="H4" s="163"/>
      <c r="I4" s="163"/>
      <c r="J4" s="161"/>
      <c r="K4" s="161"/>
      <c r="L4" s="161"/>
      <c r="M4" s="161"/>
      <c r="N4" s="161"/>
      <c r="O4" s="161"/>
      <c r="P4" s="161"/>
      <c r="Q4" s="162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</row>
    <row r="5" ht="15.75" customHeight="1">
      <c r="A5" s="161"/>
      <c r="B5" s="161"/>
      <c r="C5" s="161"/>
      <c r="D5" s="161"/>
      <c r="E5" s="162"/>
      <c r="F5" s="162"/>
      <c r="G5" s="162"/>
      <c r="H5" s="163"/>
      <c r="I5" s="163"/>
      <c r="J5" s="161"/>
      <c r="K5" s="161"/>
      <c r="L5" s="161"/>
      <c r="M5" s="161"/>
      <c r="N5" s="161"/>
      <c r="O5" s="161"/>
      <c r="P5" s="161"/>
      <c r="Q5" s="162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4"/>
      <c r="AE5" s="161"/>
      <c r="AF5" s="161"/>
      <c r="AG5" s="161"/>
      <c r="AH5" s="161"/>
      <c r="AI5" s="161"/>
      <c r="AJ5" s="161"/>
      <c r="AK5" s="161"/>
    </row>
    <row r="6" ht="15.75" customHeight="1">
      <c r="A6" s="161"/>
      <c r="B6" s="161"/>
      <c r="C6" s="161"/>
      <c r="D6" s="161"/>
      <c r="E6" s="162"/>
      <c r="F6" s="162"/>
      <c r="G6" s="162"/>
      <c r="H6" s="163"/>
      <c r="I6" s="163"/>
      <c r="J6" s="161"/>
      <c r="K6" s="161"/>
      <c r="L6" s="161"/>
      <c r="M6" s="161"/>
      <c r="N6" s="161"/>
      <c r="O6" s="161"/>
      <c r="P6" s="161"/>
      <c r="Q6" s="162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4"/>
      <c r="AH6" s="161"/>
      <c r="AI6" s="161"/>
      <c r="AJ6" s="161"/>
      <c r="AK6" s="161"/>
    </row>
    <row r="7" ht="15.75" customHeight="1">
      <c r="A7" s="161"/>
      <c r="B7" s="161"/>
      <c r="C7" s="161"/>
      <c r="D7" s="161"/>
      <c r="E7" s="162"/>
      <c r="F7" s="162"/>
      <c r="G7" s="162"/>
      <c r="H7" s="163"/>
      <c r="I7" s="163"/>
      <c r="J7" s="161"/>
      <c r="K7" s="161"/>
      <c r="L7" s="161"/>
      <c r="M7" s="161"/>
      <c r="N7" s="161"/>
      <c r="O7" s="161"/>
      <c r="P7" s="161"/>
      <c r="Q7" s="162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</row>
    <row r="8" ht="15.75" customHeight="1">
      <c r="A8" s="161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2"/>
      <c r="R8" s="165"/>
      <c r="S8" s="161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1"/>
      <c r="AG8" s="165"/>
      <c r="AH8" s="165"/>
      <c r="AI8" s="165"/>
      <c r="AJ8" s="165"/>
      <c r="AK8" s="161"/>
    </row>
    <row r="9" ht="15.75" customHeight="1">
      <c r="A9" s="161"/>
      <c r="B9" s="161"/>
      <c r="C9" s="161"/>
      <c r="D9" s="161"/>
      <c r="E9" s="162"/>
      <c r="F9" s="162"/>
      <c r="G9" s="162"/>
      <c r="H9" s="163"/>
      <c r="I9" s="163"/>
      <c r="J9" s="161"/>
      <c r="K9" s="161"/>
      <c r="L9" s="161"/>
      <c r="M9" s="161"/>
      <c r="N9" s="161"/>
      <c r="O9" s="161"/>
      <c r="P9" s="161"/>
      <c r="Q9" s="162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</row>
    <row r="10" ht="15.75" customHeight="1">
      <c r="A10" s="161"/>
      <c r="B10" s="161"/>
      <c r="C10" s="161"/>
      <c r="D10" s="161"/>
      <c r="E10" s="162"/>
      <c r="F10" s="162"/>
      <c r="G10" s="162"/>
      <c r="H10" s="163"/>
      <c r="I10" s="163"/>
      <c r="J10" s="161"/>
      <c r="K10" s="161"/>
      <c r="L10" s="161"/>
      <c r="M10" s="161"/>
      <c r="N10" s="161"/>
      <c r="O10" s="161"/>
      <c r="P10" s="161"/>
      <c r="Q10" s="162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</row>
    <row r="11" ht="15.75" customHeight="1">
      <c r="A11" s="161"/>
      <c r="B11" s="161"/>
      <c r="C11" s="161"/>
      <c r="D11" s="161"/>
      <c r="E11" s="162"/>
      <c r="F11" s="162"/>
      <c r="G11" s="162"/>
      <c r="H11" s="161"/>
      <c r="I11" s="161"/>
      <c r="J11" s="161"/>
      <c r="K11" s="161"/>
      <c r="L11" s="161"/>
      <c r="M11" s="161"/>
      <c r="N11" s="161"/>
      <c r="O11" s="161"/>
      <c r="P11" s="161"/>
      <c r="Q11" s="162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</row>
    <row r="12" ht="15.75" customHeight="1">
      <c r="A12" s="161"/>
      <c r="B12" s="161"/>
      <c r="C12" s="161"/>
      <c r="D12" s="161"/>
      <c r="E12" s="162"/>
      <c r="F12" s="162"/>
      <c r="G12" s="162"/>
      <c r="H12" s="163"/>
      <c r="I12" s="163"/>
      <c r="J12" s="161"/>
      <c r="K12" s="161"/>
      <c r="L12" s="161"/>
      <c r="M12" s="161"/>
      <c r="N12" s="161"/>
      <c r="O12" s="161"/>
      <c r="P12" s="161"/>
      <c r="Q12" s="162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</row>
    <row r="13" ht="15.75" customHeight="1">
      <c r="A13" s="161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2"/>
      <c r="R13" s="165"/>
      <c r="S13" s="161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1"/>
      <c r="AG13" s="165"/>
      <c r="AH13" s="165"/>
      <c r="AI13" s="165"/>
      <c r="AJ13" s="165"/>
      <c r="AK13" s="161"/>
    </row>
    <row r="14" ht="15.75" customHeight="1">
      <c r="A14" s="161"/>
      <c r="B14" s="161"/>
      <c r="C14" s="161"/>
      <c r="D14" s="161"/>
      <c r="E14" s="162"/>
      <c r="F14" s="162"/>
      <c r="G14" s="162"/>
      <c r="H14" s="161"/>
      <c r="I14" s="163"/>
      <c r="J14" s="161"/>
      <c r="K14" s="161"/>
      <c r="L14" s="161"/>
      <c r="M14" s="161"/>
      <c r="N14" s="161"/>
      <c r="O14" s="161"/>
      <c r="P14" s="161"/>
      <c r="Q14" s="162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</row>
    <row r="15" ht="15.75" customHeight="1">
      <c r="A15" s="161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2"/>
      <c r="R15" s="165"/>
      <c r="S15" s="161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1"/>
      <c r="AG15" s="165"/>
      <c r="AH15" s="165"/>
      <c r="AI15" s="165"/>
      <c r="AJ15" s="165"/>
      <c r="AK15" s="161"/>
    </row>
    <row r="16" ht="15.75" customHeight="1">
      <c r="A16" s="161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1"/>
      <c r="M16" s="165"/>
      <c r="N16" s="165"/>
      <c r="O16" s="165"/>
      <c r="P16" s="165"/>
      <c r="Q16" s="162"/>
      <c r="R16" s="165"/>
      <c r="S16" s="161"/>
      <c r="T16" s="165"/>
      <c r="U16" s="165"/>
      <c r="V16" s="165"/>
      <c r="W16" s="165"/>
      <c r="X16" s="161"/>
      <c r="Y16" s="165"/>
      <c r="Z16" s="165"/>
      <c r="AA16" s="165"/>
      <c r="AB16" s="165"/>
      <c r="AC16" s="165"/>
      <c r="AD16" s="165"/>
      <c r="AE16" s="165"/>
      <c r="AF16" s="161"/>
      <c r="AG16" s="161"/>
      <c r="AH16" s="165"/>
      <c r="AI16" s="165"/>
      <c r="AJ16" s="161"/>
      <c r="AK16" s="161"/>
    </row>
    <row r="17" ht="15.75" customHeight="1">
      <c r="A17" s="161"/>
      <c r="B17" s="165"/>
      <c r="C17" s="165"/>
      <c r="D17" s="165"/>
      <c r="E17" s="165"/>
      <c r="F17" s="165"/>
      <c r="G17" s="165"/>
      <c r="H17" s="165"/>
      <c r="I17" s="163"/>
      <c r="J17" s="165"/>
      <c r="K17" s="165"/>
      <c r="L17" s="161"/>
      <c r="M17" s="165"/>
      <c r="N17" s="165"/>
      <c r="O17" s="165"/>
      <c r="P17" s="165"/>
      <c r="Q17" s="162"/>
      <c r="R17" s="161"/>
      <c r="S17" s="161"/>
      <c r="T17" s="161"/>
      <c r="U17" s="165"/>
      <c r="V17" s="161"/>
      <c r="W17" s="165"/>
      <c r="X17" s="161"/>
      <c r="Y17" s="165"/>
      <c r="Z17" s="165"/>
      <c r="AA17" s="165"/>
      <c r="AB17" s="165"/>
      <c r="AC17" s="165"/>
      <c r="AD17" s="165"/>
      <c r="AE17" s="165"/>
      <c r="AF17" s="161"/>
      <c r="AG17" s="161"/>
      <c r="AH17" s="165"/>
      <c r="AI17" s="165"/>
      <c r="AJ17" s="161"/>
      <c r="AK17" s="161"/>
    </row>
    <row r="18" ht="15.75" customHeight="1">
      <c r="A18" s="161"/>
      <c r="B18" s="165"/>
      <c r="C18" s="165"/>
      <c r="D18" s="165"/>
      <c r="E18" s="165"/>
      <c r="F18" s="165"/>
      <c r="G18" s="162"/>
      <c r="H18" s="165"/>
      <c r="I18" s="163"/>
      <c r="J18" s="165"/>
      <c r="K18" s="165"/>
      <c r="L18" s="161"/>
      <c r="M18" s="165"/>
      <c r="N18" s="165"/>
      <c r="O18" s="161"/>
      <c r="P18" s="165"/>
      <c r="Q18" s="162"/>
      <c r="R18" s="161"/>
      <c r="S18" s="161"/>
      <c r="T18" s="161"/>
      <c r="U18" s="165"/>
      <c r="V18" s="161"/>
      <c r="W18" s="165"/>
      <c r="X18" s="161"/>
      <c r="Y18" s="165"/>
      <c r="Z18" s="165"/>
      <c r="AA18" s="165"/>
      <c r="AB18" s="165"/>
      <c r="AC18" s="161"/>
      <c r="AD18" s="165"/>
      <c r="AE18" s="161"/>
      <c r="AF18" s="161"/>
      <c r="AG18" s="161"/>
      <c r="AH18" s="165"/>
      <c r="AI18" s="161"/>
      <c r="AJ18" s="161"/>
      <c r="AK18" s="161"/>
    </row>
    <row r="19" ht="15.75" customHeight="1">
      <c r="A19" s="161"/>
      <c r="B19" s="165"/>
      <c r="C19" s="165"/>
      <c r="D19" s="165"/>
      <c r="E19" s="165"/>
      <c r="F19" s="165"/>
      <c r="G19" s="165"/>
      <c r="H19" s="165"/>
      <c r="I19" s="163"/>
      <c r="J19" s="165"/>
      <c r="K19" s="161"/>
      <c r="L19" s="161"/>
      <c r="M19" s="165"/>
      <c r="N19" s="165"/>
      <c r="O19" s="161"/>
      <c r="P19" s="161"/>
      <c r="Q19" s="162"/>
      <c r="R19" s="161"/>
      <c r="S19" s="161"/>
      <c r="T19" s="161"/>
      <c r="U19" s="165"/>
      <c r="V19" s="161"/>
      <c r="W19" s="165"/>
      <c r="X19" s="161"/>
      <c r="Y19" s="165"/>
      <c r="Z19" s="165"/>
      <c r="AA19" s="161"/>
      <c r="AB19" s="165"/>
      <c r="AC19" s="161"/>
      <c r="AD19" s="161"/>
      <c r="AE19" s="161"/>
      <c r="AF19" s="161"/>
      <c r="AG19" s="161"/>
      <c r="AH19" s="161"/>
      <c r="AI19" s="161"/>
      <c r="AJ19" s="161"/>
      <c r="AK19" s="161"/>
    </row>
    <row r="20" ht="15.75" customHeight="1">
      <c r="A20" s="161"/>
      <c r="B20" s="161"/>
      <c r="C20" s="161"/>
      <c r="D20" s="161"/>
      <c r="E20" s="162"/>
      <c r="F20" s="162"/>
      <c r="G20" s="162"/>
      <c r="H20" s="161"/>
      <c r="I20" s="161"/>
      <c r="J20" s="161"/>
      <c r="K20" s="161"/>
      <c r="L20" s="161"/>
      <c r="M20" s="161"/>
      <c r="N20" s="161"/>
      <c r="O20" s="161"/>
      <c r="P20" s="161"/>
      <c r="Q20" s="162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</row>
    <row r="21" ht="15.75" customHeight="1">
      <c r="A21" s="161"/>
      <c r="B21" s="161"/>
      <c r="C21" s="161"/>
      <c r="D21" s="161"/>
      <c r="E21" s="162"/>
      <c r="F21" s="162"/>
      <c r="G21" s="162"/>
      <c r="H21" s="163"/>
      <c r="I21" s="163"/>
      <c r="J21" s="161"/>
      <c r="K21" s="161"/>
      <c r="L21" s="161"/>
      <c r="M21" s="161"/>
      <c r="N21" s="161"/>
      <c r="O21" s="161"/>
      <c r="P21" s="161"/>
      <c r="Q21" s="162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</row>
    <row r="22" ht="15.75" customHeight="1">
      <c r="A22" s="161"/>
      <c r="B22" s="161"/>
      <c r="C22" s="161"/>
      <c r="D22" s="161"/>
      <c r="E22" s="162"/>
      <c r="F22" s="162"/>
      <c r="G22" s="162"/>
      <c r="H22" s="161"/>
      <c r="I22" s="161"/>
      <c r="J22" s="161"/>
      <c r="K22" s="161"/>
      <c r="L22" s="161"/>
      <c r="M22" s="161"/>
      <c r="N22" s="161"/>
      <c r="O22" s="161"/>
      <c r="P22" s="161"/>
      <c r="Q22" s="162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</row>
    <row r="23" ht="15.75" customHeight="1">
      <c r="A23" s="161"/>
      <c r="B23" s="161"/>
      <c r="C23" s="161"/>
      <c r="D23" s="161"/>
      <c r="E23" s="162"/>
      <c r="F23" s="162"/>
      <c r="G23" s="162"/>
      <c r="H23" s="163"/>
      <c r="I23" s="163"/>
      <c r="J23" s="161"/>
      <c r="K23" s="161"/>
      <c r="L23" s="161"/>
      <c r="M23" s="161"/>
      <c r="N23" s="161"/>
      <c r="O23" s="161"/>
      <c r="P23" s="161"/>
      <c r="Q23" s="162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</row>
    <row r="24" ht="15.75" customHeight="1">
      <c r="A24" s="161"/>
      <c r="B24" s="161"/>
      <c r="C24" s="161"/>
      <c r="D24" s="161"/>
      <c r="E24" s="162"/>
      <c r="F24" s="162"/>
      <c r="G24" s="162"/>
      <c r="H24" s="161"/>
      <c r="I24" s="161"/>
      <c r="J24" s="161"/>
      <c r="K24" s="161"/>
      <c r="L24" s="161"/>
      <c r="M24" s="161"/>
      <c r="N24" s="161"/>
      <c r="O24" s="161"/>
      <c r="P24" s="161"/>
      <c r="Q24" s="162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</row>
    <row r="25" ht="15.75" customHeight="1">
      <c r="A25" s="161"/>
      <c r="B25" s="161"/>
      <c r="C25" s="161"/>
      <c r="D25" s="161"/>
      <c r="E25" s="162"/>
      <c r="F25" s="162"/>
      <c r="G25" s="162"/>
      <c r="H25" s="163"/>
      <c r="I25" s="163"/>
      <c r="J25" s="161"/>
      <c r="K25" s="161"/>
      <c r="L25" s="161"/>
      <c r="M25" s="161"/>
      <c r="N25" s="161"/>
      <c r="O25" s="161"/>
      <c r="P25" s="161"/>
      <c r="Q25" s="162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</row>
    <row r="26" ht="15.75" customHeight="1">
      <c r="A26" s="161"/>
      <c r="B26" s="161"/>
      <c r="C26" s="161"/>
      <c r="D26" s="161"/>
      <c r="E26" s="162"/>
      <c r="F26" s="162"/>
      <c r="G26" s="162"/>
      <c r="H26" s="163"/>
      <c r="I26" s="163"/>
      <c r="J26" s="161"/>
      <c r="K26" s="161"/>
      <c r="L26" s="161"/>
      <c r="M26" s="161"/>
      <c r="N26" s="161"/>
      <c r="O26" s="161"/>
      <c r="P26" s="161"/>
      <c r="Q26" s="162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</row>
    <row r="27" ht="15.75" customHeight="1">
      <c r="A27" s="161"/>
      <c r="B27" s="161"/>
      <c r="C27" s="161"/>
      <c r="D27" s="161"/>
      <c r="E27" s="162"/>
      <c r="F27" s="162"/>
      <c r="G27" s="162"/>
      <c r="H27" s="161"/>
      <c r="I27" s="161"/>
      <c r="J27" s="161"/>
      <c r="K27" s="161"/>
      <c r="L27" s="161"/>
      <c r="M27" s="161"/>
      <c r="N27" s="161"/>
      <c r="O27" s="161"/>
      <c r="P27" s="161"/>
      <c r="Q27" s="162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</row>
    <row r="28" ht="15.75" customHeight="1">
      <c r="A28" s="161"/>
      <c r="B28" s="161"/>
      <c r="C28" s="161"/>
      <c r="D28" s="161"/>
      <c r="E28" s="162"/>
      <c r="F28" s="162"/>
      <c r="G28" s="162"/>
      <c r="H28" s="163"/>
      <c r="I28" s="163"/>
      <c r="J28" s="161"/>
      <c r="K28" s="161"/>
      <c r="L28" s="161"/>
      <c r="M28" s="161"/>
      <c r="N28" s="161"/>
      <c r="O28" s="161"/>
      <c r="P28" s="161"/>
      <c r="Q28" s="162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</row>
    <row r="29" ht="15.75" customHeight="1">
      <c r="A29" s="161"/>
      <c r="B29" s="161"/>
      <c r="C29" s="161"/>
      <c r="D29" s="161"/>
      <c r="E29" s="162"/>
      <c r="F29" s="162"/>
      <c r="G29" s="162"/>
      <c r="H29" s="163"/>
      <c r="I29" s="163"/>
      <c r="J29" s="161"/>
      <c r="K29" s="161"/>
      <c r="L29" s="161"/>
      <c r="M29" s="161"/>
      <c r="N29" s="161"/>
      <c r="O29" s="161"/>
      <c r="P29" s="161"/>
      <c r="Q29" s="162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</row>
    <row r="30" ht="15.75" customHeight="1">
      <c r="A30" s="161"/>
      <c r="B30" s="161"/>
      <c r="C30" s="161"/>
      <c r="D30" s="161"/>
      <c r="E30" s="162"/>
      <c r="F30" s="162"/>
      <c r="G30" s="162"/>
      <c r="H30" s="163"/>
      <c r="I30" s="163"/>
      <c r="J30" s="161"/>
      <c r="K30" s="161"/>
      <c r="L30" s="161"/>
      <c r="M30" s="161"/>
      <c r="N30" s="161"/>
      <c r="O30" s="161"/>
      <c r="P30" s="161"/>
      <c r="Q30" s="162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</row>
    <row r="31" ht="15.75" customHeight="1">
      <c r="A31" s="161"/>
      <c r="B31" s="161"/>
      <c r="C31" s="161"/>
      <c r="D31" s="161"/>
      <c r="E31" s="162"/>
      <c r="F31" s="162"/>
      <c r="G31" s="162"/>
      <c r="H31" s="161"/>
      <c r="I31" s="161"/>
      <c r="J31" s="161"/>
      <c r="K31" s="161"/>
      <c r="L31" s="161"/>
      <c r="M31" s="161"/>
      <c r="N31" s="161"/>
      <c r="O31" s="161"/>
      <c r="P31" s="161"/>
      <c r="Q31" s="162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</row>
    <row r="32" ht="15.75" customHeight="1">
      <c r="A32" s="161"/>
      <c r="B32" s="161"/>
      <c r="C32" s="161"/>
      <c r="D32" s="161"/>
      <c r="E32" s="162"/>
      <c r="F32" s="162"/>
      <c r="G32" s="162"/>
      <c r="H32" s="163"/>
      <c r="I32" s="161"/>
      <c r="J32" s="161"/>
      <c r="K32" s="161"/>
      <c r="L32" s="161"/>
      <c r="M32" s="161"/>
      <c r="N32" s="161"/>
      <c r="O32" s="161"/>
      <c r="P32" s="161"/>
      <c r="Q32" s="162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</row>
    <row r="33" ht="15.75" customHeight="1">
      <c r="A33" s="161"/>
      <c r="B33" s="161"/>
      <c r="C33" s="161"/>
      <c r="D33" s="161"/>
      <c r="E33" s="162"/>
      <c r="F33" s="162"/>
      <c r="G33" s="162"/>
      <c r="H33" s="163"/>
      <c r="I33" s="163"/>
      <c r="J33" s="161"/>
      <c r="K33" s="161"/>
      <c r="L33" s="161"/>
      <c r="M33" s="161"/>
      <c r="N33" s="161"/>
      <c r="O33" s="161"/>
      <c r="P33" s="161"/>
      <c r="Q33" s="162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</row>
    <row r="34" ht="15.75" customHeight="1">
      <c r="A34" s="161"/>
      <c r="B34" s="161"/>
      <c r="C34" s="161"/>
      <c r="D34" s="161"/>
      <c r="E34" s="162"/>
      <c r="F34" s="162"/>
      <c r="G34" s="165"/>
      <c r="H34" s="161"/>
      <c r="I34" s="163"/>
      <c r="J34" s="161"/>
      <c r="K34" s="161"/>
      <c r="L34" s="161"/>
      <c r="M34" s="161"/>
      <c r="N34" s="161"/>
      <c r="O34" s="161"/>
      <c r="P34" s="161"/>
      <c r="Q34" s="162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</row>
    <row r="35" ht="15.75" customHeight="1">
      <c r="A35" s="161"/>
      <c r="B35" s="161"/>
      <c r="C35" s="161"/>
      <c r="D35" s="161"/>
      <c r="E35" s="162"/>
      <c r="F35" s="162"/>
      <c r="G35" s="162"/>
      <c r="H35" s="163"/>
      <c r="I35" s="163"/>
      <c r="J35" s="161"/>
      <c r="K35" s="161"/>
      <c r="L35" s="161"/>
      <c r="M35" s="161"/>
      <c r="N35" s="161"/>
      <c r="O35" s="161"/>
      <c r="P35" s="161"/>
      <c r="Q35" s="162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</row>
    <row r="36" ht="15.75" customHeight="1">
      <c r="A36" s="161"/>
      <c r="B36" s="161"/>
      <c r="C36" s="161"/>
      <c r="D36" s="161"/>
      <c r="E36" s="162"/>
      <c r="F36" s="162"/>
      <c r="G36" s="162"/>
      <c r="H36" s="161"/>
      <c r="I36" s="163"/>
      <c r="J36" s="161"/>
      <c r="K36" s="161"/>
      <c r="L36" s="161"/>
      <c r="M36" s="161"/>
      <c r="N36" s="161"/>
      <c r="O36" s="161"/>
      <c r="P36" s="161"/>
      <c r="Q36" s="162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</row>
    <row r="37" ht="15.75" customHeight="1">
      <c r="A37" s="161"/>
      <c r="B37" s="161"/>
      <c r="C37" s="161"/>
      <c r="D37" s="161"/>
      <c r="E37" s="162"/>
      <c r="F37" s="162"/>
      <c r="G37" s="162"/>
      <c r="H37" s="161"/>
      <c r="I37" s="161"/>
      <c r="J37" s="161"/>
      <c r="K37" s="161"/>
      <c r="L37" s="161"/>
      <c r="M37" s="161"/>
      <c r="N37" s="161"/>
      <c r="O37" s="161"/>
      <c r="P37" s="161"/>
      <c r="Q37" s="162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</row>
    <row r="38" ht="15.75" customHeight="1">
      <c r="A38" s="161"/>
      <c r="B38" s="161"/>
      <c r="C38" s="161"/>
      <c r="D38" s="161"/>
      <c r="E38" s="162"/>
      <c r="F38" s="162"/>
      <c r="G38" s="162"/>
      <c r="H38" s="163"/>
      <c r="I38" s="163"/>
      <c r="J38" s="161"/>
      <c r="K38" s="161"/>
      <c r="L38" s="161"/>
      <c r="M38" s="161"/>
      <c r="N38" s="161"/>
      <c r="O38" s="161"/>
      <c r="P38" s="161"/>
      <c r="Q38" s="162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</row>
    <row r="39" ht="15.75" customHeight="1">
      <c r="A39" s="161"/>
      <c r="B39" s="161"/>
      <c r="C39" s="161"/>
      <c r="D39" s="161"/>
      <c r="E39" s="162"/>
      <c r="F39" s="162"/>
      <c r="G39" s="162"/>
      <c r="H39" s="162"/>
      <c r="I39" s="163"/>
      <c r="J39" s="162"/>
      <c r="K39" s="161"/>
      <c r="L39" s="161"/>
      <c r="M39" s="161"/>
      <c r="N39" s="161"/>
      <c r="O39" s="161"/>
      <c r="P39" s="161"/>
      <c r="Q39" s="162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</row>
    <row r="40" ht="15.75" customHeight="1">
      <c r="A40" s="161"/>
      <c r="B40" s="161"/>
      <c r="C40" s="161"/>
      <c r="D40" s="161"/>
      <c r="E40" s="162"/>
      <c r="F40" s="162"/>
      <c r="G40" s="162"/>
      <c r="H40" s="162"/>
      <c r="I40" s="161"/>
      <c r="J40" s="162"/>
      <c r="K40" s="161"/>
      <c r="L40" s="161"/>
      <c r="M40" s="161"/>
      <c r="N40" s="161"/>
      <c r="O40" s="161"/>
      <c r="P40" s="161"/>
      <c r="Q40" s="162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</row>
    <row r="41" ht="15.7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</row>
    <row r="42" ht="15.75" customHeight="1">
      <c r="A42" s="161"/>
      <c r="B42" s="161"/>
      <c r="C42" s="161"/>
      <c r="D42" s="161"/>
      <c r="E42" s="162"/>
      <c r="F42" s="162"/>
      <c r="G42" s="165"/>
      <c r="H42" s="162"/>
      <c r="I42" s="163"/>
      <c r="J42" s="161"/>
      <c r="K42" s="161"/>
      <c r="L42" s="161"/>
      <c r="M42" s="161"/>
      <c r="N42" s="161"/>
      <c r="O42" s="161"/>
      <c r="P42" s="161"/>
      <c r="Q42" s="162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</row>
    <row r="43" ht="15.75" customHeight="1">
      <c r="A43" s="161"/>
      <c r="B43" s="161"/>
      <c r="C43" s="161"/>
      <c r="D43" s="161"/>
      <c r="E43" s="162"/>
      <c r="F43" s="162"/>
      <c r="G43" s="162"/>
      <c r="H43" s="162"/>
      <c r="I43" s="163"/>
      <c r="J43" s="161"/>
      <c r="K43" s="161"/>
      <c r="L43" s="161"/>
      <c r="M43" s="161"/>
      <c r="N43" s="161"/>
      <c r="O43" s="161"/>
      <c r="P43" s="161"/>
      <c r="Q43" s="162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</row>
    <row r="44" ht="15.75" customHeight="1">
      <c r="A44" s="16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2"/>
      <c r="R44" s="165"/>
      <c r="S44" s="161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1"/>
      <c r="AG44" s="165"/>
      <c r="AH44" s="165"/>
      <c r="AI44" s="165"/>
      <c r="AJ44" s="165"/>
      <c r="AK44" s="161"/>
    </row>
    <row r="45" ht="15.75" customHeight="1">
      <c r="A45" s="161"/>
      <c r="B45" s="161"/>
      <c r="C45" s="161"/>
      <c r="D45" s="161"/>
      <c r="E45" s="162"/>
      <c r="F45" s="162"/>
      <c r="G45" s="162"/>
      <c r="H45" s="162"/>
      <c r="I45" s="163"/>
      <c r="J45" s="161"/>
      <c r="K45" s="161"/>
      <c r="L45" s="161"/>
      <c r="M45" s="161"/>
      <c r="N45" s="161"/>
      <c r="O45" s="161"/>
      <c r="P45" s="161"/>
      <c r="Q45" s="162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</row>
    <row r="46" ht="15.75" customHeight="1">
      <c r="A46" s="16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2"/>
      <c r="R46" s="165"/>
      <c r="S46" s="161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1"/>
      <c r="AG46" s="165"/>
      <c r="AH46" s="165"/>
      <c r="AI46" s="165"/>
      <c r="AJ46" s="165"/>
      <c r="AK46" s="161"/>
    </row>
    <row r="47" ht="15.75" customHeight="1">
      <c r="A47" s="161"/>
      <c r="B47" s="161"/>
      <c r="C47" s="161"/>
      <c r="D47" s="161"/>
      <c r="E47" s="162"/>
      <c r="F47" s="162"/>
      <c r="G47" s="162"/>
      <c r="H47" s="162"/>
      <c r="I47" s="162"/>
      <c r="J47" s="161"/>
      <c r="K47" s="161"/>
      <c r="L47" s="161"/>
      <c r="M47" s="161"/>
      <c r="N47" s="161"/>
      <c r="O47" s="161"/>
      <c r="P47" s="161"/>
      <c r="Q47" s="162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</row>
    <row r="48" ht="15.75" customHeight="1">
      <c r="A48" s="161"/>
      <c r="B48" s="161"/>
      <c r="C48" s="161"/>
      <c r="D48" s="162"/>
      <c r="E48" s="162"/>
      <c r="F48" s="162"/>
      <c r="G48" s="162"/>
      <c r="H48" s="162"/>
      <c r="I48" s="162"/>
      <c r="J48" s="161"/>
      <c r="K48" s="161"/>
      <c r="L48" s="161"/>
      <c r="M48" s="161"/>
      <c r="N48" s="161"/>
      <c r="O48" s="161"/>
      <c r="P48" s="161"/>
      <c r="Q48" s="162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</row>
    <row r="49" ht="15.75" customHeight="1">
      <c r="A49" s="161"/>
      <c r="B49" s="161"/>
      <c r="C49" s="161"/>
      <c r="D49" s="161"/>
      <c r="E49" s="162"/>
      <c r="F49" s="162"/>
      <c r="G49" s="162"/>
      <c r="H49" s="162"/>
      <c r="I49" s="162"/>
      <c r="J49" s="161"/>
      <c r="K49" s="161"/>
      <c r="L49" s="161"/>
      <c r="M49" s="161"/>
      <c r="N49" s="161"/>
      <c r="O49" s="161"/>
      <c r="P49" s="161"/>
      <c r="Q49" s="162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</row>
    <row r="50" ht="15.75" customHeight="1">
      <c r="A50" s="161"/>
      <c r="B50" s="161"/>
      <c r="C50" s="161"/>
      <c r="D50" s="161"/>
      <c r="E50" s="162"/>
      <c r="F50" s="162"/>
      <c r="G50" s="162"/>
      <c r="H50" s="162"/>
      <c r="I50" s="161"/>
      <c r="J50" s="161"/>
      <c r="K50" s="161"/>
      <c r="L50" s="161"/>
      <c r="M50" s="161"/>
      <c r="N50" s="161"/>
      <c r="O50" s="161"/>
      <c r="P50" s="161"/>
      <c r="Q50" s="162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</row>
    <row r="51" ht="15.7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2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</row>
    <row r="52" ht="15.7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2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</row>
    <row r="53" ht="15.7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2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</row>
    <row r="54" ht="15.7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2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</row>
    <row r="55" ht="15.7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2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</row>
    <row r="56" ht="15.75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2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</row>
    <row r="57" ht="15.75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2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</row>
    <row r="58" ht="15.7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2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</row>
    <row r="59" ht="15.7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2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</row>
    <row r="60" ht="15.7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2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</row>
    <row r="61" ht="15.7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2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</row>
    <row r="62" ht="15.7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2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</row>
    <row r="63" ht="15.7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2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</row>
    <row r="64" ht="15.7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2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</row>
    <row r="65" ht="15.7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2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</row>
    <row r="66" ht="15.7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2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</row>
    <row r="67" ht="15.7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2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</row>
    <row r="68" ht="15.75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2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</row>
    <row r="69" ht="15.75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2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</row>
    <row r="70" ht="15.7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2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</row>
    <row r="71" ht="15.75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2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</row>
    <row r="72" ht="15.75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2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</row>
    <row r="73" ht="15.7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2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</row>
    <row r="74" ht="15.7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2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</row>
    <row r="75" ht="15.75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2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</row>
    <row r="76" ht="15.75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2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</row>
    <row r="77" ht="15.75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2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</row>
    <row r="78" ht="15.75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2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</row>
    <row r="79" ht="15.75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2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</row>
    <row r="80" ht="15.7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2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</row>
    <row r="81" ht="15.7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2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</row>
    <row r="82" ht="15.7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2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</row>
    <row r="83" ht="15.7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2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</row>
    <row r="84" ht="15.7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2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</row>
    <row r="85" ht="15.7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2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</row>
    <row r="86" ht="15.7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2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</row>
    <row r="87" ht="15.7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2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</row>
    <row r="88" ht="15.75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2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</row>
    <row r="89" ht="15.75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2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</row>
    <row r="90" ht="15.7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2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</row>
    <row r="91" ht="15.75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2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</row>
    <row r="92" ht="15.75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2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</row>
    <row r="93" ht="15.75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2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</row>
    <row r="94" ht="15.75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2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</row>
    <row r="95" ht="15.75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2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</row>
    <row r="96" ht="15.75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2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</row>
    <row r="97" ht="15.75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2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</row>
    <row r="98" ht="15.75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2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</row>
    <row r="99" ht="15.75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2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</row>
    <row r="100" ht="15.75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2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</row>
    <row r="101" ht="15.75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2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</row>
    <row r="102" ht="15.75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2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</row>
    <row r="103" ht="15.75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2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</row>
    <row r="104" ht="15.75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2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</row>
    <row r="105" ht="15.7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2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</row>
    <row r="106" ht="15.7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2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</row>
    <row r="107" ht="15.7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2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</row>
    <row r="108" ht="15.7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2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</row>
    <row r="109" ht="15.7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2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</row>
    <row r="110" ht="15.7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2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</row>
    <row r="111" ht="15.7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2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</row>
    <row r="112" ht="15.7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2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</row>
    <row r="113" ht="15.7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2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</row>
    <row r="114" ht="15.7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2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</row>
    <row r="115" ht="15.7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2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</row>
    <row r="116" ht="15.7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2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</row>
    <row r="117" ht="15.7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2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</row>
    <row r="118" ht="15.7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2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</row>
    <row r="119" ht="15.7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2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</row>
    <row r="120" ht="15.7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2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</row>
    <row r="121" ht="15.7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2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</row>
    <row r="122" ht="15.7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2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</row>
    <row r="123" ht="15.7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2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</row>
    <row r="124" ht="15.7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2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</row>
    <row r="125" ht="15.7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2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</row>
    <row r="126" ht="15.7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2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</row>
    <row r="127" ht="15.7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2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</row>
    <row r="128" ht="15.7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2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</row>
    <row r="129" ht="15.7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2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</row>
    <row r="130" ht="15.7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2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</row>
    <row r="131" ht="15.7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2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</row>
    <row r="132" ht="15.7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2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</row>
    <row r="133" ht="15.7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2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</row>
    <row r="134" ht="15.7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2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</row>
    <row r="135" ht="15.7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2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</row>
    <row r="136" ht="15.7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2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</row>
    <row r="137" ht="15.7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2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</row>
    <row r="138" ht="15.7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2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</row>
    <row r="139" ht="15.7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2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</row>
    <row r="140" ht="15.7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2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</row>
    <row r="141" ht="15.7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2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</row>
    <row r="142" ht="15.7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2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</row>
    <row r="143" ht="15.7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2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</row>
    <row r="144" ht="15.7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2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</row>
    <row r="145" ht="15.7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2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</row>
    <row r="146" ht="15.7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2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</row>
    <row r="147" ht="15.7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2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</row>
    <row r="148" ht="15.7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2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</row>
    <row r="149" ht="15.7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2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</row>
    <row r="150" ht="15.7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2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</row>
    <row r="151" ht="15.7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2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</row>
    <row r="152" ht="15.7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2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</row>
    <row r="153" ht="15.7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2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</row>
    <row r="154" ht="15.7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2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</row>
    <row r="155" ht="15.7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2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</row>
    <row r="156" ht="15.7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2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</row>
    <row r="157" ht="15.7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2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</row>
    <row r="158" ht="15.7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2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</row>
    <row r="159" ht="15.7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2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</row>
    <row r="160" ht="15.7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2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</row>
    <row r="161" ht="15.7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2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</row>
    <row r="162" ht="15.7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2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</row>
    <row r="163" ht="15.7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2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</row>
    <row r="164" ht="15.7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2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</row>
    <row r="165" ht="15.7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2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</row>
    <row r="166" ht="15.7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2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</row>
    <row r="167" ht="15.7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2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</row>
    <row r="168" ht="15.7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2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</row>
    <row r="169" ht="15.7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2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</row>
    <row r="170" ht="15.7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2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</row>
    <row r="171" ht="15.7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2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</row>
    <row r="172" ht="15.7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2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</row>
    <row r="173" ht="15.7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2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</row>
    <row r="174" ht="15.7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2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</row>
    <row r="175" ht="15.7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2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</row>
    <row r="176" ht="15.7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2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</row>
    <row r="177" ht="15.7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2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</row>
    <row r="178" ht="15.7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2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</row>
    <row r="179" ht="15.7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2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</row>
    <row r="180" ht="15.7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2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</row>
    <row r="181" ht="15.7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2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</row>
    <row r="182" ht="15.7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2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</row>
    <row r="183" ht="15.7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2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</row>
    <row r="184" ht="15.7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2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</row>
    <row r="185" ht="15.7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2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</row>
    <row r="186" ht="15.7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2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</row>
    <row r="187" ht="15.7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2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</row>
    <row r="188" ht="15.7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2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</row>
    <row r="189" ht="15.7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2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</row>
    <row r="190" ht="15.7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2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</row>
    <row r="191" ht="15.7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2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</row>
    <row r="192" ht="15.7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2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</row>
    <row r="193" ht="15.7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2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</row>
    <row r="194" ht="15.7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2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</row>
    <row r="195" ht="15.7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2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</row>
    <row r="196" ht="15.7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2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</row>
    <row r="197" ht="15.7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2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</row>
    <row r="198" ht="15.7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2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</row>
    <row r="199" ht="15.7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2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</row>
    <row r="200" ht="15.7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2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</row>
    <row r="201" ht="15.7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2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</row>
    <row r="202" ht="15.7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2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</row>
    <row r="203" ht="15.7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2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</row>
    <row r="204" ht="15.7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2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</row>
    <row r="205" ht="15.7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2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</row>
    <row r="206" ht="15.7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2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</row>
    <row r="207" ht="15.7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2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</row>
    <row r="208" ht="15.7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2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</row>
    <row r="209" ht="15.7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2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</row>
    <row r="210" ht="15.7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2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</row>
    <row r="211" ht="15.7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2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</row>
    <row r="212" ht="15.7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2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</row>
    <row r="213" ht="15.7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2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</row>
    <row r="214" ht="15.7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2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</row>
    <row r="215" ht="15.7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2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</row>
    <row r="216" ht="15.7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2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</row>
    <row r="217" ht="15.7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2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</row>
    <row r="218" ht="15.7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2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</row>
    <row r="219" ht="15.7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2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</row>
    <row r="220" ht="15.7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2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</row>
    <row r="221" ht="15.7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2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</row>
    <row r="222" ht="15.7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2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</row>
    <row r="223" ht="15.7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2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</row>
    <row r="224" ht="15.7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2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</row>
    <row r="225" ht="15.7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2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</row>
    <row r="226" ht="15.7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2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</row>
    <row r="227" ht="15.7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2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</row>
    <row r="228" ht="15.7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2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</row>
    <row r="229" ht="15.7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2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</row>
    <row r="230" ht="15.7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2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</row>
    <row r="231" ht="15.7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2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</row>
    <row r="232" ht="15.7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2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</row>
    <row r="233" ht="15.7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2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</row>
    <row r="234" ht="15.7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2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</row>
    <row r="235" ht="15.7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2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</row>
    <row r="236" ht="15.7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2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</row>
    <row r="237" ht="15.7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</row>
    <row r="238" ht="15.7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</row>
    <row r="239" ht="15.7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</row>
    <row r="240" ht="15.7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</row>
    <row r="241" ht="15.7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</row>
    <row r="242" ht="15.75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</row>
    <row r="243" ht="15.75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</row>
    <row r="244" ht="15.7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</row>
    <row r="245" ht="15.7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</row>
    <row r="246" ht="15.7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</row>
    <row r="247" ht="15.7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</row>
    <row r="248" ht="15.7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</row>
    <row r="249" ht="15.7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</row>
    <row r="250" ht="15.7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</row>
    <row r="251" ht="15.7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</row>
    <row r="252" ht="15.7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</row>
    <row r="253" ht="15.7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</row>
    <row r="254" ht="15.7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</row>
    <row r="255" ht="15.7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</row>
    <row r="256" ht="15.7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</row>
    <row r="257" ht="15.7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</row>
    <row r="258" ht="15.7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</row>
    <row r="259" ht="15.7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</row>
    <row r="260" ht="15.7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</row>
    <row r="261" ht="15.7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</row>
    <row r="262" ht="15.7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</row>
    <row r="263" ht="15.7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</row>
    <row r="264" ht="15.7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</row>
    <row r="265" ht="15.7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</row>
    <row r="266" ht="15.7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</row>
    <row r="267" ht="15.7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</row>
    <row r="268" ht="15.7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</row>
    <row r="269" ht="15.7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</row>
    <row r="270" ht="15.7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</row>
    <row r="271" ht="15.7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</row>
    <row r="272" ht="15.7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</row>
    <row r="273" ht="15.7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</row>
    <row r="274" ht="15.7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</row>
    <row r="275" ht="15.7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</row>
    <row r="276" ht="15.7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</row>
    <row r="277" ht="15.7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</row>
    <row r="278" ht="15.7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</row>
    <row r="279" ht="15.7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</row>
    <row r="280" ht="15.7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</row>
    <row r="281" ht="15.7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</row>
    <row r="282" ht="15.7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</row>
    <row r="283" ht="15.7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</row>
    <row r="284" ht="15.7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</row>
    <row r="285" ht="15.7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</row>
    <row r="286" ht="15.7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</row>
    <row r="287" ht="15.7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</row>
    <row r="288" ht="15.7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</row>
    <row r="289" ht="15.7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</row>
    <row r="290" ht="15.7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</row>
    <row r="291" ht="15.7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</row>
    <row r="292" ht="15.7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</row>
    <row r="293" ht="15.7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</row>
    <row r="294" ht="15.7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</row>
    <row r="295" ht="15.7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</row>
    <row r="296" ht="15.7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</row>
    <row r="297" ht="15.7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</row>
    <row r="298" ht="15.7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</row>
    <row r="299" ht="15.7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</row>
    <row r="300" ht="15.7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</row>
    <row r="301" ht="15.7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</row>
    <row r="302" ht="15.7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</row>
    <row r="303" ht="15.7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</row>
    <row r="304" ht="15.7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</row>
    <row r="305" ht="15.7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</row>
    <row r="306" ht="15.7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</row>
    <row r="307" ht="15.7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</row>
    <row r="308" ht="15.7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</row>
    <row r="309" ht="15.7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</row>
    <row r="310" ht="15.7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</row>
    <row r="311" ht="15.7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</row>
    <row r="312" ht="15.7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</row>
    <row r="313" ht="15.7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</row>
    <row r="314" ht="15.7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</row>
    <row r="315" ht="15.7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</row>
    <row r="316" ht="15.7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</row>
    <row r="317" ht="15.7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</row>
    <row r="318" ht="15.7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</row>
    <row r="319" ht="15.7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</row>
    <row r="320" ht="15.7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</row>
    <row r="321" ht="15.7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</row>
    <row r="322" ht="15.7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</row>
    <row r="323" ht="15.7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</row>
    <row r="324" ht="15.7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</row>
    <row r="325" ht="15.7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</row>
    <row r="326" ht="15.7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</row>
    <row r="327" ht="15.7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</row>
    <row r="328" ht="15.7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</row>
    <row r="329" ht="15.7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</row>
    <row r="330" ht="15.7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</row>
    <row r="331" ht="15.7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</row>
    <row r="332" ht="15.7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</row>
    <row r="333" ht="15.7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</row>
    <row r="334" ht="15.7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</row>
    <row r="335" ht="15.7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</row>
    <row r="336" ht="15.7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</row>
    <row r="337" ht="15.7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</row>
    <row r="338" ht="15.7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</row>
    <row r="339" ht="15.7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</row>
    <row r="340" ht="15.7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</row>
    <row r="341" ht="15.7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</row>
    <row r="342" ht="15.7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</row>
    <row r="343" ht="15.7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</row>
    <row r="344" ht="15.7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</row>
    <row r="345" ht="15.7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</row>
    <row r="346" ht="15.7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</row>
    <row r="347" ht="15.7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</row>
    <row r="348" ht="15.7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</row>
    <row r="349" ht="15.7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</row>
    <row r="350" ht="15.7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</row>
    <row r="351" ht="15.7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</row>
    <row r="352" ht="15.7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</row>
    <row r="353" ht="15.7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</row>
    <row r="354" ht="15.7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</row>
    <row r="355" ht="15.7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</row>
    <row r="356" ht="15.7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</row>
    <row r="357" ht="15.7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</row>
    <row r="358" ht="15.7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</row>
    <row r="359" ht="15.7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</row>
    <row r="360" ht="15.7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</row>
    <row r="361" ht="15.7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</row>
    <row r="362" ht="15.7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</row>
    <row r="363" ht="15.7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</row>
    <row r="364" ht="15.7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</row>
    <row r="365" ht="15.7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</row>
    <row r="366" ht="15.7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</row>
    <row r="367" ht="15.7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</row>
    <row r="368" ht="15.7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</row>
    <row r="369" ht="15.7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</row>
    <row r="370" ht="15.7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</row>
    <row r="371" ht="15.7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</row>
    <row r="372" ht="15.7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</row>
    <row r="373" ht="15.7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</row>
    <row r="374" ht="15.7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</row>
    <row r="375" ht="15.7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</row>
    <row r="376" ht="15.7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</row>
    <row r="377" ht="15.7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</row>
    <row r="378" ht="15.7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</row>
    <row r="379" ht="15.7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</row>
    <row r="380" ht="15.7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</row>
    <row r="381" ht="15.7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</row>
    <row r="382" ht="15.7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</row>
    <row r="383" ht="15.7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</row>
    <row r="384" ht="15.7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</row>
    <row r="385" ht="15.7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</row>
    <row r="386" ht="15.7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</row>
    <row r="387" ht="15.7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</row>
    <row r="388" ht="15.7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</row>
    <row r="389" ht="15.7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</row>
    <row r="390" ht="15.7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</row>
    <row r="391" ht="15.7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</row>
    <row r="392" ht="15.7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</row>
    <row r="393" ht="15.7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</row>
    <row r="394" ht="15.7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</row>
    <row r="395" ht="15.7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</row>
    <row r="396" ht="15.7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</row>
    <row r="397" ht="15.7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</row>
    <row r="398" ht="15.7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</row>
    <row r="399" ht="15.7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</row>
    <row r="400" ht="15.7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</row>
    <row r="401" ht="15.7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</row>
    <row r="402" ht="15.7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</row>
    <row r="403" ht="15.7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</row>
    <row r="404" ht="15.7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</row>
    <row r="405" ht="15.7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</row>
    <row r="406" ht="15.7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</row>
    <row r="407" ht="15.7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</row>
    <row r="408" ht="15.7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</row>
    <row r="409" ht="15.7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</row>
    <row r="410" ht="15.7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</row>
    <row r="411" ht="15.7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</row>
    <row r="412" ht="15.7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</row>
    <row r="413" ht="15.7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</row>
    <row r="414" ht="15.7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</row>
    <row r="415" ht="15.7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</row>
    <row r="416" ht="15.7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</row>
    <row r="417" ht="15.7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</row>
    <row r="418" ht="15.7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</row>
    <row r="419" ht="15.7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</row>
    <row r="420" ht="15.7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</row>
    <row r="421" ht="15.7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</row>
    <row r="422" ht="15.7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</row>
    <row r="423" ht="15.7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</row>
    <row r="424" ht="15.7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</row>
    <row r="425" ht="15.7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</row>
    <row r="426" ht="15.7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</row>
    <row r="427" ht="15.7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</row>
    <row r="428" ht="15.7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</row>
    <row r="429" ht="15.7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</row>
    <row r="430" ht="15.7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</row>
    <row r="431" ht="15.7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</row>
    <row r="432" ht="15.7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</row>
    <row r="433" ht="15.7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</row>
    <row r="434" ht="15.7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</row>
    <row r="435" ht="15.7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</row>
    <row r="436" ht="15.7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2.0"/>
    <col customWidth="1" min="3" max="3" width="44.38"/>
    <col customWidth="1" min="4" max="4" width="16.25"/>
    <col customWidth="1" min="5" max="5" width="11.5"/>
    <col customWidth="1" min="6" max="6" width="13.0"/>
    <col customWidth="1" min="7" max="8" width="25.5"/>
    <col customWidth="1" min="9" max="9" width="20.25"/>
    <col customWidth="1" min="10" max="10" width="5.38"/>
    <col customWidth="1" min="11" max="11" width="28.25"/>
  </cols>
  <sheetData>
    <row r="1" ht="15.75" customHeight="1">
      <c r="A1" s="166" t="s">
        <v>120</v>
      </c>
      <c r="B1" s="166" t="s">
        <v>121</v>
      </c>
      <c r="C1" s="166" t="s">
        <v>122</v>
      </c>
      <c r="D1" s="166" t="s">
        <v>123</v>
      </c>
      <c r="F1" s="166" t="s">
        <v>124</v>
      </c>
      <c r="G1" s="120" t="str">
        <f>VLOOKUP(Mensual!A1,$F$2:$I$13,2)</f>
        <v>#N/A</v>
      </c>
      <c r="H1" s="120" t="str">
        <f>VLOOKUP(Mensual!A1,$F$2:$I$13,3)</f>
        <v>#N/A</v>
      </c>
      <c r="I1" s="120" t="str">
        <f>VLOOKUP(Mensual!A1,$F$2:$I$13,4)</f>
        <v>#N/A</v>
      </c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</row>
    <row r="2" ht="15.75" customHeight="1">
      <c r="A2" s="6" t="s">
        <v>125</v>
      </c>
      <c r="B2" s="6" t="s">
        <v>126</v>
      </c>
      <c r="C2" s="167" t="s">
        <v>127</v>
      </c>
      <c r="D2" s="6" t="s">
        <v>128</v>
      </c>
      <c r="F2" s="6" t="s">
        <v>24</v>
      </c>
      <c r="G2" s="6" t="s">
        <v>129</v>
      </c>
      <c r="H2" s="6" t="s">
        <v>130</v>
      </c>
      <c r="I2" s="6" t="s">
        <v>131</v>
      </c>
      <c r="J2" s="6" t="s">
        <v>132</v>
      </c>
    </row>
    <row r="3" ht="15.75" customHeight="1">
      <c r="A3" s="6" t="s">
        <v>133</v>
      </c>
      <c r="B3" s="6" t="s">
        <v>126</v>
      </c>
      <c r="C3" s="167" t="s">
        <v>127</v>
      </c>
      <c r="D3" s="6" t="s">
        <v>134</v>
      </c>
      <c r="F3" s="6" t="s">
        <v>25</v>
      </c>
      <c r="G3" s="6" t="s">
        <v>135</v>
      </c>
      <c r="H3" s="6" t="s">
        <v>136</v>
      </c>
      <c r="I3" s="6" t="s">
        <v>137</v>
      </c>
      <c r="J3" s="6" t="s">
        <v>138</v>
      </c>
    </row>
    <row r="4" ht="15.75" customHeight="1">
      <c r="C4" s="167"/>
      <c r="F4" s="6" t="s">
        <v>139</v>
      </c>
      <c r="G4" s="6" t="s">
        <v>140</v>
      </c>
      <c r="H4" s="6" t="s">
        <v>141</v>
      </c>
      <c r="I4" s="6" t="s">
        <v>142</v>
      </c>
      <c r="J4" s="6" t="s">
        <v>143</v>
      </c>
    </row>
    <row r="5" ht="15.75" customHeight="1">
      <c r="A5" s="6" t="s">
        <v>144</v>
      </c>
      <c r="B5" s="6" t="s">
        <v>145</v>
      </c>
      <c r="C5" s="167" t="s">
        <v>146</v>
      </c>
      <c r="D5" s="6" t="s">
        <v>147</v>
      </c>
      <c r="F5" s="6" t="s">
        <v>148</v>
      </c>
      <c r="G5" s="6" t="s">
        <v>149</v>
      </c>
      <c r="H5" s="6" t="s">
        <v>150</v>
      </c>
      <c r="I5" s="6" t="s">
        <v>151</v>
      </c>
      <c r="J5" s="6" t="s">
        <v>152</v>
      </c>
    </row>
    <row r="6" ht="15.75" customHeight="1">
      <c r="A6" s="168"/>
      <c r="C6" s="167"/>
      <c r="F6" s="6" t="s">
        <v>153</v>
      </c>
      <c r="G6" s="6" t="s">
        <v>154</v>
      </c>
      <c r="H6" s="6" t="s">
        <v>155</v>
      </c>
      <c r="I6" s="6" t="s">
        <v>156</v>
      </c>
      <c r="J6" s="6" t="s">
        <v>157</v>
      </c>
    </row>
    <row r="7" ht="15.75" customHeight="1">
      <c r="A7" s="168"/>
      <c r="C7" s="167"/>
      <c r="F7" s="6" t="s">
        <v>158</v>
      </c>
      <c r="G7" s="6" t="s">
        <v>159</v>
      </c>
      <c r="H7" s="6" t="s">
        <v>160</v>
      </c>
      <c r="I7" s="6" t="s">
        <v>161</v>
      </c>
      <c r="J7" s="6" t="s">
        <v>162</v>
      </c>
    </row>
    <row r="8" ht="15.75" customHeight="1">
      <c r="A8" s="168"/>
      <c r="C8" s="167"/>
      <c r="F8" s="6" t="s">
        <v>22</v>
      </c>
      <c r="G8" s="6" t="s">
        <v>163</v>
      </c>
      <c r="H8" s="6" t="s">
        <v>164</v>
      </c>
      <c r="I8" s="6" t="s">
        <v>165</v>
      </c>
      <c r="J8" s="6" t="s">
        <v>166</v>
      </c>
    </row>
    <row r="9" ht="15.75" customHeight="1">
      <c r="A9" s="168"/>
      <c r="C9" s="167"/>
      <c r="F9" s="6" t="s">
        <v>167</v>
      </c>
      <c r="G9" s="6" t="s">
        <v>168</v>
      </c>
      <c r="H9" s="6" t="s">
        <v>169</v>
      </c>
      <c r="I9" s="6" t="s">
        <v>170</v>
      </c>
      <c r="J9" s="6" t="s">
        <v>171</v>
      </c>
    </row>
    <row r="10" ht="15.75" customHeight="1">
      <c r="A10" s="168"/>
      <c r="C10" s="167"/>
      <c r="F10" s="6" t="s">
        <v>172</v>
      </c>
      <c r="G10" s="6" t="s">
        <v>173</v>
      </c>
      <c r="H10" s="6" t="s">
        <v>174</v>
      </c>
      <c r="I10" s="6" t="s">
        <v>175</v>
      </c>
      <c r="J10" s="6" t="s">
        <v>176</v>
      </c>
    </row>
    <row r="11" ht="15.75" customHeight="1">
      <c r="A11" s="168"/>
      <c r="C11" s="167"/>
      <c r="F11" s="6" t="s">
        <v>177</v>
      </c>
      <c r="G11" s="6" t="s">
        <v>178</v>
      </c>
      <c r="H11" s="6" t="s">
        <v>179</v>
      </c>
      <c r="I11" s="6" t="s">
        <v>180</v>
      </c>
      <c r="J11" s="6" t="s">
        <v>181</v>
      </c>
    </row>
    <row r="12" ht="15.75" customHeight="1">
      <c r="A12" s="168"/>
      <c r="C12" s="167"/>
      <c r="F12" s="6" t="s">
        <v>182</v>
      </c>
      <c r="G12" s="6" t="s">
        <v>183</v>
      </c>
      <c r="H12" s="6" t="s">
        <v>184</v>
      </c>
      <c r="I12" s="6" t="s">
        <v>185</v>
      </c>
      <c r="J12" s="6" t="s">
        <v>186</v>
      </c>
    </row>
    <row r="13" ht="15.75" customHeight="1">
      <c r="A13" s="168"/>
      <c r="C13" s="167"/>
      <c r="F13" s="6" t="s">
        <v>187</v>
      </c>
      <c r="G13" s="6" t="s">
        <v>188</v>
      </c>
      <c r="H13" s="6" t="s">
        <v>189</v>
      </c>
      <c r="I13" s="6" t="s">
        <v>190</v>
      </c>
      <c r="J13" s="6" t="s">
        <v>191</v>
      </c>
    </row>
    <row r="14" ht="15.75" customHeight="1">
      <c r="A14" s="168"/>
      <c r="C14" s="167"/>
    </row>
    <row r="15" ht="15.75" customHeight="1">
      <c r="A15" s="168"/>
      <c r="C15" s="167"/>
      <c r="F15" s="6" t="s">
        <v>192</v>
      </c>
      <c r="G15" s="120" t="s">
        <v>193</v>
      </c>
      <c r="H15" s="120" t="s">
        <v>193</v>
      </c>
      <c r="I15" s="120" t="s">
        <v>194</v>
      </c>
    </row>
    <row r="16" ht="15.75" customHeight="1">
      <c r="A16" s="168"/>
      <c r="C16" s="167"/>
    </row>
    <row r="17" ht="15.75" customHeight="1">
      <c r="C17" s="167"/>
      <c r="G17" s="168"/>
      <c r="H17" s="168"/>
      <c r="I17" s="168"/>
    </row>
    <row r="18" ht="15.75" customHeight="1">
      <c r="G18" s="168"/>
      <c r="H18" s="168"/>
      <c r="I18" s="168"/>
    </row>
    <row r="19" ht="15.75" customHeight="1">
      <c r="C19" s="167"/>
      <c r="G19" s="168"/>
      <c r="H19" s="168"/>
      <c r="I19" s="168"/>
    </row>
    <row r="20" ht="15.75" customHeight="1">
      <c r="C20" s="167"/>
      <c r="D20" s="6" t="s">
        <v>195</v>
      </c>
      <c r="E20" s="168" t="s">
        <v>196</v>
      </c>
      <c r="F20" s="168" t="s">
        <v>197</v>
      </c>
      <c r="G20" s="168" t="str">
        <f t="shared" ref="G20:I20" si="1">$J20&amp;D20</f>
        <v>EneR!$B$2:$AS$100</v>
      </c>
      <c r="H20" s="168" t="str">
        <f t="shared" si="1"/>
        <v>EneR!$A$2:$A$100</v>
      </c>
      <c r="I20" s="168" t="str">
        <f t="shared" si="1"/>
        <v>EneR!$B$6:$AS$6</v>
      </c>
      <c r="J20" s="6" t="s">
        <v>132</v>
      </c>
    </row>
    <row r="21" ht="15.75" customHeight="1">
      <c r="C21" s="167"/>
      <c r="D21" s="6" t="s">
        <v>195</v>
      </c>
      <c r="E21" s="168" t="s">
        <v>196</v>
      </c>
      <c r="F21" s="168" t="s">
        <v>197</v>
      </c>
      <c r="G21" s="168" t="str">
        <f t="shared" ref="G21:I21" si="2">$J21&amp;D21</f>
        <v>FebR!$B$2:$AS$100</v>
      </c>
      <c r="H21" s="168" t="str">
        <f t="shared" si="2"/>
        <v>FebR!$A$2:$A$100</v>
      </c>
      <c r="I21" s="168" t="str">
        <f t="shared" si="2"/>
        <v>FebR!$B$6:$AS$6</v>
      </c>
      <c r="J21" s="6" t="s">
        <v>138</v>
      </c>
    </row>
    <row r="22" ht="15.75" customHeight="1">
      <c r="C22" s="167"/>
      <c r="D22" s="6" t="s">
        <v>195</v>
      </c>
      <c r="E22" s="168" t="s">
        <v>196</v>
      </c>
      <c r="F22" s="168" t="s">
        <v>197</v>
      </c>
      <c r="G22" s="168" t="str">
        <f t="shared" ref="G22:I22" si="3">$J22&amp;D22</f>
        <v>MarR!$B$2:$AS$100</v>
      </c>
      <c r="H22" s="168" t="str">
        <f t="shared" si="3"/>
        <v>MarR!$A$2:$A$100</v>
      </c>
      <c r="I22" s="168" t="str">
        <f t="shared" si="3"/>
        <v>MarR!$B$6:$AS$6</v>
      </c>
      <c r="J22" s="6" t="s">
        <v>143</v>
      </c>
    </row>
    <row r="23" ht="15.75" customHeight="1">
      <c r="C23" s="167"/>
      <c r="D23" s="6" t="s">
        <v>195</v>
      </c>
      <c r="E23" s="168" t="s">
        <v>196</v>
      </c>
      <c r="F23" s="168" t="s">
        <v>197</v>
      </c>
      <c r="G23" s="168" t="str">
        <f t="shared" ref="G23:I23" si="4">$J23&amp;D23</f>
        <v>AbrR!$B$2:$AS$100</v>
      </c>
      <c r="H23" s="168" t="str">
        <f t="shared" si="4"/>
        <v>AbrR!$A$2:$A$100</v>
      </c>
      <c r="I23" s="168" t="str">
        <f t="shared" si="4"/>
        <v>AbrR!$B$6:$AS$6</v>
      </c>
      <c r="J23" s="6" t="s">
        <v>152</v>
      </c>
    </row>
    <row r="24" ht="15.75" customHeight="1">
      <c r="C24" s="167"/>
      <c r="D24" s="6" t="s">
        <v>195</v>
      </c>
      <c r="E24" s="168" t="s">
        <v>196</v>
      </c>
      <c r="F24" s="168" t="s">
        <v>197</v>
      </c>
      <c r="G24" s="168" t="str">
        <f t="shared" ref="G24:I24" si="5">$J24&amp;D24</f>
        <v>MayR!$B$2:$AS$100</v>
      </c>
      <c r="H24" s="168" t="str">
        <f t="shared" si="5"/>
        <v>MayR!$A$2:$A$100</v>
      </c>
      <c r="I24" s="168" t="str">
        <f t="shared" si="5"/>
        <v>MayR!$B$6:$AS$6</v>
      </c>
      <c r="J24" s="6" t="s">
        <v>157</v>
      </c>
    </row>
    <row r="25" ht="15.75" customHeight="1">
      <c r="C25" s="167"/>
      <c r="D25" s="6" t="s">
        <v>195</v>
      </c>
      <c r="E25" s="168" t="s">
        <v>196</v>
      </c>
      <c r="F25" s="168" t="s">
        <v>197</v>
      </c>
      <c r="G25" s="168" t="str">
        <f t="shared" ref="G25:I25" si="6">$J25&amp;D25</f>
        <v>JunR!$B$2:$AS$100</v>
      </c>
      <c r="H25" s="168" t="str">
        <f t="shared" si="6"/>
        <v>JunR!$A$2:$A$100</v>
      </c>
      <c r="I25" s="168" t="str">
        <f t="shared" si="6"/>
        <v>JunR!$B$6:$AS$6</v>
      </c>
      <c r="J25" s="6" t="s">
        <v>162</v>
      </c>
    </row>
    <row r="26" ht="15.75" customHeight="1">
      <c r="C26" s="167"/>
      <c r="D26" s="6" t="s">
        <v>195</v>
      </c>
      <c r="E26" s="168" t="s">
        <v>196</v>
      </c>
      <c r="F26" s="168" t="s">
        <v>197</v>
      </c>
      <c r="G26" s="168" t="str">
        <f t="shared" ref="G26:I26" si="7">$J26&amp;D26</f>
        <v>JulR!$B$2:$AS$100</v>
      </c>
      <c r="H26" s="168" t="str">
        <f t="shared" si="7"/>
        <v>JulR!$A$2:$A$100</v>
      </c>
      <c r="I26" s="168" t="str">
        <f t="shared" si="7"/>
        <v>JulR!$B$6:$AS$6</v>
      </c>
      <c r="J26" s="6" t="s">
        <v>166</v>
      </c>
    </row>
    <row r="27" ht="15.75" customHeight="1">
      <c r="C27" s="167"/>
      <c r="D27" s="6" t="s">
        <v>195</v>
      </c>
      <c r="E27" s="168" t="s">
        <v>196</v>
      </c>
      <c r="F27" s="168" t="s">
        <v>197</v>
      </c>
      <c r="G27" s="168" t="str">
        <f t="shared" ref="G27:I27" si="8">$J27&amp;D27</f>
        <v>AgoR!$B$2:$AS$100</v>
      </c>
      <c r="H27" s="168" t="str">
        <f t="shared" si="8"/>
        <v>AgoR!$A$2:$A$100</v>
      </c>
      <c r="I27" s="168" t="str">
        <f t="shared" si="8"/>
        <v>AgoR!$B$6:$AS$6</v>
      </c>
      <c r="J27" s="6" t="s">
        <v>171</v>
      </c>
    </row>
    <row r="28" ht="15.75" customHeight="1">
      <c r="C28" s="167"/>
      <c r="D28" s="6" t="s">
        <v>195</v>
      </c>
      <c r="E28" s="168" t="s">
        <v>196</v>
      </c>
      <c r="F28" s="168" t="s">
        <v>197</v>
      </c>
      <c r="G28" s="168" t="str">
        <f t="shared" ref="G28:I28" si="9">$J28&amp;D28</f>
        <v>SepR!$B$2:$AS$100</v>
      </c>
      <c r="H28" s="168" t="str">
        <f t="shared" si="9"/>
        <v>SepR!$A$2:$A$100</v>
      </c>
      <c r="I28" s="168" t="str">
        <f t="shared" si="9"/>
        <v>SepR!$B$6:$AS$6</v>
      </c>
      <c r="J28" s="6" t="s">
        <v>176</v>
      </c>
    </row>
    <row r="29" ht="15.75" customHeight="1">
      <c r="C29" s="167"/>
      <c r="D29" s="6" t="s">
        <v>195</v>
      </c>
      <c r="E29" s="168" t="s">
        <v>196</v>
      </c>
      <c r="F29" s="168" t="s">
        <v>197</v>
      </c>
      <c r="G29" s="168" t="str">
        <f t="shared" ref="G29:I29" si="10">$J29&amp;D29</f>
        <v>OctR!$B$2:$AS$100</v>
      </c>
      <c r="H29" s="168" t="str">
        <f t="shared" si="10"/>
        <v>OctR!$A$2:$A$100</v>
      </c>
      <c r="I29" s="168" t="str">
        <f t="shared" si="10"/>
        <v>OctR!$B$6:$AS$6</v>
      </c>
      <c r="J29" s="6" t="s">
        <v>181</v>
      </c>
    </row>
    <row r="30" ht="15.75" customHeight="1">
      <c r="C30" s="167"/>
      <c r="D30" s="6" t="s">
        <v>195</v>
      </c>
      <c r="E30" s="168" t="s">
        <v>196</v>
      </c>
      <c r="F30" s="168" t="s">
        <v>197</v>
      </c>
      <c r="G30" s="168" t="str">
        <f t="shared" ref="G30:I30" si="11">$J30&amp;D30</f>
        <v>NovR!$B$2:$AS$100</v>
      </c>
      <c r="H30" s="168" t="str">
        <f t="shared" si="11"/>
        <v>NovR!$A$2:$A$100</v>
      </c>
      <c r="I30" s="168" t="str">
        <f t="shared" si="11"/>
        <v>NovR!$B$6:$AS$6</v>
      </c>
      <c r="J30" s="6" t="s">
        <v>186</v>
      </c>
    </row>
    <row r="31" ht="15.75" customHeight="1">
      <c r="C31" s="167"/>
      <c r="D31" s="6" t="s">
        <v>195</v>
      </c>
      <c r="E31" s="168" t="s">
        <v>196</v>
      </c>
      <c r="F31" s="168" t="s">
        <v>197</v>
      </c>
      <c r="G31" s="168" t="str">
        <f t="shared" ref="G31:I31" si="12">$J31&amp;D31</f>
        <v>DicR!$B$2:$AS$100</v>
      </c>
      <c r="H31" s="168" t="str">
        <f t="shared" si="12"/>
        <v>DicR!$A$2:$A$100</v>
      </c>
      <c r="I31" s="168" t="str">
        <f t="shared" si="12"/>
        <v>DicR!$B$6:$AS$6</v>
      </c>
      <c r="J31" s="6" t="s">
        <v>191</v>
      </c>
    </row>
    <row r="32" ht="15.75" customHeight="1">
      <c r="C32" s="167"/>
    </row>
    <row r="33" ht="15.75" customHeight="1">
      <c r="C33" s="167"/>
      <c r="G33" s="6" t="s">
        <v>129</v>
      </c>
      <c r="H33" s="6" t="s">
        <v>130</v>
      </c>
      <c r="I33" s="6" t="s">
        <v>131</v>
      </c>
    </row>
    <row r="34" ht="15.75" customHeight="1">
      <c r="C34" s="167"/>
      <c r="G34" s="6" t="s">
        <v>135</v>
      </c>
      <c r="H34" s="6" t="s">
        <v>136</v>
      </c>
      <c r="I34" s="6" t="s">
        <v>137</v>
      </c>
    </row>
    <row r="35" ht="15.75" customHeight="1">
      <c r="C35" s="167"/>
      <c r="G35" s="6" t="s">
        <v>140</v>
      </c>
      <c r="H35" s="6" t="s">
        <v>141</v>
      </c>
      <c r="I35" s="6" t="s">
        <v>142</v>
      </c>
    </row>
    <row r="36" ht="15.75" customHeight="1">
      <c r="C36" s="167"/>
      <c r="G36" s="6" t="s">
        <v>149</v>
      </c>
      <c r="H36" s="6" t="s">
        <v>150</v>
      </c>
      <c r="I36" s="6" t="s">
        <v>151</v>
      </c>
    </row>
    <row r="37" ht="15.75" customHeight="1">
      <c r="C37" s="167"/>
      <c r="G37" s="6" t="s">
        <v>154</v>
      </c>
      <c r="H37" s="6" t="s">
        <v>155</v>
      </c>
      <c r="I37" s="6" t="s">
        <v>156</v>
      </c>
    </row>
    <row r="38" ht="15.75" customHeight="1">
      <c r="C38" s="167"/>
      <c r="G38" s="6" t="s">
        <v>159</v>
      </c>
      <c r="H38" s="6" t="s">
        <v>160</v>
      </c>
      <c r="I38" s="6" t="s">
        <v>161</v>
      </c>
    </row>
    <row r="39" ht="15.75" customHeight="1">
      <c r="C39" s="167"/>
      <c r="G39" s="6" t="s">
        <v>163</v>
      </c>
      <c r="H39" s="6" t="s">
        <v>164</v>
      </c>
      <c r="I39" s="6" t="s">
        <v>165</v>
      </c>
    </row>
    <row r="40" ht="15.75" customHeight="1">
      <c r="C40" s="167"/>
      <c r="G40" s="6" t="s">
        <v>168</v>
      </c>
      <c r="H40" s="6" t="s">
        <v>169</v>
      </c>
      <c r="I40" s="6" t="s">
        <v>170</v>
      </c>
    </row>
    <row r="41" ht="15.75" customHeight="1">
      <c r="C41" s="167"/>
      <c r="G41" s="6" t="s">
        <v>173</v>
      </c>
      <c r="H41" s="6" t="s">
        <v>174</v>
      </c>
      <c r="I41" s="6" t="s">
        <v>175</v>
      </c>
    </row>
    <row r="42" ht="15.75" customHeight="1">
      <c r="C42" s="167"/>
      <c r="G42" s="6" t="s">
        <v>178</v>
      </c>
      <c r="H42" s="6" t="s">
        <v>179</v>
      </c>
      <c r="I42" s="6" t="s">
        <v>180</v>
      </c>
    </row>
    <row r="43" ht="15.75" customHeight="1">
      <c r="C43" s="167"/>
      <c r="G43" s="6" t="s">
        <v>183</v>
      </c>
      <c r="H43" s="6" t="s">
        <v>184</v>
      </c>
      <c r="I43" s="6" t="s">
        <v>185</v>
      </c>
    </row>
    <row r="44" ht="15.75" customHeight="1">
      <c r="C44" s="167"/>
      <c r="G44" s="6" t="s">
        <v>188</v>
      </c>
      <c r="H44" s="6" t="s">
        <v>189</v>
      </c>
      <c r="I44" s="6" t="s">
        <v>190</v>
      </c>
    </row>
    <row r="45" ht="15.75" customHeight="1">
      <c r="C45" s="167"/>
    </row>
    <row r="46" ht="15.75" customHeight="1">
      <c r="C46" s="167"/>
    </row>
    <row r="47" ht="15.75" customHeight="1">
      <c r="C47" s="167"/>
      <c r="F47" s="6" t="s">
        <v>24</v>
      </c>
      <c r="G47" s="6" t="s">
        <v>198</v>
      </c>
      <c r="H47" s="6" t="s">
        <v>199</v>
      </c>
      <c r="I47" s="6" t="s">
        <v>2</v>
      </c>
    </row>
    <row r="48" ht="15.75" customHeight="1">
      <c r="C48" s="167"/>
      <c r="F48" s="6" t="s">
        <v>25</v>
      </c>
      <c r="G48" s="6" t="s">
        <v>200</v>
      </c>
      <c r="H48" s="6" t="s">
        <v>201</v>
      </c>
      <c r="I48" s="6" t="s">
        <v>3</v>
      </c>
    </row>
    <row r="49" ht="15.75" customHeight="1">
      <c r="C49" s="167"/>
      <c r="F49" s="6" t="s">
        <v>139</v>
      </c>
      <c r="G49" s="6" t="s">
        <v>202</v>
      </c>
      <c r="H49" s="6" t="s">
        <v>203</v>
      </c>
      <c r="I49" s="6" t="s">
        <v>4</v>
      </c>
    </row>
    <row r="50" ht="15.75" customHeight="1">
      <c r="C50" s="167"/>
      <c r="F50" s="6" t="s">
        <v>148</v>
      </c>
      <c r="G50" s="6" t="s">
        <v>204</v>
      </c>
      <c r="H50" s="6" t="s">
        <v>205</v>
      </c>
      <c r="I50" s="6" t="s">
        <v>5</v>
      </c>
    </row>
    <row r="51" ht="15.75" customHeight="1">
      <c r="C51" s="167"/>
      <c r="F51" s="6" t="s">
        <v>153</v>
      </c>
      <c r="G51" s="6" t="s">
        <v>206</v>
      </c>
      <c r="H51" s="6" t="s">
        <v>207</v>
      </c>
      <c r="I51" s="6" t="s">
        <v>6</v>
      </c>
    </row>
    <row r="52" ht="15.75" customHeight="1">
      <c r="C52" s="167"/>
      <c r="F52" s="6" t="s">
        <v>158</v>
      </c>
      <c r="G52" s="6" t="s">
        <v>208</v>
      </c>
      <c r="H52" s="6" t="s">
        <v>209</v>
      </c>
      <c r="I52" s="6" t="s">
        <v>7</v>
      </c>
    </row>
    <row r="53" ht="15.75" customHeight="1">
      <c r="C53" s="167"/>
      <c r="F53" s="6" t="s">
        <v>22</v>
      </c>
      <c r="G53" s="6" t="s">
        <v>210</v>
      </c>
      <c r="H53" s="6" t="s">
        <v>211</v>
      </c>
      <c r="I53" s="6" t="s">
        <v>212</v>
      </c>
    </row>
    <row r="54" ht="15.75" customHeight="1">
      <c r="C54" s="167"/>
      <c r="F54" s="6" t="s">
        <v>167</v>
      </c>
      <c r="G54" s="6" t="s">
        <v>213</v>
      </c>
      <c r="H54" s="6" t="s">
        <v>214</v>
      </c>
      <c r="I54" s="6" t="s">
        <v>9</v>
      </c>
    </row>
    <row r="55" ht="15.75" customHeight="1">
      <c r="C55" s="167"/>
      <c r="F55" s="6" t="s">
        <v>172</v>
      </c>
      <c r="G55" s="6" t="s">
        <v>215</v>
      </c>
      <c r="H55" s="6" t="s">
        <v>216</v>
      </c>
      <c r="I55" s="6" t="s">
        <v>10</v>
      </c>
    </row>
    <row r="56" ht="15.75" customHeight="1">
      <c r="C56" s="167"/>
      <c r="F56" s="6" t="s">
        <v>177</v>
      </c>
      <c r="G56" s="6" t="s">
        <v>217</v>
      </c>
      <c r="H56" s="6" t="s">
        <v>218</v>
      </c>
      <c r="I56" s="6" t="s">
        <v>11</v>
      </c>
    </row>
    <row r="57" ht="15.75" customHeight="1">
      <c r="C57" s="167"/>
      <c r="F57" s="6" t="s">
        <v>182</v>
      </c>
      <c r="G57" s="6" t="s">
        <v>219</v>
      </c>
      <c r="H57" s="6" t="s">
        <v>220</v>
      </c>
      <c r="I57" s="6" t="s">
        <v>12</v>
      </c>
    </row>
    <row r="58" ht="15.75" customHeight="1">
      <c r="C58" s="167"/>
      <c r="F58" s="6" t="s">
        <v>187</v>
      </c>
      <c r="G58" s="6" t="s">
        <v>221</v>
      </c>
      <c r="H58" s="6" t="s">
        <v>222</v>
      </c>
      <c r="I58" s="6" t="s">
        <v>13</v>
      </c>
    </row>
    <row r="59" ht="15.75" customHeight="1">
      <c r="C59" s="167"/>
    </row>
    <row r="60" ht="15.75" customHeight="1">
      <c r="C60" s="167"/>
    </row>
    <row r="61" ht="15.75" customHeight="1">
      <c r="C61" s="167"/>
    </row>
    <row r="62" ht="15.75" customHeight="1">
      <c r="C62" s="167"/>
    </row>
    <row r="63" ht="15.75" customHeight="1">
      <c r="C63" s="167"/>
    </row>
    <row r="64" ht="15.75" customHeight="1">
      <c r="C64" s="167"/>
    </row>
    <row r="65" ht="15.75" customHeight="1">
      <c r="C65" s="167"/>
    </row>
    <row r="66" ht="15.75" customHeight="1">
      <c r="C66" s="167"/>
    </row>
    <row r="67" ht="15.75" customHeight="1">
      <c r="C67" s="167"/>
    </row>
    <row r="68" ht="15.75" customHeight="1">
      <c r="C68" s="167"/>
    </row>
    <row r="69" ht="15.75" customHeight="1">
      <c r="C69" s="167"/>
    </row>
    <row r="70" ht="15.75" customHeight="1">
      <c r="C70" s="167"/>
    </row>
    <row r="71" ht="15.75" customHeight="1">
      <c r="C71" s="167"/>
    </row>
    <row r="72" ht="15.75" customHeight="1">
      <c r="C72" s="167"/>
    </row>
    <row r="73" ht="15.75" customHeight="1">
      <c r="C73" s="167"/>
    </row>
    <row r="74" ht="15.75" customHeight="1">
      <c r="C74" s="167"/>
    </row>
    <row r="75" ht="15.75" customHeight="1">
      <c r="C75" s="167"/>
    </row>
    <row r="76" ht="15.75" customHeight="1">
      <c r="C76" s="167"/>
    </row>
    <row r="77" ht="15.75" customHeight="1">
      <c r="C77" s="167"/>
    </row>
    <row r="78" ht="15.75" customHeight="1">
      <c r="C78" s="167"/>
    </row>
    <row r="79" ht="15.75" customHeight="1">
      <c r="C79" s="167"/>
    </row>
    <row r="80" ht="15.75" customHeight="1">
      <c r="C80" s="167"/>
    </row>
    <row r="81" ht="15.75" customHeight="1">
      <c r="C81" s="167"/>
    </row>
    <row r="82" ht="15.75" customHeight="1">
      <c r="C82" s="167"/>
    </row>
    <row r="83" ht="15.75" customHeight="1">
      <c r="C83" s="167"/>
    </row>
    <row r="84" ht="15.75" customHeight="1">
      <c r="C84" s="167"/>
    </row>
    <row r="85" ht="15.75" customHeight="1">
      <c r="C85" s="167"/>
    </row>
    <row r="86" ht="15.75" customHeight="1">
      <c r="C86" s="167"/>
    </row>
    <row r="87" ht="15.75" customHeight="1">
      <c r="C87" s="167"/>
    </row>
    <row r="88" ht="15.75" customHeight="1">
      <c r="C88" s="167"/>
    </row>
    <row r="89" ht="15.75" customHeight="1">
      <c r="C89" s="167"/>
    </row>
    <row r="90" ht="15.75" customHeight="1">
      <c r="C90" s="167"/>
    </row>
    <row r="91" ht="15.75" customHeight="1">
      <c r="C91" s="167"/>
    </row>
    <row r="92" ht="15.75" customHeight="1">
      <c r="C92" s="167"/>
    </row>
    <row r="93" ht="15.75" customHeight="1">
      <c r="C93" s="167"/>
    </row>
    <row r="94" ht="15.75" customHeight="1">
      <c r="C94" s="167"/>
    </row>
    <row r="95" ht="15.75" customHeight="1">
      <c r="C95" s="167"/>
    </row>
    <row r="96" ht="15.75" customHeight="1">
      <c r="C96" s="167"/>
    </row>
    <row r="97" ht="15.75" customHeight="1">
      <c r="C97" s="167"/>
    </row>
    <row r="98" ht="15.75" customHeight="1">
      <c r="C98" s="167"/>
    </row>
    <row r="99" ht="15.75" customHeight="1">
      <c r="C99" s="167"/>
    </row>
    <row r="100" ht="15.75" customHeight="1">
      <c r="C100" s="167"/>
    </row>
    <row r="101" ht="15.75" customHeight="1">
      <c r="C101" s="167"/>
    </row>
    <row r="102" ht="15.75" customHeight="1">
      <c r="C102" s="167"/>
    </row>
    <row r="103" ht="15.75" customHeight="1">
      <c r="C103" s="167"/>
    </row>
    <row r="104" ht="15.75" customHeight="1">
      <c r="C104" s="167"/>
    </row>
    <row r="105" ht="15.75" customHeight="1">
      <c r="C105" s="167"/>
    </row>
    <row r="106" ht="15.75" customHeight="1">
      <c r="C106" s="167"/>
    </row>
    <row r="107" ht="15.75" customHeight="1">
      <c r="C107" s="167"/>
    </row>
    <row r="108" ht="15.75" customHeight="1">
      <c r="C108" s="167"/>
    </row>
    <row r="109" ht="15.75" customHeight="1">
      <c r="C109" s="167"/>
    </row>
    <row r="110" ht="15.75" customHeight="1">
      <c r="C110" s="167"/>
    </row>
    <row r="111" ht="15.75" customHeight="1">
      <c r="C111" s="167"/>
    </row>
    <row r="112" ht="15.75" customHeight="1">
      <c r="C112" s="167"/>
    </row>
    <row r="113" ht="15.75" customHeight="1">
      <c r="C113" s="167"/>
    </row>
    <row r="114" ht="15.75" customHeight="1">
      <c r="C114" s="167"/>
    </row>
    <row r="115" ht="15.75" customHeight="1">
      <c r="C115" s="167"/>
    </row>
    <row r="116" ht="15.75" customHeight="1">
      <c r="C116" s="167"/>
    </row>
    <row r="117" ht="15.75" customHeight="1">
      <c r="C117" s="167"/>
    </row>
    <row r="118" ht="15.75" customHeight="1">
      <c r="C118" s="167"/>
    </row>
    <row r="119" ht="15.75" customHeight="1">
      <c r="C119" s="167"/>
    </row>
    <row r="120" ht="15.75" customHeight="1">
      <c r="C120" s="167"/>
    </row>
    <row r="121" ht="15.75" customHeight="1">
      <c r="C121" s="167"/>
    </row>
    <row r="122" ht="15.75" customHeight="1">
      <c r="C122" s="167"/>
    </row>
    <row r="123" ht="15.75" customHeight="1">
      <c r="C123" s="167"/>
    </row>
    <row r="124" ht="15.75" customHeight="1">
      <c r="C124" s="167"/>
    </row>
    <row r="125" ht="15.75" customHeight="1">
      <c r="C125" s="167"/>
    </row>
    <row r="126" ht="15.75" customHeight="1">
      <c r="C126" s="167"/>
    </row>
    <row r="127" ht="15.75" customHeight="1">
      <c r="C127" s="167"/>
    </row>
    <row r="128" ht="15.75" customHeight="1">
      <c r="C128" s="167"/>
    </row>
    <row r="129" ht="15.75" customHeight="1">
      <c r="C129" s="167"/>
    </row>
    <row r="130" ht="15.75" customHeight="1">
      <c r="C130" s="167"/>
    </row>
    <row r="131" ht="15.75" customHeight="1">
      <c r="C131" s="167"/>
    </row>
    <row r="132" ht="15.75" customHeight="1">
      <c r="C132" s="167"/>
    </row>
    <row r="133" ht="15.75" customHeight="1">
      <c r="C133" s="167"/>
    </row>
    <row r="134" ht="15.75" customHeight="1">
      <c r="C134" s="167"/>
    </row>
    <row r="135" ht="15.75" customHeight="1">
      <c r="C135" s="167"/>
    </row>
    <row r="136" ht="15.75" customHeight="1">
      <c r="C136" s="167"/>
    </row>
    <row r="137" ht="15.75" customHeight="1">
      <c r="C137" s="167"/>
    </row>
    <row r="138" ht="15.75" customHeight="1">
      <c r="C138" s="167"/>
    </row>
    <row r="139" ht="15.75" customHeight="1">
      <c r="C139" s="167"/>
    </row>
    <row r="140" ht="15.75" customHeight="1">
      <c r="C140" s="167"/>
    </row>
    <row r="141" ht="15.75" customHeight="1">
      <c r="C141" s="167"/>
    </row>
    <row r="142" ht="15.75" customHeight="1">
      <c r="C142" s="167"/>
    </row>
    <row r="143" ht="15.75" customHeight="1">
      <c r="C143" s="167"/>
    </row>
    <row r="144" ht="15.75" customHeight="1">
      <c r="C144" s="167"/>
    </row>
    <row r="145" ht="15.75" customHeight="1">
      <c r="C145" s="167"/>
    </row>
    <row r="146" ht="15.75" customHeight="1">
      <c r="C146" s="167"/>
    </row>
    <row r="147" ht="15.75" customHeight="1">
      <c r="C147" s="167"/>
    </row>
    <row r="148" ht="15.75" customHeight="1">
      <c r="C148" s="167"/>
    </row>
    <row r="149" ht="15.75" customHeight="1">
      <c r="C149" s="167"/>
    </row>
    <row r="150" ht="15.75" customHeight="1">
      <c r="C150" s="167"/>
    </row>
    <row r="151" ht="15.75" customHeight="1">
      <c r="C151" s="167"/>
    </row>
    <row r="152" ht="15.75" customHeight="1">
      <c r="C152" s="167"/>
    </row>
    <row r="153" ht="15.75" customHeight="1">
      <c r="C153" s="167"/>
    </row>
    <row r="154" ht="15.75" customHeight="1">
      <c r="C154" s="167"/>
    </row>
    <row r="155" ht="15.75" customHeight="1">
      <c r="C155" s="167"/>
    </row>
    <row r="156" ht="15.75" customHeight="1">
      <c r="C156" s="167"/>
    </row>
    <row r="157" ht="15.75" customHeight="1">
      <c r="C157" s="167"/>
    </row>
    <row r="158" ht="15.75" customHeight="1">
      <c r="C158" s="167"/>
    </row>
    <row r="159" ht="15.75" customHeight="1">
      <c r="C159" s="167"/>
    </row>
    <row r="160" ht="15.75" customHeight="1">
      <c r="C160" s="167"/>
    </row>
    <row r="161" ht="15.75" customHeight="1">
      <c r="C161" s="167"/>
    </row>
    <row r="162" ht="15.75" customHeight="1">
      <c r="C162" s="167"/>
    </row>
    <row r="163" ht="15.75" customHeight="1">
      <c r="C163" s="167"/>
    </row>
    <row r="164" ht="15.75" customHeight="1">
      <c r="C164" s="167"/>
    </row>
    <row r="165" ht="15.75" customHeight="1">
      <c r="C165" s="167"/>
    </row>
    <row r="166" ht="15.75" customHeight="1">
      <c r="C166" s="167"/>
    </row>
    <row r="167" ht="15.75" customHeight="1">
      <c r="C167" s="167"/>
    </row>
    <row r="168" ht="15.75" customHeight="1">
      <c r="C168" s="167"/>
    </row>
    <row r="169" ht="15.75" customHeight="1">
      <c r="C169" s="167"/>
    </row>
    <row r="170" ht="15.75" customHeight="1">
      <c r="C170" s="167"/>
    </row>
    <row r="171" ht="15.75" customHeight="1">
      <c r="C171" s="167"/>
    </row>
    <row r="172" ht="15.75" customHeight="1">
      <c r="C172" s="167"/>
    </row>
    <row r="173" ht="15.75" customHeight="1">
      <c r="C173" s="167"/>
    </row>
    <row r="174" ht="15.75" customHeight="1">
      <c r="C174" s="167"/>
    </row>
    <row r="175" ht="15.75" customHeight="1">
      <c r="C175" s="167"/>
    </row>
    <row r="176" ht="15.75" customHeight="1">
      <c r="C176" s="167"/>
    </row>
    <row r="177" ht="15.75" customHeight="1">
      <c r="C177" s="167"/>
    </row>
    <row r="178" ht="15.75" customHeight="1">
      <c r="C178" s="167"/>
    </row>
    <row r="179" ht="15.75" customHeight="1">
      <c r="C179" s="167"/>
    </row>
    <row r="180" ht="15.75" customHeight="1">
      <c r="C180" s="167"/>
    </row>
    <row r="181" ht="15.75" customHeight="1">
      <c r="C181" s="167"/>
    </row>
    <row r="182" ht="15.75" customHeight="1">
      <c r="C182" s="167"/>
    </row>
    <row r="183" ht="15.75" customHeight="1">
      <c r="C183" s="167"/>
    </row>
    <row r="184" ht="15.75" customHeight="1">
      <c r="C184" s="167"/>
    </row>
    <row r="185" ht="15.75" customHeight="1">
      <c r="C185" s="167"/>
    </row>
    <row r="186" ht="15.75" customHeight="1">
      <c r="C186" s="167"/>
    </row>
    <row r="187" ht="15.75" customHeight="1">
      <c r="C187" s="167"/>
    </row>
    <row r="188" ht="15.75" customHeight="1">
      <c r="C188" s="167"/>
    </row>
    <row r="189" ht="15.75" customHeight="1">
      <c r="C189" s="167"/>
    </row>
    <row r="190" ht="15.75" customHeight="1">
      <c r="C190" s="167"/>
    </row>
    <row r="191" ht="15.75" customHeight="1">
      <c r="C191" s="167"/>
    </row>
    <row r="192" ht="15.75" customHeight="1">
      <c r="C192" s="167"/>
    </row>
    <row r="193" ht="15.75" customHeight="1">
      <c r="C193" s="167"/>
    </row>
    <row r="194" ht="15.75" customHeight="1">
      <c r="C194" s="167"/>
    </row>
    <row r="195" ht="15.75" customHeight="1">
      <c r="C195" s="167"/>
    </row>
    <row r="196" ht="15.75" customHeight="1">
      <c r="C196" s="167"/>
    </row>
    <row r="197" ht="15.75" customHeight="1">
      <c r="C197" s="167"/>
    </row>
    <row r="198" ht="15.75" customHeight="1">
      <c r="C198" s="167"/>
    </row>
    <row r="199" ht="15.75" customHeight="1">
      <c r="C199" s="167"/>
    </row>
    <row r="200" ht="15.75" customHeight="1">
      <c r="C200" s="167"/>
    </row>
    <row r="201" ht="15.75" customHeight="1">
      <c r="C201" s="167"/>
    </row>
    <row r="202" ht="15.75" customHeight="1">
      <c r="C202" s="167"/>
    </row>
    <row r="203" ht="15.75" customHeight="1">
      <c r="C203" s="167"/>
    </row>
    <row r="204" ht="15.75" customHeight="1">
      <c r="C204" s="167"/>
    </row>
    <row r="205" ht="15.75" customHeight="1">
      <c r="C205" s="167"/>
    </row>
    <row r="206" ht="15.75" customHeight="1">
      <c r="C206" s="167"/>
    </row>
    <row r="207" ht="15.75" customHeight="1">
      <c r="C207" s="167"/>
    </row>
    <row r="208" ht="15.75" customHeight="1">
      <c r="C208" s="167"/>
    </row>
    <row r="209" ht="15.75" customHeight="1">
      <c r="C209" s="167"/>
    </row>
    <row r="210" ht="15.75" customHeight="1">
      <c r="C210" s="167"/>
    </row>
    <row r="211" ht="15.75" customHeight="1">
      <c r="C211" s="167"/>
    </row>
    <row r="212" ht="15.75" customHeight="1">
      <c r="C212" s="167"/>
    </row>
    <row r="213" ht="15.75" customHeight="1">
      <c r="C213" s="167"/>
    </row>
    <row r="214" ht="15.75" customHeight="1">
      <c r="C214" s="167"/>
    </row>
    <row r="215" ht="15.75" customHeight="1">
      <c r="C215" s="167"/>
    </row>
    <row r="216" ht="15.75" customHeight="1">
      <c r="C216" s="167"/>
    </row>
    <row r="217" ht="15.75" customHeight="1">
      <c r="C217" s="167"/>
    </row>
    <row r="218" ht="15.75" customHeight="1">
      <c r="C218" s="167"/>
    </row>
    <row r="219" ht="15.75" customHeight="1">
      <c r="C219" s="167"/>
    </row>
    <row r="220" ht="15.75" customHeight="1">
      <c r="C220" s="167"/>
    </row>
    <row r="221" ht="15.75" customHeight="1">
      <c r="C221" s="167"/>
    </row>
    <row r="222" ht="15.75" customHeight="1">
      <c r="C222" s="167"/>
    </row>
    <row r="223" ht="15.75" customHeight="1">
      <c r="C223" s="167"/>
    </row>
    <row r="224" ht="15.75" customHeight="1">
      <c r="C224" s="167"/>
    </row>
    <row r="225" ht="15.75" customHeight="1">
      <c r="C225" s="167"/>
    </row>
    <row r="226" ht="15.75" customHeight="1">
      <c r="C226" s="167"/>
    </row>
    <row r="227" ht="15.75" customHeight="1">
      <c r="C227" s="167"/>
    </row>
    <row r="228" ht="15.75" customHeight="1">
      <c r="C228" s="167"/>
    </row>
    <row r="229" ht="15.75" customHeight="1">
      <c r="C229" s="167"/>
    </row>
    <row r="230" ht="15.75" customHeight="1">
      <c r="C230" s="167"/>
    </row>
    <row r="231" ht="15.75" customHeight="1">
      <c r="C231" s="167"/>
    </row>
    <row r="232" ht="15.75" customHeight="1">
      <c r="C232" s="167"/>
    </row>
    <row r="233" ht="15.75" customHeight="1">
      <c r="C233" s="167"/>
    </row>
    <row r="234" ht="15.75" customHeight="1">
      <c r="C234" s="167"/>
    </row>
    <row r="235" ht="15.75" customHeight="1">
      <c r="C235" s="167"/>
    </row>
    <row r="236" ht="15.75" customHeight="1">
      <c r="C236" s="167"/>
    </row>
    <row r="237" ht="15.75" customHeight="1">
      <c r="C237" s="167"/>
    </row>
    <row r="238" ht="15.75" customHeight="1">
      <c r="C238" s="167"/>
    </row>
    <row r="239" ht="15.75" customHeight="1">
      <c r="C239" s="167"/>
    </row>
    <row r="240" ht="15.75" customHeight="1">
      <c r="C240" s="167"/>
    </row>
    <row r="241" ht="15.75" customHeight="1">
      <c r="C241" s="167"/>
    </row>
    <row r="242" ht="15.75" customHeight="1">
      <c r="C242" s="167"/>
    </row>
    <row r="243" ht="15.75" customHeight="1">
      <c r="C243" s="167"/>
    </row>
    <row r="244" ht="15.75" customHeight="1">
      <c r="C244" s="167"/>
    </row>
    <row r="245" ht="15.75" customHeight="1">
      <c r="C245" s="167"/>
    </row>
    <row r="246" ht="15.75" customHeight="1">
      <c r="C246" s="167"/>
    </row>
    <row r="247" ht="15.75" customHeight="1">
      <c r="C247" s="167"/>
    </row>
    <row r="248" ht="15.75" customHeight="1">
      <c r="C248" s="167"/>
    </row>
    <row r="249" ht="15.75" customHeight="1">
      <c r="C249" s="167"/>
    </row>
    <row r="250" ht="15.75" customHeight="1">
      <c r="C250" s="167"/>
    </row>
    <row r="251" ht="15.75" customHeight="1">
      <c r="C251" s="167"/>
    </row>
    <row r="252" ht="15.75" customHeight="1">
      <c r="C252" s="167"/>
    </row>
    <row r="253" ht="15.75" customHeight="1">
      <c r="C253" s="167"/>
    </row>
    <row r="254" ht="15.75" customHeight="1">
      <c r="C254" s="167"/>
    </row>
    <row r="255" ht="15.75" customHeight="1">
      <c r="C255" s="167"/>
    </row>
    <row r="256" ht="15.75" customHeight="1">
      <c r="C256" s="167"/>
    </row>
    <row r="257" ht="15.75" customHeight="1">
      <c r="C257" s="167"/>
    </row>
    <row r="258" ht="15.75" customHeight="1">
      <c r="C258" s="167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7.5"/>
    <col customWidth="1" min="3" max="3" width="12.13"/>
    <col customWidth="1" min="4" max="4" width="12.63"/>
    <col customWidth="1" min="5" max="5" width="13.0"/>
    <col customWidth="1" min="6" max="6" width="5.75"/>
    <col customWidth="1" min="7" max="8" width="5.88"/>
    <col customWidth="1" min="9" max="9" width="19.63"/>
    <col customWidth="1" min="10" max="10" width="20.0"/>
    <col customWidth="1" min="11" max="11" width="19.63"/>
  </cols>
  <sheetData>
    <row r="1" ht="15.75" customHeight="1">
      <c r="A1" s="6" t="str">
        <f>IFERROR(__xludf.DUMMYFUNCTION("IMPORTRANGE(""10O_SXdz0dJt2tdyDkVj7WBPL_30nKHj5oXXQ8LjzZA8"",""Menus!A1:Z"")"),"#REF!")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2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