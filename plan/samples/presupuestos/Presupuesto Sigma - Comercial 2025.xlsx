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/>
  <calcPr/>
</workbook>
</file>

<file path=xl/sharedStrings.xml><?xml version="1.0" encoding="utf-8"?>
<sst xmlns="http://schemas.openxmlformats.org/spreadsheetml/2006/main" count="19" uniqueCount="19">
  <si>
    <t>Presupuesto</t>
  </si>
  <si>
    <t>(02) Comercial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</si>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</sst>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164" xfId="0" applyAlignment="1" applyBorder="1" applyFont="1" applyNumberFormat="1">
      <alignment readingOrder="0"/>
    </xf>
    <xf borderId="0" fillId="0" fontId="6" numFmtId="164" xfId="0" applyAlignment="1" applyFont="1" applyNumberFormat="1">
      <alignment horizontal="right" vertical="bottom"/>
    </xf>
    <xf borderId="2" fillId="0" fontId="6" numFmtId="164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vertical="bottom"/>
    </xf>
    <xf borderId="1" fillId="0" fontId="5" numFmtId="164" xfId="0" applyBorder="1" applyFont="1" applyNumberFormat="1"/>
    <xf borderId="0" fillId="0" fontId="4" numFmtId="0" xfId="0" applyAlignment="1" applyFont="1">
      <alignment horizontal="center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88"/>
    <col customWidth="1" min="2" max="2" width="20.25"/>
    <col customWidth="1" min="3" max="3" width="21.13"/>
    <col customWidth="1" min="4" max="4" width="18.5"/>
    <col customWidth="1" min="5" max="16" width="9.38"/>
    <col customWidth="1" min="17" max="17" width="10.25"/>
  </cols>
  <sheetData>
    <row r="1">
      <c r="B1" s="1" t="s">
        <v>0</v>
      </c>
      <c r="C1" s="2" t="s">
        <v>1</v>
      </c>
      <c r="D1" s="3"/>
      <c r="E1" s="4">
        <f>IFERROR(__xludf.DUMMYFUNCTION("SUM(FILTER(E3:E400, $C$3:$C400&lt;&gt;""Seguridad""))"),0.0)</f>
        <v>0</v>
      </c>
      <c r="F1" s="5">
        <f>IFERROR(__xludf.DUMMYFUNCTION("SUM(FILTER(F3:F400, $C$3:$C400&lt;&gt;""Seguridad""))"),0.0)</f>
        <v>0</v>
      </c>
      <c r="G1" s="5">
        <f>IFERROR(__xludf.DUMMYFUNCTION("SUM(FILTER(G3:G400, $C$3:$C400&lt;&gt;""Seguridad""))"),0.0)</f>
        <v>0</v>
      </c>
      <c r="H1" s="5">
        <f>IFERROR(__xludf.DUMMYFUNCTION("SUM(FILTER(H3:H400, $C$3:$C400&lt;&gt;""Seguridad""))"),0.0)</f>
        <v>0</v>
      </c>
      <c r="I1" s="5">
        <f>IFERROR(__xludf.DUMMYFUNCTION("SUM(FILTER(I3:I400, $C$3:$C400&lt;&gt;""Seguridad""))"),0.0)</f>
        <v>0</v>
      </c>
      <c r="J1" s="5">
        <f>IFERROR(__xludf.DUMMYFUNCTION("SUM(FILTER(J3:J400, $C$3:$C400&lt;&gt;""Seguridad""))"),0.0)</f>
        <v>0</v>
      </c>
      <c r="K1" s="5">
        <f>IFERROR(__xludf.DUMMYFUNCTION("SUM(FILTER(K3:K400, $C$3:$C400&lt;&gt;""Seguridad""))"),0.0)</f>
        <v>0</v>
      </c>
      <c r="L1" s="5">
        <f>IFERROR(__xludf.DUMMYFUNCTION("SUM(FILTER(L3:L400, $C$3:$C400&lt;&gt;""Seguridad""))"),0.0)</f>
        <v>0</v>
      </c>
      <c r="M1" s="5">
        <f>IFERROR(__xludf.DUMMYFUNCTION("SUM(FILTER(M3:M400, $C$3:$C400&lt;&gt;""Seguridad""))"),0.0)</f>
        <v>0</v>
      </c>
      <c r="N1" s="5">
        <f>IFERROR(__xludf.DUMMYFUNCTION("SUM(FILTER(N3:N400, $C$3:$C400&lt;&gt;""Seguridad""))"),0.0)</f>
        <v>0</v>
      </c>
      <c r="O1" s="5">
        <f>IFERROR(__xludf.DUMMYFUNCTION("SUM(FILTER(O3:O400, $C$3:$C400&lt;&gt;""Seguridad""))"),0.0)</f>
        <v>0</v>
      </c>
      <c r="P1" s="6">
        <f>IFERROR(__xludf.DUMMYFUNCTION("SUM(FILTER(P3:P400, $C$3:$C400&lt;&gt;""Seguridad""))"),0.0)</f>
        <v>0</v>
      </c>
      <c r="Q1" s="4">
        <f>IFERROR(__xludf.DUMMYFUNCTION("SUM(FILTER(Q3:Q400, $C$3:$C400&lt;&gt;""Seguridad""))"),0.0)</f>
        <v>0</v>
      </c>
    </row>
    <row r="2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9" t="s">
        <v>18</v>
      </c>
    </row>
    <row r="3">
      <c r="A3" s="12" t="str">
        <f t="shared" ref="A3:A400" si="1">$C$1</f>
        <v>(02) Comercial</v>
      </c>
      <c r="B3" s="13"/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>
        <f t="shared" ref="Q3:Q400" si="2">SUM(E3:P3)</f>
        <v>0</v>
      </c>
    </row>
    <row r="4">
      <c r="A4" s="12" t="str">
        <f t="shared" si="1"/>
        <v>(02) Comercial</v>
      </c>
      <c r="B4" s="13"/>
      <c r="C4" s="13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>
        <f t="shared" si="2"/>
        <v>0</v>
      </c>
    </row>
    <row r="5">
      <c r="A5" s="12" t="str">
        <f t="shared" si="1"/>
        <v>(02) Comercial</v>
      </c>
      <c r="B5" s="13"/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>
        <f t="shared" si="2"/>
        <v>0</v>
      </c>
    </row>
    <row r="6">
      <c r="A6" s="12" t="str">
        <f t="shared" si="1"/>
        <v>(02) Comercial</v>
      </c>
      <c r="B6" s="13"/>
      <c r="C6" s="13"/>
      <c r="D6" s="1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6">
        <f t="shared" si="2"/>
        <v>0</v>
      </c>
    </row>
    <row r="7">
      <c r="A7" s="12" t="str">
        <f t="shared" si="1"/>
        <v>(02) Comercial</v>
      </c>
      <c r="B7" s="13"/>
      <c r="C7" s="13"/>
      <c r="D7" s="14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6">
        <f t="shared" si="2"/>
        <v>0</v>
      </c>
    </row>
    <row r="8">
      <c r="A8" s="12" t="str">
        <f t="shared" si="1"/>
        <v>(02) Comercial</v>
      </c>
      <c r="B8" s="13"/>
      <c r="C8" s="13"/>
      <c r="D8" s="14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6">
        <f t="shared" si="2"/>
        <v>0</v>
      </c>
    </row>
    <row r="9">
      <c r="A9" s="12" t="str">
        <f t="shared" si="1"/>
        <v>(02) Comercial</v>
      </c>
      <c r="B9" s="13"/>
      <c r="C9" s="13"/>
      <c r="D9" s="14"/>
      <c r="E9" s="17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6">
        <f t="shared" si="2"/>
        <v>0</v>
      </c>
    </row>
    <row r="10">
      <c r="A10" s="12" t="str">
        <f t="shared" si="1"/>
        <v>(02) Comercial</v>
      </c>
      <c r="B10" s="13"/>
      <c r="C10" s="13"/>
      <c r="D10" s="14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6">
        <f t="shared" si="2"/>
        <v>0</v>
      </c>
    </row>
    <row r="11">
      <c r="A11" s="12" t="str">
        <f t="shared" si="1"/>
        <v>(02) Comercial</v>
      </c>
      <c r="B11" s="13"/>
      <c r="C11" s="13"/>
      <c r="D11" s="14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6">
        <f t="shared" si="2"/>
        <v>0</v>
      </c>
    </row>
    <row r="12">
      <c r="A12" s="12" t="str">
        <f t="shared" si="1"/>
        <v>(02) Comercial</v>
      </c>
      <c r="B12" s="13"/>
      <c r="C12" s="13"/>
      <c r="D12" s="14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6">
        <f t="shared" si="2"/>
        <v>0</v>
      </c>
    </row>
    <row r="13">
      <c r="A13" s="12" t="str">
        <f t="shared" si="1"/>
        <v>(02) Comercial</v>
      </c>
      <c r="B13" s="13"/>
      <c r="C13" s="13"/>
      <c r="D13" s="14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6">
        <f t="shared" si="2"/>
        <v>0</v>
      </c>
    </row>
    <row r="14">
      <c r="A14" s="12" t="str">
        <f t="shared" si="1"/>
        <v>(02) Comercial</v>
      </c>
      <c r="B14" s="13"/>
      <c r="C14" s="13"/>
      <c r="D14" s="1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6">
        <f t="shared" si="2"/>
        <v>0</v>
      </c>
    </row>
    <row r="15">
      <c r="A15" s="12" t="str">
        <f t="shared" si="1"/>
        <v>(02) Comercial</v>
      </c>
      <c r="B15" s="13"/>
      <c r="C15" s="13"/>
      <c r="D15" s="14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6">
        <f t="shared" si="2"/>
        <v>0</v>
      </c>
    </row>
    <row r="16">
      <c r="A16" s="12" t="str">
        <f t="shared" si="1"/>
        <v>(02) Comercial</v>
      </c>
      <c r="B16" s="13"/>
      <c r="C16" s="13"/>
      <c r="D16" s="14"/>
      <c r="E16" s="18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6">
        <f t="shared" si="2"/>
        <v>0</v>
      </c>
    </row>
    <row r="17">
      <c r="A17" s="12" t="str">
        <f t="shared" si="1"/>
        <v>(02) Comercial</v>
      </c>
      <c r="B17" s="13"/>
      <c r="C17" s="13"/>
      <c r="D17" s="14"/>
      <c r="E17" s="1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6">
        <f t="shared" si="2"/>
        <v>0</v>
      </c>
    </row>
    <row r="18">
      <c r="A18" s="12" t="str">
        <f t="shared" si="1"/>
        <v>(02) Comercial</v>
      </c>
      <c r="B18" s="13"/>
      <c r="C18" s="13"/>
      <c r="D18" s="14"/>
      <c r="E18" s="18"/>
      <c r="F18" s="17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6">
        <f t="shared" si="2"/>
        <v>0</v>
      </c>
    </row>
    <row r="19">
      <c r="A19" s="12" t="str">
        <f t="shared" si="1"/>
        <v>(02) Comercial</v>
      </c>
      <c r="B19" s="13"/>
      <c r="C19" s="13"/>
      <c r="D19" s="14"/>
      <c r="E19" s="18"/>
      <c r="F19" s="17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6">
        <f t="shared" si="2"/>
        <v>0</v>
      </c>
    </row>
    <row r="20">
      <c r="A20" s="12" t="str">
        <f t="shared" si="1"/>
        <v>(02) Comercial</v>
      </c>
      <c r="B20" s="13"/>
      <c r="C20" s="13"/>
      <c r="D20" s="14"/>
      <c r="E20" s="18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>
        <f t="shared" si="2"/>
        <v>0</v>
      </c>
    </row>
    <row r="21">
      <c r="A21" s="12" t="str">
        <f t="shared" si="1"/>
        <v>(02) Comercial</v>
      </c>
      <c r="B21" s="13"/>
      <c r="C21" s="13"/>
      <c r="D21" s="1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6">
        <f t="shared" si="2"/>
        <v>0</v>
      </c>
    </row>
    <row r="22">
      <c r="A22" s="12" t="str">
        <f t="shared" si="1"/>
        <v>(02) Comercial</v>
      </c>
      <c r="B22" s="13"/>
      <c r="C22" s="13"/>
      <c r="D22" s="14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6">
        <f t="shared" si="2"/>
        <v>0</v>
      </c>
    </row>
    <row r="23">
      <c r="A23" s="12" t="str">
        <f t="shared" si="1"/>
        <v>(02) Comercial</v>
      </c>
      <c r="B23" s="13"/>
      <c r="C23" s="13"/>
      <c r="D23" s="14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6">
        <f t="shared" si="2"/>
        <v>0</v>
      </c>
    </row>
    <row r="24">
      <c r="A24" s="12" t="str">
        <f t="shared" si="1"/>
        <v>(02) Comercial</v>
      </c>
      <c r="B24" s="13"/>
      <c r="C24" s="13"/>
      <c r="D24" s="14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6">
        <f t="shared" si="2"/>
        <v>0</v>
      </c>
    </row>
    <row r="25">
      <c r="A25" s="12" t="str">
        <f t="shared" si="1"/>
        <v>(02) Comercial</v>
      </c>
      <c r="B25" s="13"/>
      <c r="C25" s="13"/>
      <c r="D25" s="14"/>
      <c r="E25" s="18"/>
      <c r="F25" s="18"/>
      <c r="G25" s="18"/>
      <c r="H25" s="17"/>
      <c r="I25" s="17"/>
      <c r="J25" s="17"/>
      <c r="K25" s="17"/>
      <c r="L25" s="17"/>
      <c r="M25" s="17"/>
      <c r="N25" s="17"/>
      <c r="O25" s="17"/>
      <c r="P25" s="17"/>
      <c r="Q25" s="16">
        <f t="shared" si="2"/>
        <v>0</v>
      </c>
    </row>
    <row r="26">
      <c r="A26" s="12" t="str">
        <f t="shared" si="1"/>
        <v>(02) Comercial</v>
      </c>
      <c r="B26" s="13"/>
      <c r="C26" s="13"/>
      <c r="D26" s="14"/>
      <c r="E26" s="18"/>
      <c r="F26" s="18"/>
      <c r="G26" s="18"/>
      <c r="H26" s="17"/>
      <c r="I26" s="17"/>
      <c r="J26" s="17"/>
      <c r="K26" s="17"/>
      <c r="L26" s="17"/>
      <c r="M26" s="17"/>
      <c r="N26" s="17"/>
      <c r="O26" s="17"/>
      <c r="P26" s="17"/>
      <c r="Q26" s="16">
        <f t="shared" si="2"/>
        <v>0</v>
      </c>
    </row>
    <row r="27">
      <c r="A27" s="12" t="str">
        <f t="shared" si="1"/>
        <v>(02) Comercial</v>
      </c>
      <c r="B27" s="13"/>
      <c r="C27" s="13"/>
      <c r="D27" s="14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8"/>
      <c r="P27" s="18"/>
      <c r="Q27" s="16">
        <f t="shared" si="2"/>
        <v>0</v>
      </c>
    </row>
    <row r="28">
      <c r="A28" s="12" t="str">
        <f t="shared" si="1"/>
        <v>(02) Comercial</v>
      </c>
      <c r="B28" s="13"/>
      <c r="C28" s="13"/>
      <c r="D28" s="14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8"/>
      <c r="P28" s="18"/>
      <c r="Q28" s="16">
        <f t="shared" si="2"/>
        <v>0</v>
      </c>
    </row>
    <row r="29">
      <c r="A29" s="12" t="str">
        <f t="shared" si="1"/>
        <v>(02) Comercial</v>
      </c>
      <c r="B29" s="13"/>
      <c r="C29" s="13"/>
      <c r="D29" s="14"/>
      <c r="E29" s="18"/>
      <c r="F29" s="18"/>
      <c r="G29" s="18"/>
      <c r="H29" s="17"/>
      <c r="I29" s="17"/>
      <c r="J29" s="17"/>
      <c r="K29" s="17"/>
      <c r="L29" s="17"/>
      <c r="M29" s="17"/>
      <c r="N29" s="17"/>
      <c r="O29" s="17"/>
      <c r="P29" s="17"/>
      <c r="Q29" s="16">
        <f t="shared" si="2"/>
        <v>0</v>
      </c>
    </row>
    <row r="30">
      <c r="A30" s="12" t="str">
        <f t="shared" si="1"/>
        <v>(02) Comercial</v>
      </c>
      <c r="B30" s="13"/>
      <c r="C30" s="13"/>
      <c r="D30" s="14"/>
      <c r="E30" s="18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6">
        <f t="shared" si="2"/>
        <v>0</v>
      </c>
    </row>
    <row r="31">
      <c r="A31" s="12" t="str">
        <f t="shared" si="1"/>
        <v>(02) Comercial</v>
      </c>
      <c r="B31" s="13"/>
      <c r="C31" s="13"/>
      <c r="D31" s="14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6">
        <f t="shared" si="2"/>
        <v>0</v>
      </c>
    </row>
    <row r="32">
      <c r="A32" s="12" t="str">
        <f t="shared" si="1"/>
        <v>(02) Comercial</v>
      </c>
      <c r="B32" s="13"/>
      <c r="C32" s="13"/>
      <c r="D32" s="1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6">
        <f t="shared" si="2"/>
        <v>0</v>
      </c>
    </row>
    <row r="33">
      <c r="A33" s="12" t="str">
        <f t="shared" si="1"/>
        <v>(02) Comercial</v>
      </c>
      <c r="B33" s="13"/>
      <c r="C33" s="13"/>
      <c r="D33" s="1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6">
        <f t="shared" si="2"/>
        <v>0</v>
      </c>
    </row>
    <row r="34">
      <c r="A34" s="12" t="str">
        <f t="shared" si="1"/>
        <v>(02) Comercial</v>
      </c>
      <c r="B34" s="13"/>
      <c r="C34" s="13"/>
      <c r="D34" s="14"/>
      <c r="E34" s="18"/>
      <c r="F34" s="18"/>
      <c r="G34" s="18"/>
      <c r="H34" s="18"/>
      <c r="I34" s="18"/>
      <c r="J34" s="17"/>
      <c r="K34" s="17"/>
      <c r="L34" s="17"/>
      <c r="M34" s="17"/>
      <c r="N34" s="17"/>
      <c r="O34" s="17"/>
      <c r="P34" s="17"/>
      <c r="Q34" s="16">
        <f t="shared" si="2"/>
        <v>0</v>
      </c>
    </row>
    <row r="35">
      <c r="A35" s="12" t="str">
        <f t="shared" si="1"/>
        <v>(02) Comercial</v>
      </c>
      <c r="B35" s="13"/>
      <c r="C35" s="13"/>
      <c r="D35" s="14"/>
      <c r="E35" s="18"/>
      <c r="F35" s="18"/>
      <c r="G35" s="18"/>
      <c r="H35" s="18"/>
      <c r="I35" s="18"/>
      <c r="J35" s="17"/>
      <c r="K35" s="17"/>
      <c r="L35" s="17"/>
      <c r="M35" s="17"/>
      <c r="N35" s="17"/>
      <c r="O35" s="17"/>
      <c r="P35" s="17"/>
      <c r="Q35" s="16">
        <f t="shared" si="2"/>
        <v>0</v>
      </c>
    </row>
    <row r="36">
      <c r="A36" s="12" t="str">
        <f t="shared" si="1"/>
        <v>(02) Comercial</v>
      </c>
      <c r="B36" s="13"/>
      <c r="C36" s="13"/>
      <c r="D36" s="14"/>
      <c r="E36" s="18"/>
      <c r="F36" s="18"/>
      <c r="G36" s="18"/>
      <c r="H36" s="18"/>
      <c r="I36" s="18"/>
      <c r="J36" s="17"/>
      <c r="K36" s="18"/>
      <c r="L36" s="18"/>
      <c r="M36" s="18"/>
      <c r="N36" s="18"/>
      <c r="O36" s="18"/>
      <c r="P36" s="18"/>
      <c r="Q36" s="16">
        <f t="shared" si="2"/>
        <v>0</v>
      </c>
    </row>
    <row r="37">
      <c r="A37" s="12" t="str">
        <f t="shared" si="1"/>
        <v>(02) Comercial</v>
      </c>
      <c r="B37" s="13"/>
      <c r="C37" s="13"/>
      <c r="D37" s="14"/>
      <c r="E37" s="18"/>
      <c r="F37" s="18"/>
      <c r="G37" s="18"/>
      <c r="H37" s="18"/>
      <c r="I37" s="18"/>
      <c r="J37" s="17"/>
      <c r="K37" s="18"/>
      <c r="L37" s="18"/>
      <c r="M37" s="18"/>
      <c r="N37" s="18"/>
      <c r="O37" s="18"/>
      <c r="P37" s="18"/>
      <c r="Q37" s="16">
        <f t="shared" si="2"/>
        <v>0</v>
      </c>
    </row>
    <row r="38">
      <c r="A38" s="12" t="str">
        <f t="shared" si="1"/>
        <v>(02) Comercial</v>
      </c>
      <c r="B38" s="13"/>
      <c r="C38" s="13"/>
      <c r="D38" s="14"/>
      <c r="E38" s="18"/>
      <c r="F38" s="18"/>
      <c r="G38" s="18"/>
      <c r="H38" s="18"/>
      <c r="I38" s="18"/>
      <c r="J38" s="17"/>
      <c r="K38" s="17"/>
      <c r="L38" s="17"/>
      <c r="M38" s="17"/>
      <c r="N38" s="17"/>
      <c r="O38" s="17"/>
      <c r="P38" s="17"/>
      <c r="Q38" s="16">
        <f t="shared" si="2"/>
        <v>0</v>
      </c>
    </row>
    <row r="39">
      <c r="A39" s="12" t="str">
        <f t="shared" si="1"/>
        <v>(02) Comercial</v>
      </c>
      <c r="B39" s="13"/>
      <c r="C39" s="13"/>
      <c r="D39" s="14"/>
      <c r="E39" s="18"/>
      <c r="F39" s="18"/>
      <c r="G39" s="18"/>
      <c r="H39" s="18"/>
      <c r="I39" s="18"/>
      <c r="J39" s="18"/>
      <c r="K39" s="18"/>
      <c r="L39" s="18"/>
      <c r="M39" s="17"/>
      <c r="N39" s="17"/>
      <c r="O39" s="17"/>
      <c r="P39" s="17"/>
      <c r="Q39" s="16">
        <f t="shared" si="2"/>
        <v>0</v>
      </c>
    </row>
    <row r="40">
      <c r="A40" s="12" t="str">
        <f t="shared" si="1"/>
        <v>(02) Comercial</v>
      </c>
      <c r="B40" s="13"/>
      <c r="C40" s="13"/>
      <c r="D40" s="1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6">
        <f t="shared" si="2"/>
        <v>0</v>
      </c>
    </row>
    <row r="41">
      <c r="A41" s="12" t="str">
        <f t="shared" si="1"/>
        <v>(02) Comercial</v>
      </c>
      <c r="B41" s="13"/>
      <c r="C41" s="13"/>
      <c r="D41" s="1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6">
        <f t="shared" si="2"/>
        <v>0</v>
      </c>
    </row>
    <row r="42">
      <c r="A42" s="12" t="str">
        <f t="shared" si="1"/>
        <v>(02) Comercial</v>
      </c>
      <c r="B42" s="13"/>
      <c r="C42" s="13"/>
      <c r="D42" s="1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6">
        <f t="shared" si="2"/>
        <v>0</v>
      </c>
    </row>
    <row r="43">
      <c r="A43" s="12" t="str">
        <f t="shared" si="1"/>
        <v>(02) Comercial</v>
      </c>
      <c r="B43" s="13"/>
      <c r="C43" s="13"/>
      <c r="D43" s="14"/>
      <c r="E43" s="18"/>
      <c r="F43" s="18"/>
      <c r="G43" s="18"/>
      <c r="H43" s="18"/>
      <c r="I43" s="18"/>
      <c r="J43" s="18"/>
      <c r="K43" s="18"/>
      <c r="L43" s="17"/>
      <c r="M43" s="17"/>
      <c r="N43" s="17"/>
      <c r="O43" s="17"/>
      <c r="P43" s="17"/>
      <c r="Q43" s="16">
        <f t="shared" si="2"/>
        <v>0</v>
      </c>
    </row>
    <row r="44">
      <c r="A44" s="12" t="str">
        <f t="shared" si="1"/>
        <v>(02) Comercial</v>
      </c>
      <c r="B44" s="13"/>
      <c r="C44" s="13"/>
      <c r="D44" s="14"/>
      <c r="E44" s="18"/>
      <c r="F44" s="18"/>
      <c r="G44" s="18"/>
      <c r="H44" s="18"/>
      <c r="I44" s="18"/>
      <c r="J44" s="18"/>
      <c r="K44" s="18"/>
      <c r="L44" s="17"/>
      <c r="M44" s="17"/>
      <c r="N44" s="17"/>
      <c r="O44" s="17"/>
      <c r="P44" s="17"/>
      <c r="Q44" s="16">
        <f t="shared" si="2"/>
        <v>0</v>
      </c>
    </row>
    <row r="45">
      <c r="A45" s="12" t="str">
        <f t="shared" si="1"/>
        <v>(02) Comercial</v>
      </c>
      <c r="B45" s="13"/>
      <c r="C45" s="13"/>
      <c r="D45" s="14"/>
      <c r="E45" s="18"/>
      <c r="F45" s="18"/>
      <c r="G45" s="18"/>
      <c r="H45" s="18"/>
      <c r="I45" s="18"/>
      <c r="J45" s="18"/>
      <c r="K45" s="18"/>
      <c r="L45" s="17"/>
      <c r="M45" s="18"/>
      <c r="N45" s="18"/>
      <c r="O45" s="18"/>
      <c r="P45" s="18"/>
      <c r="Q45" s="16">
        <f t="shared" si="2"/>
        <v>0</v>
      </c>
    </row>
    <row r="46">
      <c r="A46" s="12" t="str">
        <f t="shared" si="1"/>
        <v>(02) Comercial</v>
      </c>
      <c r="B46" s="13"/>
      <c r="C46" s="13"/>
      <c r="D46" s="14"/>
      <c r="E46" s="18"/>
      <c r="F46" s="18"/>
      <c r="G46" s="18"/>
      <c r="H46" s="18"/>
      <c r="I46" s="18"/>
      <c r="J46" s="18"/>
      <c r="K46" s="18"/>
      <c r="L46" s="17"/>
      <c r="M46" s="18"/>
      <c r="N46" s="18"/>
      <c r="O46" s="18"/>
      <c r="P46" s="18"/>
      <c r="Q46" s="16">
        <f t="shared" si="2"/>
        <v>0</v>
      </c>
    </row>
    <row r="47">
      <c r="A47" s="12" t="str">
        <f t="shared" si="1"/>
        <v>(02) Comercial</v>
      </c>
      <c r="B47" s="13"/>
      <c r="C47" s="13"/>
      <c r="D47" s="14"/>
      <c r="E47" s="18"/>
      <c r="F47" s="18"/>
      <c r="G47" s="18"/>
      <c r="H47" s="18"/>
      <c r="I47" s="18"/>
      <c r="J47" s="18"/>
      <c r="K47" s="18"/>
      <c r="L47" s="17"/>
      <c r="M47" s="17"/>
      <c r="N47" s="17"/>
      <c r="O47" s="17"/>
      <c r="P47" s="17"/>
      <c r="Q47" s="16">
        <f t="shared" si="2"/>
        <v>0</v>
      </c>
    </row>
    <row r="48">
      <c r="A48" s="12" t="str">
        <f t="shared" si="1"/>
        <v>(02) Comercial</v>
      </c>
      <c r="B48" s="13"/>
      <c r="C48" s="13"/>
      <c r="D48" s="19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6">
        <f t="shared" si="2"/>
        <v>0</v>
      </c>
    </row>
    <row r="49">
      <c r="A49" s="12" t="str">
        <f t="shared" si="1"/>
        <v>(02) Comercial</v>
      </c>
      <c r="B49" s="13"/>
      <c r="C49" s="13"/>
      <c r="D49" s="19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6">
        <f t="shared" si="2"/>
        <v>0</v>
      </c>
    </row>
    <row r="50">
      <c r="A50" s="12" t="str">
        <f t="shared" si="1"/>
        <v>(02) Comercial</v>
      </c>
      <c r="B50" s="13"/>
      <c r="C50" s="13"/>
      <c r="D50" s="19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6">
        <f t="shared" si="2"/>
        <v>0</v>
      </c>
    </row>
    <row r="51">
      <c r="A51" s="12" t="str">
        <f t="shared" si="1"/>
        <v>(02) Comercial</v>
      </c>
      <c r="B51" s="13"/>
      <c r="C51" s="13"/>
      <c r="D51" s="19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6">
        <f t="shared" si="2"/>
        <v>0</v>
      </c>
    </row>
    <row r="52">
      <c r="A52" s="12" t="str">
        <f t="shared" si="1"/>
        <v>(02) Comercial</v>
      </c>
      <c r="B52" s="13"/>
      <c r="C52" s="13"/>
      <c r="D52" s="1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6">
        <f t="shared" si="2"/>
        <v>0</v>
      </c>
    </row>
    <row r="53">
      <c r="A53" s="12" t="str">
        <f t="shared" si="1"/>
        <v>(02) Comercial</v>
      </c>
      <c r="B53" s="13"/>
      <c r="C53" s="13"/>
      <c r="D53" s="19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6">
        <f t="shared" si="2"/>
        <v>0</v>
      </c>
    </row>
    <row r="54">
      <c r="A54" s="12" t="str">
        <f t="shared" si="1"/>
        <v>(02) Comercial</v>
      </c>
      <c r="B54" s="13"/>
      <c r="C54" s="13"/>
      <c r="D54" s="19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6">
        <f t="shared" si="2"/>
        <v>0</v>
      </c>
    </row>
    <row r="55">
      <c r="A55" s="12" t="str">
        <f t="shared" si="1"/>
        <v>(02) Comercial</v>
      </c>
      <c r="B55" s="13"/>
      <c r="C55" s="13"/>
      <c r="D55" s="19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6">
        <f t="shared" si="2"/>
        <v>0</v>
      </c>
    </row>
    <row r="56">
      <c r="A56" s="12" t="str">
        <f t="shared" si="1"/>
        <v>(02) Comercial</v>
      </c>
      <c r="B56" s="13"/>
      <c r="C56" s="13"/>
      <c r="D56" s="19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6">
        <f t="shared" si="2"/>
        <v>0</v>
      </c>
    </row>
    <row r="57">
      <c r="A57" s="12" t="str">
        <f t="shared" si="1"/>
        <v>(02) Comercial</v>
      </c>
      <c r="B57" s="13"/>
      <c r="C57" s="13"/>
      <c r="D57" s="19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6">
        <f t="shared" si="2"/>
        <v>0</v>
      </c>
    </row>
    <row r="58">
      <c r="A58" s="12" t="str">
        <f t="shared" si="1"/>
        <v>(02) Comercial</v>
      </c>
      <c r="B58" s="13"/>
      <c r="C58" s="13"/>
      <c r="D58" s="19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6">
        <f t="shared" si="2"/>
        <v>0</v>
      </c>
    </row>
    <row r="59">
      <c r="A59" s="12" t="str">
        <f t="shared" si="1"/>
        <v>(02) Comercial</v>
      </c>
      <c r="B59" s="13"/>
      <c r="C59" s="13"/>
      <c r="D59" s="19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6">
        <f t="shared" si="2"/>
        <v>0</v>
      </c>
    </row>
    <row r="60">
      <c r="A60" s="12" t="str">
        <f t="shared" si="1"/>
        <v>(02) Comercial</v>
      </c>
      <c r="B60" s="13"/>
      <c r="C60" s="13"/>
      <c r="D60" s="19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6">
        <f t="shared" si="2"/>
        <v>0</v>
      </c>
    </row>
    <row r="61">
      <c r="A61" s="12" t="str">
        <f t="shared" si="1"/>
        <v>(02) Comercial</v>
      </c>
      <c r="B61" s="13"/>
      <c r="C61" s="13"/>
      <c r="D61" s="19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6">
        <f t="shared" si="2"/>
        <v>0</v>
      </c>
    </row>
    <row r="62">
      <c r="A62" s="12" t="str">
        <f t="shared" si="1"/>
        <v>(02) Comercial</v>
      </c>
      <c r="B62" s="13"/>
      <c r="C62" s="13"/>
      <c r="D62" s="19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6">
        <f t="shared" si="2"/>
        <v>0</v>
      </c>
    </row>
    <row r="63">
      <c r="A63" s="12" t="str">
        <f t="shared" si="1"/>
        <v>(02) Comercial</v>
      </c>
      <c r="B63" s="13"/>
      <c r="C63" s="13"/>
      <c r="D63" s="19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6">
        <f t="shared" si="2"/>
        <v>0</v>
      </c>
    </row>
    <row r="64">
      <c r="A64" s="12" t="str">
        <f t="shared" si="1"/>
        <v>(02) Comercial</v>
      </c>
      <c r="B64" s="13"/>
      <c r="C64" s="13"/>
      <c r="D64" s="19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6">
        <f t="shared" si="2"/>
        <v>0</v>
      </c>
    </row>
    <row r="65">
      <c r="A65" s="12" t="str">
        <f t="shared" si="1"/>
        <v>(02) Comercial</v>
      </c>
      <c r="B65" s="13"/>
      <c r="C65" s="13"/>
      <c r="D65" s="19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6">
        <f t="shared" si="2"/>
        <v>0</v>
      </c>
    </row>
    <row r="66">
      <c r="A66" s="12" t="str">
        <f t="shared" si="1"/>
        <v>(02) Comercial</v>
      </c>
      <c r="B66" s="13"/>
      <c r="C66" s="13"/>
      <c r="D66" s="19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6">
        <f t="shared" si="2"/>
        <v>0</v>
      </c>
    </row>
    <row r="67">
      <c r="A67" s="12" t="str">
        <f t="shared" si="1"/>
        <v>(02) Comercial</v>
      </c>
      <c r="B67" s="13"/>
      <c r="C67" s="13"/>
      <c r="D67" s="19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6">
        <f t="shared" si="2"/>
        <v>0</v>
      </c>
    </row>
    <row r="68">
      <c r="A68" s="12" t="str">
        <f t="shared" si="1"/>
        <v>(02) Comercial</v>
      </c>
      <c r="B68" s="13"/>
      <c r="C68" s="13"/>
      <c r="D68" s="19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6">
        <f t="shared" si="2"/>
        <v>0</v>
      </c>
    </row>
    <row r="69">
      <c r="A69" s="12" t="str">
        <f t="shared" si="1"/>
        <v>(02) Comercial</v>
      </c>
      <c r="B69" s="13"/>
      <c r="C69" s="13"/>
      <c r="D69" s="19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6">
        <f t="shared" si="2"/>
        <v>0</v>
      </c>
    </row>
    <row r="70">
      <c r="A70" s="12" t="str">
        <f t="shared" si="1"/>
        <v>(02) Comercial</v>
      </c>
      <c r="B70" s="13"/>
      <c r="C70" s="13"/>
      <c r="D70" s="19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6">
        <f t="shared" si="2"/>
        <v>0</v>
      </c>
    </row>
    <row r="71">
      <c r="A71" s="12" t="str">
        <f t="shared" si="1"/>
        <v>(02) Comercial</v>
      </c>
      <c r="B71" s="13"/>
      <c r="C71" s="13"/>
      <c r="D71" s="19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6">
        <f t="shared" si="2"/>
        <v>0</v>
      </c>
    </row>
    <row r="72">
      <c r="A72" s="12" t="str">
        <f t="shared" si="1"/>
        <v>(02) Comercial</v>
      </c>
      <c r="B72" s="13"/>
      <c r="C72" s="13"/>
      <c r="D72" s="19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6">
        <f t="shared" si="2"/>
        <v>0</v>
      </c>
    </row>
    <row r="73">
      <c r="A73" s="12" t="str">
        <f t="shared" si="1"/>
        <v>(02) Comercial</v>
      </c>
      <c r="B73" s="13"/>
      <c r="C73" s="13"/>
      <c r="D73" s="19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6">
        <f t="shared" si="2"/>
        <v>0</v>
      </c>
    </row>
    <row r="74">
      <c r="A74" s="12" t="str">
        <f t="shared" si="1"/>
        <v>(02) Comercial</v>
      </c>
      <c r="B74" s="13"/>
      <c r="C74" s="13"/>
      <c r="D74" s="19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6">
        <f t="shared" si="2"/>
        <v>0</v>
      </c>
    </row>
    <row r="75">
      <c r="A75" s="12" t="str">
        <f t="shared" si="1"/>
        <v>(02) Comercial</v>
      </c>
      <c r="B75" s="13"/>
      <c r="C75" s="13"/>
      <c r="D75" s="19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6">
        <f t="shared" si="2"/>
        <v>0</v>
      </c>
    </row>
    <row r="76">
      <c r="A76" s="12" t="str">
        <f t="shared" si="1"/>
        <v>(02) Comercial</v>
      </c>
      <c r="B76" s="13"/>
      <c r="C76" s="13"/>
      <c r="D76" s="19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6">
        <f t="shared" si="2"/>
        <v>0</v>
      </c>
    </row>
    <row r="77">
      <c r="A77" s="12" t="str">
        <f t="shared" si="1"/>
        <v>(02) Comercial</v>
      </c>
      <c r="B77" s="13"/>
      <c r="C77" s="13"/>
      <c r="D77" s="19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6">
        <f t="shared" si="2"/>
        <v>0</v>
      </c>
    </row>
    <row r="78">
      <c r="A78" s="12" t="str">
        <f t="shared" si="1"/>
        <v>(02) Comercial</v>
      </c>
      <c r="B78" s="13"/>
      <c r="C78" s="13"/>
      <c r="D78" s="19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6">
        <f t="shared" si="2"/>
        <v>0</v>
      </c>
    </row>
    <row r="79">
      <c r="A79" s="12" t="str">
        <f t="shared" si="1"/>
        <v>(02) Comercial</v>
      </c>
      <c r="B79" s="13"/>
      <c r="C79" s="13"/>
      <c r="D79" s="19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6">
        <f t="shared" si="2"/>
        <v>0</v>
      </c>
    </row>
    <row r="80">
      <c r="A80" s="12" t="str">
        <f t="shared" si="1"/>
        <v>(02) Comercial</v>
      </c>
      <c r="B80" s="13"/>
      <c r="C80" s="13"/>
      <c r="D80" s="19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6">
        <f t="shared" si="2"/>
        <v>0</v>
      </c>
    </row>
    <row r="81">
      <c r="A81" s="12" t="str">
        <f t="shared" si="1"/>
        <v>(02) Comercial</v>
      </c>
      <c r="B81" s="13"/>
      <c r="C81" s="13"/>
      <c r="D81" s="19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6">
        <f t="shared" si="2"/>
        <v>0</v>
      </c>
    </row>
    <row r="82">
      <c r="A82" s="12" t="str">
        <f t="shared" si="1"/>
        <v>(02) Comercial</v>
      </c>
      <c r="B82" s="13"/>
      <c r="C82" s="13"/>
      <c r="D82" s="19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6">
        <f t="shared" si="2"/>
        <v>0</v>
      </c>
    </row>
    <row r="83">
      <c r="A83" s="12" t="str">
        <f t="shared" si="1"/>
        <v>(02) Comercial</v>
      </c>
      <c r="B83" s="13"/>
      <c r="C83" s="13"/>
      <c r="D83" s="19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6">
        <f t="shared" si="2"/>
        <v>0</v>
      </c>
    </row>
    <row r="84">
      <c r="A84" s="12" t="str">
        <f t="shared" si="1"/>
        <v>(02) Comercial</v>
      </c>
      <c r="B84" s="13"/>
      <c r="C84" s="13"/>
      <c r="D84" s="19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6">
        <f t="shared" si="2"/>
        <v>0</v>
      </c>
    </row>
    <row r="85">
      <c r="A85" s="12" t="str">
        <f t="shared" si="1"/>
        <v>(02) Comercial</v>
      </c>
      <c r="B85" s="13"/>
      <c r="C85" s="13"/>
      <c r="D85" s="19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6">
        <f t="shared" si="2"/>
        <v>0</v>
      </c>
    </row>
    <row r="86">
      <c r="A86" s="12" t="str">
        <f t="shared" si="1"/>
        <v>(02) Comercial</v>
      </c>
      <c r="B86" s="13"/>
      <c r="C86" s="13"/>
      <c r="D86" s="19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6">
        <f t="shared" si="2"/>
        <v>0</v>
      </c>
    </row>
    <row r="87">
      <c r="A87" s="12" t="str">
        <f t="shared" si="1"/>
        <v>(02) Comercial</v>
      </c>
      <c r="B87" s="13"/>
      <c r="C87" s="13"/>
      <c r="D87" s="19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6">
        <f t="shared" si="2"/>
        <v>0</v>
      </c>
    </row>
    <row r="88">
      <c r="A88" s="12" t="str">
        <f t="shared" si="1"/>
        <v>(02) Comercial</v>
      </c>
      <c r="B88" s="13"/>
      <c r="C88" s="13"/>
      <c r="D88" s="19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6">
        <f t="shared" si="2"/>
        <v>0</v>
      </c>
    </row>
    <row r="89">
      <c r="A89" s="12" t="str">
        <f t="shared" si="1"/>
        <v>(02) Comercial</v>
      </c>
      <c r="B89" s="13"/>
      <c r="C89" s="13"/>
      <c r="D89" s="19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6">
        <f t="shared" si="2"/>
        <v>0</v>
      </c>
    </row>
    <row r="90">
      <c r="A90" s="12" t="str">
        <f t="shared" si="1"/>
        <v>(02) Comercial</v>
      </c>
      <c r="B90" s="13"/>
      <c r="C90" s="13"/>
      <c r="D90" s="19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6">
        <f t="shared" si="2"/>
        <v>0</v>
      </c>
    </row>
    <row r="91">
      <c r="A91" s="12" t="str">
        <f t="shared" si="1"/>
        <v>(02) Comercial</v>
      </c>
      <c r="B91" s="13"/>
      <c r="C91" s="13"/>
      <c r="D91" s="19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6">
        <f t="shared" si="2"/>
        <v>0</v>
      </c>
    </row>
    <row r="92">
      <c r="A92" s="12" t="str">
        <f t="shared" si="1"/>
        <v>(02) Comercial</v>
      </c>
      <c r="B92" s="13"/>
      <c r="C92" s="13"/>
      <c r="D92" s="19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6">
        <f t="shared" si="2"/>
        <v>0</v>
      </c>
    </row>
    <row r="93">
      <c r="A93" s="12" t="str">
        <f t="shared" si="1"/>
        <v>(02) Comercial</v>
      </c>
      <c r="B93" s="13"/>
      <c r="C93" s="13"/>
      <c r="D93" s="19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6">
        <f t="shared" si="2"/>
        <v>0</v>
      </c>
    </row>
    <row r="94">
      <c r="A94" s="12" t="str">
        <f t="shared" si="1"/>
        <v>(02) Comercial</v>
      </c>
      <c r="B94" s="13"/>
      <c r="C94" s="13"/>
      <c r="D94" s="19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6">
        <f t="shared" si="2"/>
        <v>0</v>
      </c>
    </row>
    <row r="95">
      <c r="A95" s="12" t="str">
        <f t="shared" si="1"/>
        <v>(02) Comercial</v>
      </c>
      <c r="B95" s="13"/>
      <c r="C95" s="13"/>
      <c r="D95" s="19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6">
        <f t="shared" si="2"/>
        <v>0</v>
      </c>
    </row>
    <row r="96">
      <c r="A96" s="12" t="str">
        <f t="shared" si="1"/>
        <v>(02) Comercial</v>
      </c>
      <c r="B96" s="13"/>
      <c r="C96" s="13"/>
      <c r="D96" s="19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6">
        <f t="shared" si="2"/>
        <v>0</v>
      </c>
    </row>
    <row r="97">
      <c r="A97" s="12" t="str">
        <f t="shared" si="1"/>
        <v>(02) Comercial</v>
      </c>
      <c r="B97" s="13"/>
      <c r="C97" s="13"/>
      <c r="D97" s="19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6">
        <f t="shared" si="2"/>
        <v>0</v>
      </c>
    </row>
    <row r="98">
      <c r="A98" s="12" t="str">
        <f t="shared" si="1"/>
        <v>(02) Comercial</v>
      </c>
      <c r="B98" s="13"/>
      <c r="C98" s="13"/>
      <c r="D98" s="19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6">
        <f t="shared" si="2"/>
        <v>0</v>
      </c>
    </row>
    <row r="99">
      <c r="A99" s="12" t="str">
        <f t="shared" si="1"/>
        <v>(02) Comercial</v>
      </c>
      <c r="B99" s="13"/>
      <c r="C99" s="13"/>
      <c r="D99" s="19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6">
        <f t="shared" si="2"/>
        <v>0</v>
      </c>
    </row>
    <row r="100">
      <c r="A100" s="12" t="str">
        <f t="shared" si="1"/>
        <v>(02) Comercial</v>
      </c>
      <c r="B100" s="13"/>
      <c r="C100" s="13"/>
      <c r="D100" s="19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6">
        <f t="shared" si="2"/>
        <v>0</v>
      </c>
    </row>
    <row r="101">
      <c r="A101" s="12" t="str">
        <f t="shared" si="1"/>
        <v>(02) Comercial</v>
      </c>
      <c r="B101" s="13"/>
      <c r="C101" s="13"/>
      <c r="D101" s="19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6">
        <f t="shared" si="2"/>
        <v>0</v>
      </c>
    </row>
    <row r="102">
      <c r="A102" s="12" t="str">
        <f t="shared" si="1"/>
        <v>(02) Comercial</v>
      </c>
      <c r="B102" s="13"/>
      <c r="C102" s="13"/>
      <c r="D102" s="19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6">
        <f t="shared" si="2"/>
        <v>0</v>
      </c>
    </row>
    <row r="103">
      <c r="A103" s="12" t="str">
        <f t="shared" si="1"/>
        <v>(02) Comercial</v>
      </c>
      <c r="B103" s="13"/>
      <c r="C103" s="13"/>
      <c r="D103" s="19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6">
        <f t="shared" si="2"/>
        <v>0</v>
      </c>
    </row>
    <row r="104">
      <c r="A104" s="12" t="str">
        <f t="shared" si="1"/>
        <v>(02) Comercial</v>
      </c>
      <c r="B104" s="13"/>
      <c r="C104" s="13"/>
      <c r="D104" s="19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6">
        <f t="shared" si="2"/>
        <v>0</v>
      </c>
    </row>
    <row r="105">
      <c r="A105" s="12" t="str">
        <f t="shared" si="1"/>
        <v>(02) Comercial</v>
      </c>
      <c r="B105" s="13"/>
      <c r="C105" s="13"/>
      <c r="D105" s="19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6">
        <f t="shared" si="2"/>
        <v>0</v>
      </c>
    </row>
    <row r="106">
      <c r="A106" s="12" t="str">
        <f t="shared" si="1"/>
        <v>(02) Comercial</v>
      </c>
      <c r="B106" s="13"/>
      <c r="C106" s="13"/>
      <c r="D106" s="19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6">
        <f t="shared" si="2"/>
        <v>0</v>
      </c>
    </row>
    <row r="107">
      <c r="A107" s="12" t="str">
        <f t="shared" si="1"/>
        <v>(02) Comercial</v>
      </c>
      <c r="B107" s="13"/>
      <c r="C107" s="13"/>
      <c r="D107" s="19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6">
        <f t="shared" si="2"/>
        <v>0</v>
      </c>
    </row>
    <row r="108">
      <c r="A108" s="12" t="str">
        <f t="shared" si="1"/>
        <v>(02) Comercial</v>
      </c>
      <c r="B108" s="13"/>
      <c r="C108" s="13"/>
      <c r="D108" s="19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6">
        <f t="shared" si="2"/>
        <v>0</v>
      </c>
    </row>
    <row r="109">
      <c r="A109" s="12" t="str">
        <f t="shared" si="1"/>
        <v>(02) Comercial</v>
      </c>
      <c r="B109" s="13"/>
      <c r="C109" s="13"/>
      <c r="D109" s="19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6">
        <f t="shared" si="2"/>
        <v>0</v>
      </c>
    </row>
    <row r="110">
      <c r="A110" s="12" t="str">
        <f t="shared" si="1"/>
        <v>(02) Comercial</v>
      </c>
      <c r="B110" s="13"/>
      <c r="C110" s="13"/>
      <c r="D110" s="19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6">
        <f t="shared" si="2"/>
        <v>0</v>
      </c>
    </row>
    <row r="111">
      <c r="A111" s="12" t="str">
        <f t="shared" si="1"/>
        <v>(02) Comercial</v>
      </c>
      <c r="B111" s="13"/>
      <c r="C111" s="13"/>
      <c r="D111" s="19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6">
        <f t="shared" si="2"/>
        <v>0</v>
      </c>
    </row>
    <row r="112">
      <c r="A112" s="12" t="str">
        <f t="shared" si="1"/>
        <v>(02) Comercial</v>
      </c>
      <c r="B112" s="13"/>
      <c r="C112" s="13"/>
      <c r="D112" s="19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6">
        <f t="shared" si="2"/>
        <v>0</v>
      </c>
    </row>
    <row r="113">
      <c r="A113" s="12" t="str">
        <f t="shared" si="1"/>
        <v>(02) Comercial</v>
      </c>
      <c r="B113" s="13"/>
      <c r="C113" s="13"/>
      <c r="D113" s="19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6">
        <f t="shared" si="2"/>
        <v>0</v>
      </c>
    </row>
    <row r="114">
      <c r="A114" s="12" t="str">
        <f t="shared" si="1"/>
        <v>(02) Comercial</v>
      </c>
      <c r="B114" s="13"/>
      <c r="C114" s="13"/>
      <c r="D114" s="19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6">
        <f t="shared" si="2"/>
        <v>0</v>
      </c>
    </row>
    <row r="115">
      <c r="A115" s="12" t="str">
        <f t="shared" si="1"/>
        <v>(02) Comercial</v>
      </c>
      <c r="B115" s="13"/>
      <c r="C115" s="13"/>
      <c r="D115" s="19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6">
        <f t="shared" si="2"/>
        <v>0</v>
      </c>
    </row>
    <row r="116">
      <c r="A116" s="12" t="str">
        <f t="shared" si="1"/>
        <v>(02) Comercial</v>
      </c>
      <c r="B116" s="13"/>
      <c r="C116" s="13"/>
      <c r="D116" s="19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6">
        <f t="shared" si="2"/>
        <v>0</v>
      </c>
    </row>
    <row r="117">
      <c r="A117" s="12" t="str">
        <f t="shared" si="1"/>
        <v>(02) Comercial</v>
      </c>
      <c r="B117" s="13"/>
      <c r="C117" s="13"/>
      <c r="D117" s="19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6">
        <f t="shared" si="2"/>
        <v>0</v>
      </c>
    </row>
    <row r="118">
      <c r="A118" s="12" t="str">
        <f t="shared" si="1"/>
        <v>(02) Comercial</v>
      </c>
      <c r="B118" s="13"/>
      <c r="C118" s="13"/>
      <c r="D118" s="19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6">
        <f t="shared" si="2"/>
        <v>0</v>
      </c>
    </row>
    <row r="119">
      <c r="A119" s="12" t="str">
        <f t="shared" si="1"/>
        <v>(02) Comercial</v>
      </c>
      <c r="B119" s="13"/>
      <c r="C119" s="13"/>
      <c r="D119" s="19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6">
        <f t="shared" si="2"/>
        <v>0</v>
      </c>
    </row>
    <row r="120">
      <c r="A120" s="12" t="str">
        <f t="shared" si="1"/>
        <v>(02) Comercial</v>
      </c>
      <c r="B120" s="13"/>
      <c r="C120" s="13"/>
      <c r="D120" s="19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6">
        <f t="shared" si="2"/>
        <v>0</v>
      </c>
    </row>
    <row r="121">
      <c r="A121" s="12" t="str">
        <f t="shared" si="1"/>
        <v>(02) Comercial</v>
      </c>
      <c r="B121" s="13"/>
      <c r="C121" s="13"/>
      <c r="D121" s="19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6">
        <f t="shared" si="2"/>
        <v>0</v>
      </c>
    </row>
    <row r="122">
      <c r="A122" s="12" t="str">
        <f t="shared" si="1"/>
        <v>(02) Comercial</v>
      </c>
      <c r="B122" s="13"/>
      <c r="C122" s="13"/>
      <c r="D122" s="19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6">
        <f t="shared" si="2"/>
        <v>0</v>
      </c>
    </row>
    <row r="123">
      <c r="A123" s="12" t="str">
        <f t="shared" si="1"/>
        <v>(02) Comercial</v>
      </c>
      <c r="B123" s="13"/>
      <c r="C123" s="13"/>
      <c r="D123" s="19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6">
        <f t="shared" si="2"/>
        <v>0</v>
      </c>
    </row>
    <row r="124">
      <c r="A124" s="12" t="str">
        <f t="shared" si="1"/>
        <v>(02) Comercial</v>
      </c>
      <c r="B124" s="13"/>
      <c r="C124" s="13"/>
      <c r="D124" s="19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6">
        <f t="shared" si="2"/>
        <v>0</v>
      </c>
    </row>
    <row r="125">
      <c r="A125" s="12" t="str">
        <f t="shared" si="1"/>
        <v>(02) Comercial</v>
      </c>
      <c r="B125" s="13"/>
      <c r="C125" s="13"/>
      <c r="D125" s="19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6">
        <f t="shared" si="2"/>
        <v>0</v>
      </c>
    </row>
    <row r="126">
      <c r="A126" s="12" t="str">
        <f t="shared" si="1"/>
        <v>(02) Comercial</v>
      </c>
      <c r="B126" s="13"/>
      <c r="C126" s="13"/>
      <c r="D126" s="19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6">
        <f t="shared" si="2"/>
        <v>0</v>
      </c>
    </row>
    <row r="127">
      <c r="A127" s="12" t="str">
        <f t="shared" si="1"/>
        <v>(02) Comercial</v>
      </c>
      <c r="B127" s="13"/>
      <c r="C127" s="13"/>
      <c r="D127" s="19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6">
        <f t="shared" si="2"/>
        <v>0</v>
      </c>
    </row>
    <row r="128">
      <c r="A128" s="12" t="str">
        <f t="shared" si="1"/>
        <v>(02) Comercial</v>
      </c>
      <c r="B128" s="13"/>
      <c r="C128" s="13"/>
      <c r="D128" s="19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6">
        <f t="shared" si="2"/>
        <v>0</v>
      </c>
    </row>
    <row r="129">
      <c r="A129" s="12" t="str">
        <f t="shared" si="1"/>
        <v>(02) Comercial</v>
      </c>
      <c r="B129" s="13"/>
      <c r="C129" s="13"/>
      <c r="D129" s="19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6">
        <f t="shared" si="2"/>
        <v>0</v>
      </c>
    </row>
    <row r="130">
      <c r="A130" s="12" t="str">
        <f t="shared" si="1"/>
        <v>(02) Comercial</v>
      </c>
      <c r="B130" s="13"/>
      <c r="C130" s="13"/>
      <c r="D130" s="19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6">
        <f t="shared" si="2"/>
        <v>0</v>
      </c>
    </row>
    <row r="131">
      <c r="A131" s="12" t="str">
        <f t="shared" si="1"/>
        <v>(02) Comercial</v>
      </c>
      <c r="B131" s="13"/>
      <c r="C131" s="13"/>
      <c r="D131" s="19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6">
        <f t="shared" si="2"/>
        <v>0</v>
      </c>
    </row>
    <row r="132">
      <c r="A132" s="12" t="str">
        <f t="shared" si="1"/>
        <v>(02) Comercial</v>
      </c>
      <c r="B132" s="13"/>
      <c r="C132" s="13"/>
      <c r="D132" s="19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6">
        <f t="shared" si="2"/>
        <v>0</v>
      </c>
    </row>
    <row r="133">
      <c r="A133" s="12" t="str">
        <f t="shared" si="1"/>
        <v>(02) Comercial</v>
      </c>
      <c r="B133" s="13"/>
      <c r="C133" s="13"/>
      <c r="D133" s="19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6">
        <f t="shared" si="2"/>
        <v>0</v>
      </c>
    </row>
    <row r="134">
      <c r="A134" s="12" t="str">
        <f t="shared" si="1"/>
        <v>(02) Comercial</v>
      </c>
      <c r="B134" s="13"/>
      <c r="C134" s="13"/>
      <c r="D134" s="19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6">
        <f t="shared" si="2"/>
        <v>0</v>
      </c>
    </row>
    <row r="135">
      <c r="A135" s="12" t="str">
        <f t="shared" si="1"/>
        <v>(02) Comercial</v>
      </c>
      <c r="B135" s="13"/>
      <c r="C135" s="13"/>
      <c r="D135" s="19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6">
        <f t="shared" si="2"/>
        <v>0</v>
      </c>
    </row>
    <row r="136">
      <c r="A136" s="12" t="str">
        <f t="shared" si="1"/>
        <v>(02) Comercial</v>
      </c>
      <c r="B136" s="13"/>
      <c r="C136" s="13"/>
      <c r="D136" s="19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6">
        <f t="shared" si="2"/>
        <v>0</v>
      </c>
    </row>
    <row r="137">
      <c r="A137" s="12" t="str">
        <f t="shared" si="1"/>
        <v>(02) Comercial</v>
      </c>
      <c r="B137" s="13"/>
      <c r="C137" s="13"/>
      <c r="D137" s="19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6">
        <f t="shared" si="2"/>
        <v>0</v>
      </c>
    </row>
    <row r="138">
      <c r="A138" s="12" t="str">
        <f t="shared" si="1"/>
        <v>(02) Comercial</v>
      </c>
      <c r="B138" s="13"/>
      <c r="C138" s="13"/>
      <c r="D138" s="19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6">
        <f t="shared" si="2"/>
        <v>0</v>
      </c>
    </row>
    <row r="139">
      <c r="A139" s="12" t="str">
        <f t="shared" si="1"/>
        <v>(02) Comercial</v>
      </c>
      <c r="B139" s="13"/>
      <c r="C139" s="13"/>
      <c r="D139" s="19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6">
        <f t="shared" si="2"/>
        <v>0</v>
      </c>
    </row>
    <row r="140">
      <c r="A140" s="12" t="str">
        <f t="shared" si="1"/>
        <v>(02) Comercial</v>
      </c>
      <c r="B140" s="13"/>
      <c r="C140" s="13"/>
      <c r="D140" s="19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6">
        <f t="shared" si="2"/>
        <v>0</v>
      </c>
    </row>
    <row r="141">
      <c r="A141" s="12" t="str">
        <f t="shared" si="1"/>
        <v>(02) Comercial</v>
      </c>
      <c r="B141" s="13"/>
      <c r="C141" s="13"/>
      <c r="D141" s="19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6">
        <f t="shared" si="2"/>
        <v>0</v>
      </c>
    </row>
    <row r="142">
      <c r="A142" s="12" t="str">
        <f t="shared" si="1"/>
        <v>(02) Comercial</v>
      </c>
      <c r="B142" s="13"/>
      <c r="C142" s="13"/>
      <c r="D142" s="19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6">
        <f t="shared" si="2"/>
        <v>0</v>
      </c>
    </row>
    <row r="143">
      <c r="A143" s="12" t="str">
        <f t="shared" si="1"/>
        <v>(02) Comercial</v>
      </c>
      <c r="B143" s="13"/>
      <c r="C143" s="13"/>
      <c r="D143" s="19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6">
        <f t="shared" si="2"/>
        <v>0</v>
      </c>
    </row>
    <row r="144">
      <c r="A144" s="12" t="str">
        <f t="shared" si="1"/>
        <v>(02) Comercial</v>
      </c>
      <c r="B144" s="13"/>
      <c r="C144" s="13"/>
      <c r="D144" s="19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6">
        <f t="shared" si="2"/>
        <v>0</v>
      </c>
    </row>
    <row r="145">
      <c r="A145" s="12" t="str">
        <f t="shared" si="1"/>
        <v>(02) Comercial</v>
      </c>
      <c r="B145" s="13"/>
      <c r="C145" s="13"/>
      <c r="D145" s="19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6">
        <f t="shared" si="2"/>
        <v>0</v>
      </c>
    </row>
    <row r="146">
      <c r="A146" s="12" t="str">
        <f t="shared" si="1"/>
        <v>(02) Comercial</v>
      </c>
      <c r="B146" s="13"/>
      <c r="C146" s="13"/>
      <c r="D146" s="19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6">
        <f t="shared" si="2"/>
        <v>0</v>
      </c>
    </row>
    <row r="147">
      <c r="A147" s="12" t="str">
        <f t="shared" si="1"/>
        <v>(02) Comercial</v>
      </c>
      <c r="B147" s="13"/>
      <c r="C147" s="13"/>
      <c r="D147" s="19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6">
        <f t="shared" si="2"/>
        <v>0</v>
      </c>
    </row>
    <row r="148">
      <c r="A148" s="12" t="str">
        <f t="shared" si="1"/>
        <v>(02) Comercial</v>
      </c>
      <c r="B148" s="13"/>
      <c r="C148" s="13"/>
      <c r="D148" s="19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6">
        <f t="shared" si="2"/>
        <v>0</v>
      </c>
    </row>
    <row r="149">
      <c r="A149" s="12" t="str">
        <f t="shared" si="1"/>
        <v>(02) Comercial</v>
      </c>
      <c r="B149" s="13"/>
      <c r="C149" s="13"/>
      <c r="D149" s="19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6">
        <f t="shared" si="2"/>
        <v>0</v>
      </c>
    </row>
    <row r="150">
      <c r="A150" s="12" t="str">
        <f t="shared" si="1"/>
        <v>(02) Comercial</v>
      </c>
      <c r="B150" s="13"/>
      <c r="C150" s="13"/>
      <c r="D150" s="19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6">
        <f t="shared" si="2"/>
        <v>0</v>
      </c>
    </row>
    <row r="151">
      <c r="A151" s="12" t="str">
        <f t="shared" si="1"/>
        <v>(02) Comercial</v>
      </c>
      <c r="B151" s="13"/>
      <c r="C151" s="13"/>
      <c r="D151" s="19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6">
        <f t="shared" si="2"/>
        <v>0</v>
      </c>
    </row>
    <row r="152">
      <c r="A152" s="12" t="str">
        <f t="shared" si="1"/>
        <v>(02) Comercial</v>
      </c>
      <c r="B152" s="13"/>
      <c r="C152" s="13"/>
      <c r="D152" s="19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6">
        <f t="shared" si="2"/>
        <v>0</v>
      </c>
    </row>
    <row r="153">
      <c r="A153" s="12" t="str">
        <f t="shared" si="1"/>
        <v>(02) Comercial</v>
      </c>
      <c r="B153" s="13"/>
      <c r="C153" s="13"/>
      <c r="D153" s="19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6">
        <f t="shared" si="2"/>
        <v>0</v>
      </c>
    </row>
    <row r="154">
      <c r="A154" s="12" t="str">
        <f t="shared" si="1"/>
        <v>(02) Comercial</v>
      </c>
      <c r="B154" s="13"/>
      <c r="C154" s="13"/>
      <c r="D154" s="19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6">
        <f t="shared" si="2"/>
        <v>0</v>
      </c>
    </row>
    <row r="155">
      <c r="A155" s="12" t="str">
        <f t="shared" si="1"/>
        <v>(02) Comercial</v>
      </c>
      <c r="B155" s="13"/>
      <c r="C155" s="13"/>
      <c r="D155" s="19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6">
        <f t="shared" si="2"/>
        <v>0</v>
      </c>
    </row>
    <row r="156">
      <c r="A156" s="12" t="str">
        <f t="shared" si="1"/>
        <v>(02) Comercial</v>
      </c>
      <c r="B156" s="13"/>
      <c r="C156" s="13"/>
      <c r="D156" s="19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6">
        <f t="shared" si="2"/>
        <v>0</v>
      </c>
    </row>
    <row r="157">
      <c r="A157" s="12" t="str">
        <f t="shared" si="1"/>
        <v>(02) Comercial</v>
      </c>
      <c r="B157" s="13"/>
      <c r="C157" s="13"/>
      <c r="D157" s="19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6">
        <f t="shared" si="2"/>
        <v>0</v>
      </c>
    </row>
    <row r="158">
      <c r="A158" s="12" t="str">
        <f t="shared" si="1"/>
        <v>(02) Comercial</v>
      </c>
      <c r="B158" s="13"/>
      <c r="C158" s="13"/>
      <c r="D158" s="19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6">
        <f t="shared" si="2"/>
        <v>0</v>
      </c>
    </row>
    <row r="159">
      <c r="A159" s="12" t="str">
        <f t="shared" si="1"/>
        <v>(02) Comercial</v>
      </c>
      <c r="B159" s="13"/>
      <c r="C159" s="13"/>
      <c r="D159" s="19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6">
        <f t="shared" si="2"/>
        <v>0</v>
      </c>
    </row>
    <row r="160">
      <c r="A160" s="12" t="str">
        <f t="shared" si="1"/>
        <v>(02) Comercial</v>
      </c>
      <c r="B160" s="13"/>
      <c r="C160" s="13"/>
      <c r="D160" s="19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6">
        <f t="shared" si="2"/>
        <v>0</v>
      </c>
    </row>
    <row r="161">
      <c r="A161" s="12" t="str">
        <f t="shared" si="1"/>
        <v>(02) Comercial</v>
      </c>
      <c r="B161" s="13"/>
      <c r="C161" s="13"/>
      <c r="D161" s="19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6">
        <f t="shared" si="2"/>
        <v>0</v>
      </c>
    </row>
    <row r="162">
      <c r="A162" s="12" t="str">
        <f t="shared" si="1"/>
        <v>(02) Comercial</v>
      </c>
      <c r="B162" s="13"/>
      <c r="C162" s="13"/>
      <c r="D162" s="19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6">
        <f t="shared" si="2"/>
        <v>0</v>
      </c>
    </row>
    <row r="163">
      <c r="A163" s="12" t="str">
        <f t="shared" si="1"/>
        <v>(02) Comercial</v>
      </c>
      <c r="B163" s="13"/>
      <c r="C163" s="13"/>
      <c r="D163" s="19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6">
        <f t="shared" si="2"/>
        <v>0</v>
      </c>
    </row>
    <row r="164">
      <c r="A164" s="12" t="str">
        <f t="shared" si="1"/>
        <v>(02) Comercial</v>
      </c>
      <c r="B164" s="13"/>
      <c r="C164" s="13"/>
      <c r="D164" s="19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6">
        <f t="shared" si="2"/>
        <v>0</v>
      </c>
    </row>
    <row r="165">
      <c r="A165" s="12" t="str">
        <f t="shared" si="1"/>
        <v>(02) Comercial</v>
      </c>
      <c r="B165" s="13"/>
      <c r="C165" s="13"/>
      <c r="D165" s="19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6">
        <f t="shared" si="2"/>
        <v>0</v>
      </c>
    </row>
    <row r="166">
      <c r="A166" s="12" t="str">
        <f t="shared" si="1"/>
        <v>(02) Comercial</v>
      </c>
      <c r="B166" s="13"/>
      <c r="C166" s="13"/>
      <c r="D166" s="19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6">
        <f t="shared" si="2"/>
        <v>0</v>
      </c>
    </row>
    <row r="167">
      <c r="A167" s="12" t="str">
        <f t="shared" si="1"/>
        <v>(02) Comercial</v>
      </c>
      <c r="B167" s="13"/>
      <c r="C167" s="13"/>
      <c r="D167" s="19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6">
        <f t="shared" si="2"/>
        <v>0</v>
      </c>
    </row>
    <row r="168">
      <c r="A168" s="12" t="str">
        <f t="shared" si="1"/>
        <v>(02) Comercial</v>
      </c>
      <c r="B168" s="13"/>
      <c r="C168" s="13"/>
      <c r="D168" s="19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6">
        <f t="shared" si="2"/>
        <v>0</v>
      </c>
    </row>
    <row r="169">
      <c r="A169" s="12" t="str">
        <f t="shared" si="1"/>
        <v>(02) Comercial</v>
      </c>
      <c r="B169" s="13"/>
      <c r="C169" s="13"/>
      <c r="D169" s="19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6">
        <f t="shared" si="2"/>
        <v>0</v>
      </c>
    </row>
    <row r="170">
      <c r="A170" s="12" t="str">
        <f t="shared" si="1"/>
        <v>(02) Comercial</v>
      </c>
      <c r="B170" s="13"/>
      <c r="C170" s="13"/>
      <c r="D170" s="19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6">
        <f t="shared" si="2"/>
        <v>0</v>
      </c>
    </row>
    <row r="171">
      <c r="A171" s="12" t="str">
        <f t="shared" si="1"/>
        <v>(02) Comercial</v>
      </c>
      <c r="B171" s="13"/>
      <c r="C171" s="13"/>
      <c r="D171" s="19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6">
        <f t="shared" si="2"/>
        <v>0</v>
      </c>
    </row>
    <row r="172">
      <c r="A172" s="12" t="str">
        <f t="shared" si="1"/>
        <v>(02) Comercial</v>
      </c>
      <c r="B172" s="13"/>
      <c r="C172" s="13"/>
      <c r="D172" s="19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6">
        <f t="shared" si="2"/>
        <v>0</v>
      </c>
    </row>
    <row r="173">
      <c r="A173" s="12" t="str">
        <f t="shared" si="1"/>
        <v>(02) Comercial</v>
      </c>
      <c r="B173" s="13"/>
      <c r="C173" s="13"/>
      <c r="D173" s="19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6">
        <f t="shared" si="2"/>
        <v>0</v>
      </c>
    </row>
    <row r="174">
      <c r="A174" s="12" t="str">
        <f t="shared" si="1"/>
        <v>(02) Comercial</v>
      </c>
      <c r="B174" s="13"/>
      <c r="C174" s="13"/>
      <c r="D174" s="19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6">
        <f t="shared" si="2"/>
        <v>0</v>
      </c>
    </row>
    <row r="175">
      <c r="A175" s="12" t="str">
        <f t="shared" si="1"/>
        <v>(02) Comercial</v>
      </c>
      <c r="B175" s="13"/>
      <c r="C175" s="13"/>
      <c r="D175" s="19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6">
        <f t="shared" si="2"/>
        <v>0</v>
      </c>
    </row>
    <row r="176">
      <c r="A176" s="12" t="str">
        <f t="shared" si="1"/>
        <v>(02) Comercial</v>
      </c>
      <c r="B176" s="13"/>
      <c r="C176" s="13"/>
      <c r="D176" s="19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6">
        <f t="shared" si="2"/>
        <v>0</v>
      </c>
    </row>
    <row r="177">
      <c r="A177" s="12" t="str">
        <f t="shared" si="1"/>
        <v>(02) Comercial</v>
      </c>
      <c r="B177" s="13"/>
      <c r="C177" s="13"/>
      <c r="D177" s="19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6">
        <f t="shared" si="2"/>
        <v>0</v>
      </c>
    </row>
    <row r="178">
      <c r="A178" s="12" t="str">
        <f t="shared" si="1"/>
        <v>(02) Comercial</v>
      </c>
      <c r="B178" s="13"/>
      <c r="C178" s="13"/>
      <c r="D178" s="19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6">
        <f t="shared" si="2"/>
        <v>0</v>
      </c>
    </row>
    <row r="179">
      <c r="A179" s="12" t="str">
        <f t="shared" si="1"/>
        <v>(02) Comercial</v>
      </c>
      <c r="B179" s="13"/>
      <c r="C179" s="13"/>
      <c r="D179" s="1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6">
        <f t="shared" si="2"/>
        <v>0</v>
      </c>
    </row>
    <row r="180">
      <c r="A180" s="12" t="str">
        <f t="shared" si="1"/>
        <v>(02) Comercial</v>
      </c>
      <c r="B180" s="13"/>
      <c r="C180" s="13"/>
      <c r="D180" s="19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6">
        <f t="shared" si="2"/>
        <v>0</v>
      </c>
    </row>
    <row r="181">
      <c r="A181" s="12" t="str">
        <f t="shared" si="1"/>
        <v>(02) Comercial</v>
      </c>
      <c r="B181" s="13"/>
      <c r="C181" s="13"/>
      <c r="D181" s="19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6">
        <f t="shared" si="2"/>
        <v>0</v>
      </c>
    </row>
    <row r="182">
      <c r="A182" s="12" t="str">
        <f t="shared" si="1"/>
        <v>(02) Comercial</v>
      </c>
      <c r="B182" s="13"/>
      <c r="C182" s="13"/>
      <c r="D182" s="19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6">
        <f t="shared" si="2"/>
        <v>0</v>
      </c>
    </row>
    <row r="183">
      <c r="A183" s="12" t="str">
        <f t="shared" si="1"/>
        <v>(02) Comercial</v>
      </c>
      <c r="B183" s="13"/>
      <c r="C183" s="13"/>
      <c r="D183" s="19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6">
        <f t="shared" si="2"/>
        <v>0</v>
      </c>
    </row>
    <row r="184">
      <c r="A184" s="12" t="str">
        <f t="shared" si="1"/>
        <v>(02) Comercial</v>
      </c>
      <c r="B184" s="13"/>
      <c r="C184" s="13"/>
      <c r="D184" s="19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6">
        <f t="shared" si="2"/>
        <v>0</v>
      </c>
    </row>
    <row r="185">
      <c r="A185" s="12" t="str">
        <f t="shared" si="1"/>
        <v>(02) Comercial</v>
      </c>
      <c r="B185" s="13"/>
      <c r="C185" s="13"/>
      <c r="D185" s="19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6">
        <f t="shared" si="2"/>
        <v>0</v>
      </c>
    </row>
    <row r="186">
      <c r="A186" s="12" t="str">
        <f t="shared" si="1"/>
        <v>(02) Comercial</v>
      </c>
      <c r="B186" s="13"/>
      <c r="C186" s="13"/>
      <c r="D186" s="19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6">
        <f t="shared" si="2"/>
        <v>0</v>
      </c>
    </row>
    <row r="187">
      <c r="A187" s="12" t="str">
        <f t="shared" si="1"/>
        <v>(02) Comercial</v>
      </c>
      <c r="B187" s="13"/>
      <c r="C187" s="13"/>
      <c r="D187" s="19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6">
        <f t="shared" si="2"/>
        <v>0</v>
      </c>
    </row>
    <row r="188">
      <c r="A188" s="12" t="str">
        <f t="shared" si="1"/>
        <v>(02) Comercial</v>
      </c>
      <c r="B188" s="13"/>
      <c r="C188" s="13"/>
      <c r="D188" s="19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6">
        <f t="shared" si="2"/>
        <v>0</v>
      </c>
    </row>
    <row r="189">
      <c r="A189" s="12" t="str">
        <f t="shared" si="1"/>
        <v>(02) Comercial</v>
      </c>
      <c r="B189" s="13"/>
      <c r="C189" s="13"/>
      <c r="D189" s="19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6">
        <f t="shared" si="2"/>
        <v>0</v>
      </c>
    </row>
    <row r="190">
      <c r="A190" s="12" t="str">
        <f t="shared" si="1"/>
        <v>(02) Comercial</v>
      </c>
      <c r="B190" s="13"/>
      <c r="C190" s="13"/>
      <c r="D190" s="19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6">
        <f t="shared" si="2"/>
        <v>0</v>
      </c>
    </row>
    <row r="191">
      <c r="A191" s="12" t="str">
        <f t="shared" si="1"/>
        <v>(02) Comercial</v>
      </c>
      <c r="B191" s="13"/>
      <c r="C191" s="13"/>
      <c r="D191" s="19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6">
        <f t="shared" si="2"/>
        <v>0</v>
      </c>
    </row>
    <row r="192">
      <c r="A192" s="12" t="str">
        <f t="shared" si="1"/>
        <v>(02) Comercial</v>
      </c>
      <c r="B192" s="13"/>
      <c r="C192" s="13"/>
      <c r="D192" s="19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6">
        <f t="shared" si="2"/>
        <v>0</v>
      </c>
    </row>
    <row r="193">
      <c r="A193" s="12" t="str">
        <f t="shared" si="1"/>
        <v>(02) Comercial</v>
      </c>
      <c r="B193" s="13"/>
      <c r="C193" s="13"/>
      <c r="D193" s="19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6">
        <f t="shared" si="2"/>
        <v>0</v>
      </c>
    </row>
    <row r="194">
      <c r="A194" s="12" t="str">
        <f t="shared" si="1"/>
        <v>(02) Comercial</v>
      </c>
      <c r="B194" s="13"/>
      <c r="C194" s="13"/>
      <c r="D194" s="19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6">
        <f t="shared" si="2"/>
        <v>0</v>
      </c>
    </row>
    <row r="195">
      <c r="A195" s="12" t="str">
        <f t="shared" si="1"/>
        <v>(02) Comercial</v>
      </c>
      <c r="B195" s="13"/>
      <c r="C195" s="13"/>
      <c r="D195" s="19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6">
        <f t="shared" si="2"/>
        <v>0</v>
      </c>
    </row>
    <row r="196">
      <c r="A196" s="12" t="str">
        <f t="shared" si="1"/>
        <v>(02) Comercial</v>
      </c>
      <c r="B196" s="13"/>
      <c r="C196" s="13"/>
      <c r="D196" s="19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6">
        <f t="shared" si="2"/>
        <v>0</v>
      </c>
    </row>
    <row r="197">
      <c r="A197" s="12" t="str">
        <f t="shared" si="1"/>
        <v>(02) Comercial</v>
      </c>
      <c r="B197" s="13"/>
      <c r="C197" s="13"/>
      <c r="D197" s="19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6">
        <f t="shared" si="2"/>
        <v>0</v>
      </c>
    </row>
    <row r="198">
      <c r="A198" s="12" t="str">
        <f t="shared" si="1"/>
        <v>(02) Comercial</v>
      </c>
      <c r="B198" s="13"/>
      <c r="C198" s="13"/>
      <c r="D198" s="19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6">
        <f t="shared" si="2"/>
        <v>0</v>
      </c>
    </row>
    <row r="199">
      <c r="A199" s="12" t="str">
        <f t="shared" si="1"/>
        <v>(02) Comercial</v>
      </c>
      <c r="B199" s="13"/>
      <c r="C199" s="13"/>
      <c r="D199" s="19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6">
        <f t="shared" si="2"/>
        <v>0</v>
      </c>
    </row>
    <row r="200">
      <c r="A200" s="12" t="str">
        <f t="shared" si="1"/>
        <v>(02) Comercial</v>
      </c>
      <c r="B200" s="13"/>
      <c r="C200" s="13"/>
      <c r="D200" s="19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6">
        <f t="shared" si="2"/>
        <v>0</v>
      </c>
    </row>
    <row r="201">
      <c r="A201" s="12" t="str">
        <f t="shared" si="1"/>
        <v>(02) Comercial</v>
      </c>
      <c r="B201" s="13"/>
      <c r="C201" s="13"/>
      <c r="D201" s="19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6">
        <f t="shared" si="2"/>
        <v>0</v>
      </c>
    </row>
    <row r="202">
      <c r="A202" s="12" t="str">
        <f t="shared" si="1"/>
        <v>(02) Comercial</v>
      </c>
      <c r="B202" s="13"/>
      <c r="C202" s="13"/>
      <c r="D202" s="19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6">
        <f t="shared" si="2"/>
        <v>0</v>
      </c>
    </row>
    <row r="203">
      <c r="A203" s="12" t="str">
        <f t="shared" si="1"/>
        <v>(02) Comercial</v>
      </c>
      <c r="B203" s="13"/>
      <c r="C203" s="13"/>
      <c r="D203" s="19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6">
        <f t="shared" si="2"/>
        <v>0</v>
      </c>
    </row>
    <row r="204">
      <c r="A204" s="12" t="str">
        <f t="shared" si="1"/>
        <v>(02) Comercial</v>
      </c>
      <c r="B204" s="13"/>
      <c r="C204" s="13"/>
      <c r="D204" s="19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6">
        <f t="shared" si="2"/>
        <v>0</v>
      </c>
    </row>
    <row r="205">
      <c r="A205" s="12" t="str">
        <f t="shared" si="1"/>
        <v>(02) Comercial</v>
      </c>
      <c r="B205" s="13"/>
      <c r="C205" s="13"/>
      <c r="D205" s="19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6">
        <f t="shared" si="2"/>
        <v>0</v>
      </c>
    </row>
    <row r="206">
      <c r="A206" s="12" t="str">
        <f t="shared" si="1"/>
        <v>(02) Comercial</v>
      </c>
      <c r="B206" s="13"/>
      <c r="C206" s="13"/>
      <c r="D206" s="19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6">
        <f t="shared" si="2"/>
        <v>0</v>
      </c>
    </row>
    <row r="207">
      <c r="A207" s="12" t="str">
        <f t="shared" si="1"/>
        <v>(02) Comercial</v>
      </c>
      <c r="B207" s="13"/>
      <c r="C207" s="13"/>
      <c r="D207" s="19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6">
        <f t="shared" si="2"/>
        <v>0</v>
      </c>
    </row>
    <row r="208">
      <c r="A208" s="12" t="str">
        <f t="shared" si="1"/>
        <v>(02) Comercial</v>
      </c>
      <c r="B208" s="13"/>
      <c r="C208" s="13"/>
      <c r="D208" s="19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6">
        <f t="shared" si="2"/>
        <v>0</v>
      </c>
    </row>
    <row r="209">
      <c r="A209" s="12" t="str">
        <f t="shared" si="1"/>
        <v>(02) Comercial</v>
      </c>
      <c r="B209" s="13"/>
      <c r="C209" s="13"/>
      <c r="D209" s="19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6">
        <f t="shared" si="2"/>
        <v>0</v>
      </c>
    </row>
    <row r="210">
      <c r="A210" s="12" t="str">
        <f t="shared" si="1"/>
        <v>(02) Comercial</v>
      </c>
      <c r="B210" s="13"/>
      <c r="C210" s="13"/>
      <c r="D210" s="19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6">
        <f t="shared" si="2"/>
        <v>0</v>
      </c>
    </row>
    <row r="211">
      <c r="A211" s="12" t="str">
        <f t="shared" si="1"/>
        <v>(02) Comercial</v>
      </c>
      <c r="B211" s="13"/>
      <c r="C211" s="13"/>
      <c r="D211" s="19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6">
        <f t="shared" si="2"/>
        <v>0</v>
      </c>
    </row>
    <row r="212">
      <c r="A212" s="12" t="str">
        <f t="shared" si="1"/>
        <v>(02) Comercial</v>
      </c>
      <c r="B212" s="13"/>
      <c r="C212" s="13"/>
      <c r="D212" s="19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6">
        <f t="shared" si="2"/>
        <v>0</v>
      </c>
    </row>
    <row r="213">
      <c r="A213" s="12" t="str">
        <f t="shared" si="1"/>
        <v>(02) Comercial</v>
      </c>
      <c r="B213" s="13"/>
      <c r="C213" s="13"/>
      <c r="D213" s="19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6">
        <f t="shared" si="2"/>
        <v>0</v>
      </c>
    </row>
    <row r="214">
      <c r="A214" s="12" t="str">
        <f t="shared" si="1"/>
        <v>(02) Comercial</v>
      </c>
      <c r="B214" s="13"/>
      <c r="C214" s="13"/>
      <c r="D214" s="19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6">
        <f t="shared" si="2"/>
        <v>0</v>
      </c>
    </row>
    <row r="215">
      <c r="A215" s="12" t="str">
        <f t="shared" si="1"/>
        <v>(02) Comercial</v>
      </c>
      <c r="B215" s="13"/>
      <c r="C215" s="13"/>
      <c r="D215" s="19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6">
        <f t="shared" si="2"/>
        <v>0</v>
      </c>
    </row>
    <row r="216">
      <c r="A216" s="12" t="str">
        <f t="shared" si="1"/>
        <v>(02) Comercial</v>
      </c>
      <c r="B216" s="13"/>
      <c r="C216" s="13"/>
      <c r="D216" s="19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6">
        <f t="shared" si="2"/>
        <v>0</v>
      </c>
    </row>
    <row r="217">
      <c r="A217" s="12" t="str">
        <f t="shared" si="1"/>
        <v>(02) Comercial</v>
      </c>
      <c r="B217" s="13"/>
      <c r="C217" s="13"/>
      <c r="D217" s="19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6">
        <f t="shared" si="2"/>
        <v>0</v>
      </c>
    </row>
    <row r="218">
      <c r="A218" s="12" t="str">
        <f t="shared" si="1"/>
        <v>(02) Comercial</v>
      </c>
      <c r="B218" s="13"/>
      <c r="C218" s="13"/>
      <c r="D218" s="19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6">
        <f t="shared" si="2"/>
        <v>0</v>
      </c>
    </row>
    <row r="219">
      <c r="A219" s="12" t="str">
        <f t="shared" si="1"/>
        <v>(02) Comercial</v>
      </c>
      <c r="B219" s="13"/>
      <c r="C219" s="13"/>
      <c r="D219" s="19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6">
        <f t="shared" si="2"/>
        <v>0</v>
      </c>
    </row>
    <row r="220">
      <c r="A220" s="12" t="str">
        <f t="shared" si="1"/>
        <v>(02) Comercial</v>
      </c>
      <c r="B220" s="13"/>
      <c r="C220" s="13"/>
      <c r="D220" s="19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6">
        <f t="shared" si="2"/>
        <v>0</v>
      </c>
    </row>
    <row r="221">
      <c r="A221" s="12" t="str">
        <f t="shared" si="1"/>
        <v>(02) Comercial</v>
      </c>
      <c r="B221" s="13"/>
      <c r="C221" s="13"/>
      <c r="D221" s="19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6">
        <f t="shared" si="2"/>
        <v>0</v>
      </c>
    </row>
    <row r="222">
      <c r="A222" s="12" t="str">
        <f t="shared" si="1"/>
        <v>(02) Comercial</v>
      </c>
      <c r="B222" s="13"/>
      <c r="C222" s="13"/>
      <c r="D222" s="19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6">
        <f t="shared" si="2"/>
        <v>0</v>
      </c>
    </row>
    <row r="223">
      <c r="A223" s="12" t="str">
        <f t="shared" si="1"/>
        <v>(02) Comercial</v>
      </c>
      <c r="B223" s="13"/>
      <c r="C223" s="13"/>
      <c r="D223" s="19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6">
        <f t="shared" si="2"/>
        <v>0</v>
      </c>
    </row>
    <row r="224">
      <c r="A224" s="12" t="str">
        <f t="shared" si="1"/>
        <v>(02) Comercial</v>
      </c>
      <c r="B224" s="13"/>
      <c r="C224" s="13"/>
      <c r="D224" s="19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6">
        <f t="shared" si="2"/>
        <v>0</v>
      </c>
    </row>
    <row r="225">
      <c r="A225" s="12" t="str">
        <f t="shared" si="1"/>
        <v>(02) Comercial</v>
      </c>
      <c r="B225" s="13"/>
      <c r="C225" s="13"/>
      <c r="D225" s="19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6">
        <f t="shared" si="2"/>
        <v>0</v>
      </c>
    </row>
    <row r="226">
      <c r="A226" s="12" t="str">
        <f t="shared" si="1"/>
        <v>(02) Comercial</v>
      </c>
      <c r="B226" s="13"/>
      <c r="C226" s="13"/>
      <c r="D226" s="19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6">
        <f t="shared" si="2"/>
        <v>0</v>
      </c>
    </row>
    <row r="227">
      <c r="A227" s="12" t="str">
        <f t="shared" si="1"/>
        <v>(02) Comercial</v>
      </c>
      <c r="B227" s="13"/>
      <c r="C227" s="13"/>
      <c r="D227" s="19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6">
        <f t="shared" si="2"/>
        <v>0</v>
      </c>
    </row>
    <row r="228">
      <c r="A228" s="12" t="str">
        <f t="shared" si="1"/>
        <v>(02) Comercial</v>
      </c>
      <c r="B228" s="13"/>
      <c r="C228" s="13"/>
      <c r="D228" s="19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6">
        <f t="shared" si="2"/>
        <v>0</v>
      </c>
    </row>
    <row r="229">
      <c r="A229" s="12" t="str">
        <f t="shared" si="1"/>
        <v>(02) Comercial</v>
      </c>
      <c r="B229" s="13"/>
      <c r="C229" s="13"/>
      <c r="D229" s="19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6">
        <f t="shared" si="2"/>
        <v>0</v>
      </c>
    </row>
    <row r="230">
      <c r="A230" s="12" t="str">
        <f t="shared" si="1"/>
        <v>(02) Comercial</v>
      </c>
      <c r="B230" s="13"/>
      <c r="C230" s="13"/>
      <c r="D230" s="19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6">
        <f t="shared" si="2"/>
        <v>0</v>
      </c>
    </row>
    <row r="231">
      <c r="A231" s="12" t="str">
        <f t="shared" si="1"/>
        <v>(02) Comercial</v>
      </c>
      <c r="B231" s="13"/>
      <c r="C231" s="13"/>
      <c r="D231" s="19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6">
        <f t="shared" si="2"/>
        <v>0</v>
      </c>
    </row>
    <row r="232">
      <c r="A232" s="12" t="str">
        <f t="shared" si="1"/>
        <v>(02) Comercial</v>
      </c>
      <c r="B232" s="13"/>
      <c r="C232" s="13"/>
      <c r="D232" s="19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6">
        <f t="shared" si="2"/>
        <v>0</v>
      </c>
    </row>
    <row r="233">
      <c r="A233" s="12" t="str">
        <f t="shared" si="1"/>
        <v>(02) Comercial</v>
      </c>
      <c r="B233" s="13"/>
      <c r="C233" s="13"/>
      <c r="D233" s="19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6">
        <f t="shared" si="2"/>
        <v>0</v>
      </c>
    </row>
    <row r="234">
      <c r="A234" s="12" t="str">
        <f t="shared" si="1"/>
        <v>(02) Comercial</v>
      </c>
      <c r="B234" s="13"/>
      <c r="C234" s="13"/>
      <c r="D234" s="19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6">
        <f t="shared" si="2"/>
        <v>0</v>
      </c>
    </row>
    <row r="235">
      <c r="A235" s="12" t="str">
        <f t="shared" si="1"/>
        <v>(02) Comercial</v>
      </c>
      <c r="B235" s="13"/>
      <c r="C235" s="13"/>
      <c r="D235" s="19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6">
        <f t="shared" si="2"/>
        <v>0</v>
      </c>
    </row>
    <row r="236">
      <c r="A236" s="12" t="str">
        <f t="shared" si="1"/>
        <v>(02) Comercial</v>
      </c>
      <c r="B236" s="13"/>
      <c r="C236" s="13"/>
      <c r="D236" s="19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6">
        <f t="shared" si="2"/>
        <v>0</v>
      </c>
    </row>
    <row r="237">
      <c r="A237" s="12" t="str">
        <f t="shared" si="1"/>
        <v>(02) Comercial</v>
      </c>
      <c r="B237" s="13"/>
      <c r="C237" s="13"/>
      <c r="D237" s="19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6">
        <f t="shared" si="2"/>
        <v>0</v>
      </c>
    </row>
    <row r="238">
      <c r="A238" s="12" t="str">
        <f t="shared" si="1"/>
        <v>(02) Comercial</v>
      </c>
      <c r="B238" s="13"/>
      <c r="C238" s="13"/>
      <c r="D238" s="19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6">
        <f t="shared" si="2"/>
        <v>0</v>
      </c>
    </row>
    <row r="239">
      <c r="A239" s="12" t="str">
        <f t="shared" si="1"/>
        <v>(02) Comercial</v>
      </c>
      <c r="B239" s="13"/>
      <c r="C239" s="13"/>
      <c r="D239" s="19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6">
        <f t="shared" si="2"/>
        <v>0</v>
      </c>
    </row>
    <row r="240">
      <c r="A240" s="12" t="str">
        <f t="shared" si="1"/>
        <v>(02) Comercial</v>
      </c>
      <c r="B240" s="13"/>
      <c r="C240" s="13"/>
      <c r="D240" s="19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6">
        <f t="shared" si="2"/>
        <v>0</v>
      </c>
    </row>
    <row r="241">
      <c r="A241" s="12" t="str">
        <f t="shared" si="1"/>
        <v>(02) Comercial</v>
      </c>
      <c r="B241" s="13"/>
      <c r="C241" s="13"/>
      <c r="D241" s="19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6">
        <f t="shared" si="2"/>
        <v>0</v>
      </c>
    </row>
    <row r="242">
      <c r="A242" s="12" t="str">
        <f t="shared" si="1"/>
        <v>(02) Comercial</v>
      </c>
      <c r="B242" s="13"/>
      <c r="C242" s="13"/>
      <c r="D242" s="19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6">
        <f t="shared" si="2"/>
        <v>0</v>
      </c>
    </row>
    <row r="243">
      <c r="A243" s="12" t="str">
        <f t="shared" si="1"/>
        <v>(02) Comercial</v>
      </c>
      <c r="B243" s="13"/>
      <c r="C243" s="13"/>
      <c r="D243" s="19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6">
        <f t="shared" si="2"/>
        <v>0</v>
      </c>
    </row>
    <row r="244">
      <c r="A244" s="12" t="str">
        <f t="shared" si="1"/>
        <v>(02) Comercial</v>
      </c>
      <c r="B244" s="13"/>
      <c r="C244" s="13"/>
      <c r="D244" s="19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6">
        <f t="shared" si="2"/>
        <v>0</v>
      </c>
    </row>
    <row r="245">
      <c r="A245" s="12" t="str">
        <f t="shared" si="1"/>
        <v>(02) Comercial</v>
      </c>
      <c r="B245" s="13"/>
      <c r="C245" s="13"/>
      <c r="D245" s="19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6">
        <f t="shared" si="2"/>
        <v>0</v>
      </c>
    </row>
    <row r="246">
      <c r="A246" s="12" t="str">
        <f t="shared" si="1"/>
        <v>(02) Comercial</v>
      </c>
      <c r="B246" s="13"/>
      <c r="C246" s="13"/>
      <c r="D246" s="19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6">
        <f t="shared" si="2"/>
        <v>0</v>
      </c>
    </row>
    <row r="247">
      <c r="A247" s="12" t="str">
        <f t="shared" si="1"/>
        <v>(02) Comercial</v>
      </c>
      <c r="B247" s="13"/>
      <c r="C247" s="13"/>
      <c r="D247" s="19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6">
        <f t="shared" si="2"/>
        <v>0</v>
      </c>
    </row>
    <row r="248">
      <c r="A248" s="12" t="str">
        <f t="shared" si="1"/>
        <v>(02) Comercial</v>
      </c>
      <c r="B248" s="13"/>
      <c r="C248" s="13"/>
      <c r="D248" s="19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6">
        <f t="shared" si="2"/>
        <v>0</v>
      </c>
    </row>
    <row r="249">
      <c r="A249" s="12" t="str">
        <f t="shared" si="1"/>
        <v>(02) Comercial</v>
      </c>
      <c r="B249" s="13"/>
      <c r="C249" s="13"/>
      <c r="D249" s="19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6">
        <f t="shared" si="2"/>
        <v>0</v>
      </c>
    </row>
    <row r="250">
      <c r="A250" s="12" t="str">
        <f t="shared" si="1"/>
        <v>(02) Comercial</v>
      </c>
      <c r="B250" s="13"/>
      <c r="C250" s="13"/>
      <c r="D250" s="19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6">
        <f t="shared" si="2"/>
        <v>0</v>
      </c>
    </row>
    <row r="251">
      <c r="A251" s="12" t="str">
        <f t="shared" si="1"/>
        <v>(02) Comercial</v>
      </c>
      <c r="B251" s="13"/>
      <c r="C251" s="13"/>
      <c r="D251" s="19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6">
        <f t="shared" si="2"/>
        <v>0</v>
      </c>
    </row>
    <row r="252">
      <c r="A252" s="12" t="str">
        <f t="shared" si="1"/>
        <v>(02) Comercial</v>
      </c>
      <c r="B252" s="13"/>
      <c r="C252" s="13"/>
      <c r="D252" s="19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6">
        <f t="shared" si="2"/>
        <v>0</v>
      </c>
    </row>
    <row r="253">
      <c r="A253" s="12" t="str">
        <f t="shared" si="1"/>
        <v>(02) Comercial</v>
      </c>
      <c r="B253" s="13"/>
      <c r="C253" s="13"/>
      <c r="D253" s="19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6">
        <f t="shared" si="2"/>
        <v>0</v>
      </c>
    </row>
    <row r="254">
      <c r="A254" s="12" t="str">
        <f t="shared" si="1"/>
        <v>(02) Comercial</v>
      </c>
      <c r="B254" s="13"/>
      <c r="C254" s="13"/>
      <c r="D254" s="19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6">
        <f t="shared" si="2"/>
        <v>0</v>
      </c>
    </row>
    <row r="255">
      <c r="A255" s="12" t="str">
        <f t="shared" si="1"/>
        <v>(02) Comercial</v>
      </c>
      <c r="B255" s="13"/>
      <c r="C255" s="13"/>
      <c r="D255" s="19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6">
        <f t="shared" si="2"/>
        <v>0</v>
      </c>
    </row>
    <row r="256">
      <c r="A256" s="12" t="str">
        <f t="shared" si="1"/>
        <v>(02) Comercial</v>
      </c>
      <c r="B256" s="13"/>
      <c r="C256" s="13"/>
      <c r="D256" s="19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6">
        <f t="shared" si="2"/>
        <v>0</v>
      </c>
    </row>
    <row r="257">
      <c r="A257" s="12" t="str">
        <f t="shared" si="1"/>
        <v>(02) Comercial</v>
      </c>
      <c r="B257" s="13"/>
      <c r="C257" s="13"/>
      <c r="D257" s="19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6">
        <f t="shared" si="2"/>
        <v>0</v>
      </c>
    </row>
    <row r="258">
      <c r="A258" s="12" t="str">
        <f t="shared" si="1"/>
        <v>(02) Comercial</v>
      </c>
      <c r="B258" s="13"/>
      <c r="C258" s="13"/>
      <c r="D258" s="19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6">
        <f t="shared" si="2"/>
        <v>0</v>
      </c>
    </row>
    <row r="259">
      <c r="A259" s="12" t="str">
        <f t="shared" si="1"/>
        <v>(02) Comercial</v>
      </c>
      <c r="B259" s="13"/>
      <c r="C259" s="13"/>
      <c r="D259" s="19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6">
        <f t="shared" si="2"/>
        <v>0</v>
      </c>
    </row>
    <row r="260">
      <c r="A260" s="12" t="str">
        <f t="shared" si="1"/>
        <v>(02) Comercial</v>
      </c>
      <c r="B260" s="13"/>
      <c r="C260" s="13"/>
      <c r="D260" s="19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6">
        <f t="shared" si="2"/>
        <v>0</v>
      </c>
    </row>
    <row r="261">
      <c r="A261" s="12" t="str">
        <f t="shared" si="1"/>
        <v>(02) Comercial</v>
      </c>
      <c r="B261" s="13"/>
      <c r="C261" s="13"/>
      <c r="D261" s="19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6">
        <f t="shared" si="2"/>
        <v>0</v>
      </c>
    </row>
    <row r="262">
      <c r="A262" s="12" t="str">
        <f t="shared" si="1"/>
        <v>(02) Comercial</v>
      </c>
      <c r="B262" s="13"/>
      <c r="C262" s="13"/>
      <c r="D262" s="19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6">
        <f t="shared" si="2"/>
        <v>0</v>
      </c>
    </row>
    <row r="263">
      <c r="A263" s="12" t="str">
        <f t="shared" si="1"/>
        <v>(02) Comercial</v>
      </c>
      <c r="B263" s="13"/>
      <c r="C263" s="13"/>
      <c r="D263" s="19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6">
        <f t="shared" si="2"/>
        <v>0</v>
      </c>
    </row>
    <row r="264">
      <c r="A264" s="12" t="str">
        <f t="shared" si="1"/>
        <v>(02) Comercial</v>
      </c>
      <c r="B264" s="13"/>
      <c r="C264" s="13"/>
      <c r="D264" s="1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6">
        <f t="shared" si="2"/>
        <v>0</v>
      </c>
    </row>
    <row r="265">
      <c r="A265" s="12" t="str">
        <f t="shared" si="1"/>
        <v>(02) Comercial</v>
      </c>
      <c r="B265" s="13"/>
      <c r="C265" s="13"/>
      <c r="D265" s="19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6">
        <f t="shared" si="2"/>
        <v>0</v>
      </c>
    </row>
    <row r="266">
      <c r="A266" s="12" t="str">
        <f t="shared" si="1"/>
        <v>(02) Comercial</v>
      </c>
      <c r="B266" s="13"/>
      <c r="C266" s="13"/>
      <c r="D266" s="19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6">
        <f t="shared" si="2"/>
        <v>0</v>
      </c>
    </row>
    <row r="267">
      <c r="A267" s="12" t="str">
        <f t="shared" si="1"/>
        <v>(02) Comercial</v>
      </c>
      <c r="B267" s="13"/>
      <c r="C267" s="13"/>
      <c r="D267" s="19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6">
        <f t="shared" si="2"/>
        <v>0</v>
      </c>
    </row>
    <row r="268">
      <c r="A268" s="12" t="str">
        <f t="shared" si="1"/>
        <v>(02) Comercial</v>
      </c>
      <c r="B268" s="13"/>
      <c r="C268" s="13"/>
      <c r="D268" s="19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6">
        <f t="shared" si="2"/>
        <v>0</v>
      </c>
    </row>
    <row r="269">
      <c r="A269" s="12" t="str">
        <f t="shared" si="1"/>
        <v>(02) Comercial</v>
      </c>
      <c r="B269" s="13"/>
      <c r="C269" s="13"/>
      <c r="D269" s="19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6">
        <f t="shared" si="2"/>
        <v>0</v>
      </c>
    </row>
    <row r="270">
      <c r="A270" s="12" t="str">
        <f t="shared" si="1"/>
        <v>(02) Comercial</v>
      </c>
      <c r="B270" s="13"/>
      <c r="C270" s="13"/>
      <c r="D270" s="19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6">
        <f t="shared" si="2"/>
        <v>0</v>
      </c>
    </row>
    <row r="271">
      <c r="A271" s="12" t="str">
        <f t="shared" si="1"/>
        <v>(02) Comercial</v>
      </c>
      <c r="B271" s="13"/>
      <c r="C271" s="13"/>
      <c r="D271" s="19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6">
        <f t="shared" si="2"/>
        <v>0</v>
      </c>
    </row>
    <row r="272">
      <c r="A272" s="12" t="str">
        <f t="shared" si="1"/>
        <v>(02) Comercial</v>
      </c>
      <c r="B272" s="13"/>
      <c r="C272" s="13"/>
      <c r="D272" s="19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6">
        <f t="shared" si="2"/>
        <v>0</v>
      </c>
    </row>
    <row r="273">
      <c r="A273" s="12" t="str">
        <f t="shared" si="1"/>
        <v>(02) Comercial</v>
      </c>
      <c r="B273" s="13"/>
      <c r="C273" s="13"/>
      <c r="D273" s="19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6">
        <f t="shared" si="2"/>
        <v>0</v>
      </c>
    </row>
    <row r="274">
      <c r="A274" s="12" t="str">
        <f t="shared" si="1"/>
        <v>(02) Comercial</v>
      </c>
      <c r="B274" s="13"/>
      <c r="C274" s="13"/>
      <c r="D274" s="19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6">
        <f t="shared" si="2"/>
        <v>0</v>
      </c>
    </row>
    <row r="275">
      <c r="A275" s="12" t="str">
        <f t="shared" si="1"/>
        <v>(02) Comercial</v>
      </c>
      <c r="B275" s="13"/>
      <c r="C275" s="13"/>
      <c r="D275" s="19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6">
        <f t="shared" si="2"/>
        <v>0</v>
      </c>
    </row>
    <row r="276">
      <c r="A276" s="12" t="str">
        <f t="shared" si="1"/>
        <v>(02) Comercial</v>
      </c>
      <c r="B276" s="13"/>
      <c r="C276" s="13"/>
      <c r="D276" s="19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6">
        <f t="shared" si="2"/>
        <v>0</v>
      </c>
    </row>
    <row r="277">
      <c r="A277" s="12" t="str">
        <f t="shared" si="1"/>
        <v>(02) Comercial</v>
      </c>
      <c r="B277" s="13"/>
      <c r="C277" s="13"/>
      <c r="D277" s="19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6">
        <f t="shared" si="2"/>
        <v>0</v>
      </c>
    </row>
    <row r="278">
      <c r="A278" s="12" t="str">
        <f t="shared" si="1"/>
        <v>(02) Comercial</v>
      </c>
      <c r="B278" s="13"/>
      <c r="C278" s="13"/>
      <c r="D278" s="19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6">
        <f t="shared" si="2"/>
        <v>0</v>
      </c>
    </row>
    <row r="279">
      <c r="A279" s="12" t="str">
        <f t="shared" si="1"/>
        <v>(02) Comercial</v>
      </c>
      <c r="B279" s="13"/>
      <c r="C279" s="13"/>
      <c r="D279" s="19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6">
        <f t="shared" si="2"/>
        <v>0</v>
      </c>
    </row>
    <row r="280">
      <c r="A280" s="12" t="str">
        <f t="shared" si="1"/>
        <v>(02) Comercial</v>
      </c>
      <c r="B280" s="13"/>
      <c r="C280" s="13"/>
      <c r="D280" s="19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6">
        <f t="shared" si="2"/>
        <v>0</v>
      </c>
    </row>
    <row r="281">
      <c r="A281" s="12" t="str">
        <f t="shared" si="1"/>
        <v>(02) Comercial</v>
      </c>
      <c r="B281" s="13"/>
      <c r="C281" s="13"/>
      <c r="D281" s="19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6">
        <f t="shared" si="2"/>
        <v>0</v>
      </c>
    </row>
    <row r="282">
      <c r="A282" s="12" t="str">
        <f t="shared" si="1"/>
        <v>(02) Comercial</v>
      </c>
      <c r="B282" s="13"/>
      <c r="C282" s="13"/>
      <c r="D282" s="19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6">
        <f t="shared" si="2"/>
        <v>0</v>
      </c>
    </row>
    <row r="283">
      <c r="A283" s="12" t="str">
        <f t="shared" si="1"/>
        <v>(02) Comercial</v>
      </c>
      <c r="B283" s="13"/>
      <c r="C283" s="13"/>
      <c r="D283" s="19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6">
        <f t="shared" si="2"/>
        <v>0</v>
      </c>
    </row>
    <row r="284">
      <c r="A284" s="12" t="str">
        <f t="shared" si="1"/>
        <v>(02) Comercial</v>
      </c>
      <c r="B284" s="13"/>
      <c r="C284" s="13"/>
      <c r="D284" s="19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6">
        <f t="shared" si="2"/>
        <v>0</v>
      </c>
    </row>
    <row r="285">
      <c r="A285" s="12" t="str">
        <f t="shared" si="1"/>
        <v>(02) Comercial</v>
      </c>
      <c r="B285" s="13"/>
      <c r="C285" s="13"/>
      <c r="D285" s="19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6">
        <f t="shared" si="2"/>
        <v>0</v>
      </c>
    </row>
    <row r="286">
      <c r="A286" s="12" t="str">
        <f t="shared" si="1"/>
        <v>(02) Comercial</v>
      </c>
      <c r="B286" s="13"/>
      <c r="C286" s="13"/>
      <c r="D286" s="19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6">
        <f t="shared" si="2"/>
        <v>0</v>
      </c>
    </row>
    <row r="287">
      <c r="A287" s="12" t="str">
        <f t="shared" si="1"/>
        <v>(02) Comercial</v>
      </c>
      <c r="B287" s="13"/>
      <c r="C287" s="13"/>
      <c r="D287" s="19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6">
        <f t="shared" si="2"/>
        <v>0</v>
      </c>
    </row>
    <row r="288">
      <c r="A288" s="12" t="str">
        <f t="shared" si="1"/>
        <v>(02) Comercial</v>
      </c>
      <c r="B288" s="13"/>
      <c r="C288" s="13"/>
      <c r="D288" s="19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6">
        <f t="shared" si="2"/>
        <v>0</v>
      </c>
    </row>
    <row r="289">
      <c r="A289" s="12" t="str">
        <f t="shared" si="1"/>
        <v>(02) Comercial</v>
      </c>
      <c r="B289" s="13"/>
      <c r="C289" s="13"/>
      <c r="D289" s="19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6">
        <f t="shared" si="2"/>
        <v>0</v>
      </c>
    </row>
    <row r="290">
      <c r="A290" s="12" t="str">
        <f t="shared" si="1"/>
        <v>(02) Comercial</v>
      </c>
      <c r="B290" s="13"/>
      <c r="C290" s="13"/>
      <c r="D290" s="19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6">
        <f t="shared" si="2"/>
        <v>0</v>
      </c>
    </row>
    <row r="291">
      <c r="A291" s="12" t="str">
        <f t="shared" si="1"/>
        <v>(02) Comercial</v>
      </c>
      <c r="B291" s="13"/>
      <c r="C291" s="13"/>
      <c r="D291" s="19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6">
        <f t="shared" si="2"/>
        <v>0</v>
      </c>
    </row>
    <row r="292">
      <c r="A292" s="12" t="str">
        <f t="shared" si="1"/>
        <v>(02) Comercial</v>
      </c>
      <c r="B292" s="13"/>
      <c r="C292" s="13"/>
      <c r="D292" s="19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6">
        <f t="shared" si="2"/>
        <v>0</v>
      </c>
    </row>
    <row r="293">
      <c r="A293" s="12" t="str">
        <f t="shared" si="1"/>
        <v>(02) Comercial</v>
      </c>
      <c r="B293" s="13"/>
      <c r="C293" s="13"/>
      <c r="D293" s="19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6">
        <f t="shared" si="2"/>
        <v>0</v>
      </c>
    </row>
    <row r="294">
      <c r="A294" s="12" t="str">
        <f t="shared" si="1"/>
        <v>(02) Comercial</v>
      </c>
      <c r="B294" s="13"/>
      <c r="C294" s="13"/>
      <c r="D294" s="19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6">
        <f t="shared" si="2"/>
        <v>0</v>
      </c>
    </row>
    <row r="295">
      <c r="A295" s="12" t="str">
        <f t="shared" si="1"/>
        <v>(02) Comercial</v>
      </c>
      <c r="B295" s="13"/>
      <c r="C295" s="13"/>
      <c r="D295" s="19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6">
        <f t="shared" si="2"/>
        <v>0</v>
      </c>
    </row>
    <row r="296">
      <c r="A296" s="12" t="str">
        <f t="shared" si="1"/>
        <v>(02) Comercial</v>
      </c>
      <c r="B296" s="13"/>
      <c r="C296" s="13"/>
      <c r="D296" s="19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6">
        <f t="shared" si="2"/>
        <v>0</v>
      </c>
    </row>
    <row r="297">
      <c r="A297" s="12" t="str">
        <f t="shared" si="1"/>
        <v>(02) Comercial</v>
      </c>
      <c r="B297" s="13"/>
      <c r="C297" s="13"/>
      <c r="D297" s="19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6">
        <f t="shared" si="2"/>
        <v>0</v>
      </c>
    </row>
    <row r="298">
      <c r="A298" s="12" t="str">
        <f t="shared" si="1"/>
        <v>(02) Comercial</v>
      </c>
      <c r="B298" s="13"/>
      <c r="C298" s="13"/>
      <c r="D298" s="19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6">
        <f t="shared" si="2"/>
        <v>0</v>
      </c>
    </row>
    <row r="299">
      <c r="A299" s="12" t="str">
        <f t="shared" si="1"/>
        <v>(02) Comercial</v>
      </c>
      <c r="B299" s="13"/>
      <c r="C299" s="13"/>
      <c r="D299" s="19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6">
        <f t="shared" si="2"/>
        <v>0</v>
      </c>
    </row>
    <row r="300">
      <c r="A300" s="12" t="str">
        <f t="shared" si="1"/>
        <v>(02) Comercial</v>
      </c>
      <c r="B300" s="13"/>
      <c r="C300" s="13"/>
      <c r="D300" s="19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6">
        <f t="shared" si="2"/>
        <v>0</v>
      </c>
    </row>
    <row r="301">
      <c r="A301" s="12" t="str">
        <f t="shared" si="1"/>
        <v>(02) Comercial</v>
      </c>
      <c r="B301" s="13"/>
      <c r="C301" s="13"/>
      <c r="D301" s="19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6">
        <f t="shared" si="2"/>
        <v>0</v>
      </c>
    </row>
    <row r="302">
      <c r="A302" s="12" t="str">
        <f t="shared" si="1"/>
        <v>(02) Comercial</v>
      </c>
      <c r="B302" s="13"/>
      <c r="C302" s="13"/>
      <c r="D302" s="19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6">
        <f t="shared" si="2"/>
        <v>0</v>
      </c>
    </row>
    <row r="303">
      <c r="A303" s="12" t="str">
        <f t="shared" si="1"/>
        <v>(02) Comercial</v>
      </c>
      <c r="B303" s="13"/>
      <c r="C303" s="13"/>
      <c r="D303" s="19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6">
        <f t="shared" si="2"/>
        <v>0</v>
      </c>
    </row>
    <row r="304">
      <c r="A304" s="12" t="str">
        <f t="shared" si="1"/>
        <v>(02) Comercial</v>
      </c>
      <c r="B304" s="13"/>
      <c r="C304" s="13"/>
      <c r="D304" s="19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6">
        <f t="shared" si="2"/>
        <v>0</v>
      </c>
    </row>
    <row r="305">
      <c r="A305" s="12" t="str">
        <f t="shared" si="1"/>
        <v>(02) Comercial</v>
      </c>
      <c r="B305" s="13"/>
      <c r="C305" s="13"/>
      <c r="D305" s="19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6">
        <f t="shared" si="2"/>
        <v>0</v>
      </c>
    </row>
    <row r="306">
      <c r="A306" s="12" t="str">
        <f t="shared" si="1"/>
        <v>(02) Comercial</v>
      </c>
      <c r="B306" s="13"/>
      <c r="C306" s="13"/>
      <c r="D306" s="19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6">
        <f t="shared" si="2"/>
        <v>0</v>
      </c>
    </row>
    <row r="307">
      <c r="A307" s="12" t="str">
        <f t="shared" si="1"/>
        <v>(02) Comercial</v>
      </c>
      <c r="B307" s="13"/>
      <c r="C307" s="13"/>
      <c r="D307" s="19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6">
        <f t="shared" si="2"/>
        <v>0</v>
      </c>
    </row>
    <row r="308">
      <c r="A308" s="12" t="str">
        <f t="shared" si="1"/>
        <v>(02) Comercial</v>
      </c>
      <c r="B308" s="13"/>
      <c r="C308" s="13"/>
      <c r="D308" s="19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6">
        <f t="shared" si="2"/>
        <v>0</v>
      </c>
    </row>
    <row r="309">
      <c r="A309" s="12" t="str">
        <f t="shared" si="1"/>
        <v>(02) Comercial</v>
      </c>
      <c r="B309" s="13"/>
      <c r="C309" s="13"/>
      <c r="D309" s="19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6">
        <f t="shared" si="2"/>
        <v>0</v>
      </c>
    </row>
    <row r="310">
      <c r="A310" s="12" t="str">
        <f t="shared" si="1"/>
        <v>(02) Comercial</v>
      </c>
      <c r="B310" s="13"/>
      <c r="C310" s="13"/>
      <c r="D310" s="19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6">
        <f t="shared" si="2"/>
        <v>0</v>
      </c>
    </row>
    <row r="311">
      <c r="A311" s="12" t="str">
        <f t="shared" si="1"/>
        <v>(02) Comercial</v>
      </c>
      <c r="B311" s="13"/>
      <c r="C311" s="13"/>
      <c r="D311" s="19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6">
        <f t="shared" si="2"/>
        <v>0</v>
      </c>
    </row>
    <row r="312">
      <c r="A312" s="12" t="str">
        <f t="shared" si="1"/>
        <v>(02) Comercial</v>
      </c>
      <c r="B312" s="13"/>
      <c r="C312" s="13"/>
      <c r="D312" s="19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6">
        <f t="shared" si="2"/>
        <v>0</v>
      </c>
    </row>
    <row r="313">
      <c r="A313" s="12" t="str">
        <f t="shared" si="1"/>
        <v>(02) Comercial</v>
      </c>
      <c r="B313" s="13"/>
      <c r="C313" s="13"/>
      <c r="D313" s="19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6">
        <f t="shared" si="2"/>
        <v>0</v>
      </c>
    </row>
    <row r="314">
      <c r="A314" s="12" t="str">
        <f t="shared" si="1"/>
        <v>(02) Comercial</v>
      </c>
      <c r="B314" s="13"/>
      <c r="C314" s="13"/>
      <c r="D314" s="19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6">
        <f t="shared" si="2"/>
        <v>0</v>
      </c>
    </row>
    <row r="315">
      <c r="A315" s="12" t="str">
        <f t="shared" si="1"/>
        <v>(02) Comercial</v>
      </c>
      <c r="B315" s="13"/>
      <c r="C315" s="13"/>
      <c r="D315" s="19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6">
        <f t="shared" si="2"/>
        <v>0</v>
      </c>
    </row>
    <row r="316">
      <c r="A316" s="12" t="str">
        <f t="shared" si="1"/>
        <v>(02) Comercial</v>
      </c>
      <c r="B316" s="13"/>
      <c r="C316" s="13"/>
      <c r="D316" s="19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6">
        <f t="shared" si="2"/>
        <v>0</v>
      </c>
    </row>
    <row r="317">
      <c r="A317" s="12" t="str">
        <f t="shared" si="1"/>
        <v>(02) Comercial</v>
      </c>
      <c r="B317" s="13"/>
      <c r="C317" s="13"/>
      <c r="D317" s="19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6">
        <f t="shared" si="2"/>
        <v>0</v>
      </c>
    </row>
    <row r="318">
      <c r="A318" s="12" t="str">
        <f t="shared" si="1"/>
        <v>(02) Comercial</v>
      </c>
      <c r="B318" s="13"/>
      <c r="C318" s="13"/>
      <c r="D318" s="19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6">
        <f t="shared" si="2"/>
        <v>0</v>
      </c>
    </row>
    <row r="319">
      <c r="A319" s="12" t="str">
        <f t="shared" si="1"/>
        <v>(02) Comercial</v>
      </c>
      <c r="B319" s="13"/>
      <c r="C319" s="13"/>
      <c r="D319" s="19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6">
        <f t="shared" si="2"/>
        <v>0</v>
      </c>
    </row>
    <row r="320">
      <c r="A320" s="12" t="str">
        <f t="shared" si="1"/>
        <v>(02) Comercial</v>
      </c>
      <c r="B320" s="13"/>
      <c r="C320" s="13"/>
      <c r="D320" s="19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6">
        <f t="shared" si="2"/>
        <v>0</v>
      </c>
    </row>
    <row r="321">
      <c r="A321" s="12" t="str">
        <f t="shared" si="1"/>
        <v>(02) Comercial</v>
      </c>
      <c r="B321" s="13"/>
      <c r="C321" s="13"/>
      <c r="D321" s="19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6">
        <f t="shared" si="2"/>
        <v>0</v>
      </c>
    </row>
    <row r="322">
      <c r="A322" s="12" t="str">
        <f t="shared" si="1"/>
        <v>(02) Comercial</v>
      </c>
      <c r="B322" s="13"/>
      <c r="C322" s="13"/>
      <c r="D322" s="19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6">
        <f t="shared" si="2"/>
        <v>0</v>
      </c>
    </row>
    <row r="323">
      <c r="A323" s="12" t="str">
        <f t="shared" si="1"/>
        <v>(02) Comercial</v>
      </c>
      <c r="B323" s="13"/>
      <c r="C323" s="13"/>
      <c r="D323" s="19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6">
        <f t="shared" si="2"/>
        <v>0</v>
      </c>
    </row>
    <row r="324">
      <c r="A324" s="12" t="str">
        <f t="shared" si="1"/>
        <v>(02) Comercial</v>
      </c>
      <c r="B324" s="13"/>
      <c r="C324" s="13"/>
      <c r="D324" s="19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6">
        <f t="shared" si="2"/>
        <v>0</v>
      </c>
    </row>
    <row r="325">
      <c r="A325" s="12" t="str">
        <f t="shared" si="1"/>
        <v>(02) Comercial</v>
      </c>
      <c r="B325" s="13"/>
      <c r="C325" s="13"/>
      <c r="D325" s="19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6">
        <f t="shared" si="2"/>
        <v>0</v>
      </c>
    </row>
    <row r="326">
      <c r="A326" s="12" t="str">
        <f t="shared" si="1"/>
        <v>(02) Comercial</v>
      </c>
      <c r="B326" s="13"/>
      <c r="C326" s="13"/>
      <c r="D326" s="19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6">
        <f t="shared" si="2"/>
        <v>0</v>
      </c>
    </row>
    <row r="327">
      <c r="A327" s="12" t="str">
        <f t="shared" si="1"/>
        <v>(02) Comercial</v>
      </c>
      <c r="B327" s="13"/>
      <c r="C327" s="13"/>
      <c r="D327" s="19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6">
        <f t="shared" si="2"/>
        <v>0</v>
      </c>
    </row>
    <row r="328">
      <c r="A328" s="12" t="str">
        <f t="shared" si="1"/>
        <v>(02) Comercial</v>
      </c>
      <c r="B328" s="13"/>
      <c r="C328" s="13"/>
      <c r="D328" s="19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6">
        <f t="shared" si="2"/>
        <v>0</v>
      </c>
    </row>
    <row r="329">
      <c r="A329" s="12" t="str">
        <f t="shared" si="1"/>
        <v>(02) Comercial</v>
      </c>
      <c r="B329" s="13"/>
      <c r="C329" s="13"/>
      <c r="D329" s="19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6">
        <f t="shared" si="2"/>
        <v>0</v>
      </c>
    </row>
    <row r="330">
      <c r="A330" s="12" t="str">
        <f t="shared" si="1"/>
        <v>(02) Comercial</v>
      </c>
      <c r="B330" s="13"/>
      <c r="C330" s="13"/>
      <c r="D330" s="19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6">
        <f t="shared" si="2"/>
        <v>0</v>
      </c>
    </row>
    <row r="331">
      <c r="A331" s="12" t="str">
        <f t="shared" si="1"/>
        <v>(02) Comercial</v>
      </c>
      <c r="B331" s="13"/>
      <c r="C331" s="13"/>
      <c r="D331" s="19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6">
        <f t="shared" si="2"/>
        <v>0</v>
      </c>
    </row>
    <row r="332">
      <c r="A332" s="12" t="str">
        <f t="shared" si="1"/>
        <v>(02) Comercial</v>
      </c>
      <c r="B332" s="13"/>
      <c r="C332" s="13"/>
      <c r="D332" s="19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6">
        <f t="shared" si="2"/>
        <v>0</v>
      </c>
    </row>
    <row r="333">
      <c r="A333" s="12" t="str">
        <f t="shared" si="1"/>
        <v>(02) Comercial</v>
      </c>
      <c r="B333" s="13"/>
      <c r="C333" s="13"/>
      <c r="D333" s="19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6">
        <f t="shared" si="2"/>
        <v>0</v>
      </c>
    </row>
    <row r="334">
      <c r="A334" s="12" t="str">
        <f t="shared" si="1"/>
        <v>(02) Comercial</v>
      </c>
      <c r="B334" s="13"/>
      <c r="C334" s="13"/>
      <c r="D334" s="19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6">
        <f t="shared" si="2"/>
        <v>0</v>
      </c>
    </row>
    <row r="335">
      <c r="A335" s="12" t="str">
        <f t="shared" si="1"/>
        <v>(02) Comercial</v>
      </c>
      <c r="B335" s="13"/>
      <c r="C335" s="13"/>
      <c r="D335" s="19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6">
        <f t="shared" si="2"/>
        <v>0</v>
      </c>
    </row>
    <row r="336">
      <c r="A336" s="12" t="str">
        <f t="shared" si="1"/>
        <v>(02) Comercial</v>
      </c>
      <c r="B336" s="13"/>
      <c r="C336" s="13"/>
      <c r="D336" s="19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6">
        <f t="shared" si="2"/>
        <v>0</v>
      </c>
    </row>
    <row r="337">
      <c r="A337" s="12" t="str">
        <f t="shared" si="1"/>
        <v>(02) Comercial</v>
      </c>
      <c r="B337" s="13"/>
      <c r="C337" s="13"/>
      <c r="D337" s="19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6">
        <f t="shared" si="2"/>
        <v>0</v>
      </c>
    </row>
    <row r="338">
      <c r="A338" s="12" t="str">
        <f t="shared" si="1"/>
        <v>(02) Comercial</v>
      </c>
      <c r="B338" s="13"/>
      <c r="C338" s="13"/>
      <c r="D338" s="19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6">
        <f t="shared" si="2"/>
        <v>0</v>
      </c>
    </row>
    <row r="339">
      <c r="A339" s="12" t="str">
        <f t="shared" si="1"/>
        <v>(02) Comercial</v>
      </c>
      <c r="B339" s="13"/>
      <c r="C339" s="13"/>
      <c r="D339" s="19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6">
        <f t="shared" si="2"/>
        <v>0</v>
      </c>
    </row>
    <row r="340">
      <c r="A340" s="12" t="str">
        <f t="shared" si="1"/>
        <v>(02) Comercial</v>
      </c>
      <c r="B340" s="13"/>
      <c r="C340" s="13"/>
      <c r="D340" s="19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6">
        <f t="shared" si="2"/>
        <v>0</v>
      </c>
    </row>
    <row r="341">
      <c r="A341" s="12" t="str">
        <f t="shared" si="1"/>
        <v>(02) Comercial</v>
      </c>
      <c r="B341" s="13"/>
      <c r="C341" s="13"/>
      <c r="D341" s="19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6">
        <f t="shared" si="2"/>
        <v>0</v>
      </c>
    </row>
    <row r="342">
      <c r="A342" s="12" t="str">
        <f t="shared" si="1"/>
        <v>(02) Comercial</v>
      </c>
      <c r="B342" s="13"/>
      <c r="C342" s="13"/>
      <c r="D342" s="19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6">
        <f t="shared" si="2"/>
        <v>0</v>
      </c>
    </row>
    <row r="343">
      <c r="A343" s="12" t="str">
        <f t="shared" si="1"/>
        <v>(02) Comercial</v>
      </c>
      <c r="B343" s="13"/>
      <c r="C343" s="13"/>
      <c r="D343" s="19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6">
        <f t="shared" si="2"/>
        <v>0</v>
      </c>
    </row>
    <row r="344">
      <c r="A344" s="12" t="str">
        <f t="shared" si="1"/>
        <v>(02) Comercial</v>
      </c>
      <c r="B344" s="13"/>
      <c r="C344" s="13"/>
      <c r="D344" s="19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6">
        <f t="shared" si="2"/>
        <v>0</v>
      </c>
    </row>
    <row r="345">
      <c r="A345" s="12" t="str">
        <f t="shared" si="1"/>
        <v>(02) Comercial</v>
      </c>
      <c r="B345" s="13"/>
      <c r="C345" s="13"/>
      <c r="D345" s="19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6">
        <f t="shared" si="2"/>
        <v>0</v>
      </c>
    </row>
    <row r="346">
      <c r="A346" s="12" t="str">
        <f t="shared" si="1"/>
        <v>(02) Comercial</v>
      </c>
      <c r="B346" s="13"/>
      <c r="C346" s="13"/>
      <c r="D346" s="19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6">
        <f t="shared" si="2"/>
        <v>0</v>
      </c>
    </row>
    <row r="347">
      <c r="A347" s="12" t="str">
        <f t="shared" si="1"/>
        <v>(02) Comercial</v>
      </c>
      <c r="B347" s="13"/>
      <c r="C347" s="13"/>
      <c r="D347" s="19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6">
        <f t="shared" si="2"/>
        <v>0</v>
      </c>
    </row>
    <row r="348">
      <c r="A348" s="12" t="str">
        <f t="shared" si="1"/>
        <v>(02) Comercial</v>
      </c>
      <c r="B348" s="13"/>
      <c r="C348" s="13"/>
      <c r="D348" s="19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6">
        <f t="shared" si="2"/>
        <v>0</v>
      </c>
    </row>
    <row r="349">
      <c r="A349" s="12" t="str">
        <f t="shared" si="1"/>
        <v>(02) Comercial</v>
      </c>
      <c r="B349" s="13"/>
      <c r="C349" s="13"/>
      <c r="D349" s="19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6">
        <f t="shared" si="2"/>
        <v>0</v>
      </c>
    </row>
    <row r="350">
      <c r="A350" s="12" t="str">
        <f t="shared" si="1"/>
        <v>(02) Comercial</v>
      </c>
      <c r="B350" s="13"/>
      <c r="C350" s="13"/>
      <c r="D350" s="19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6">
        <f t="shared" si="2"/>
        <v>0</v>
      </c>
    </row>
    <row r="351">
      <c r="A351" s="12" t="str">
        <f t="shared" si="1"/>
        <v>(02) Comercial</v>
      </c>
      <c r="B351" s="13"/>
      <c r="C351" s="13"/>
      <c r="D351" s="19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6">
        <f t="shared" si="2"/>
        <v>0</v>
      </c>
    </row>
    <row r="352">
      <c r="A352" s="12" t="str">
        <f t="shared" si="1"/>
        <v>(02) Comercial</v>
      </c>
      <c r="B352" s="13"/>
      <c r="C352" s="13"/>
      <c r="D352" s="19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6">
        <f t="shared" si="2"/>
        <v>0</v>
      </c>
    </row>
    <row r="353">
      <c r="A353" s="12" t="str">
        <f t="shared" si="1"/>
        <v>(02) Comercial</v>
      </c>
      <c r="B353" s="13"/>
      <c r="C353" s="13"/>
      <c r="D353" s="19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6">
        <f t="shared" si="2"/>
        <v>0</v>
      </c>
    </row>
    <row r="354">
      <c r="A354" s="12" t="str">
        <f t="shared" si="1"/>
        <v>(02) Comercial</v>
      </c>
      <c r="B354" s="13"/>
      <c r="C354" s="13"/>
      <c r="D354" s="19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6">
        <f t="shared" si="2"/>
        <v>0</v>
      </c>
    </row>
    <row r="355">
      <c r="A355" s="12" t="str">
        <f t="shared" si="1"/>
        <v>(02) Comercial</v>
      </c>
      <c r="B355" s="13"/>
      <c r="C355" s="13"/>
      <c r="D355" s="19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6">
        <f t="shared" si="2"/>
        <v>0</v>
      </c>
    </row>
    <row r="356">
      <c r="A356" s="12" t="str">
        <f t="shared" si="1"/>
        <v>(02) Comercial</v>
      </c>
      <c r="B356" s="13"/>
      <c r="C356" s="13"/>
      <c r="D356" s="19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6">
        <f t="shared" si="2"/>
        <v>0</v>
      </c>
    </row>
    <row r="357">
      <c r="A357" s="12" t="str">
        <f t="shared" si="1"/>
        <v>(02) Comercial</v>
      </c>
      <c r="B357" s="13"/>
      <c r="C357" s="13"/>
      <c r="D357" s="19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6">
        <f t="shared" si="2"/>
        <v>0</v>
      </c>
    </row>
    <row r="358">
      <c r="A358" s="12" t="str">
        <f t="shared" si="1"/>
        <v>(02) Comercial</v>
      </c>
      <c r="B358" s="13"/>
      <c r="C358" s="13"/>
      <c r="D358" s="19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6">
        <f t="shared" si="2"/>
        <v>0</v>
      </c>
    </row>
    <row r="359">
      <c r="A359" s="12" t="str">
        <f t="shared" si="1"/>
        <v>(02) Comercial</v>
      </c>
      <c r="B359" s="13"/>
      <c r="C359" s="13"/>
      <c r="D359" s="19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6">
        <f t="shared" si="2"/>
        <v>0</v>
      </c>
    </row>
    <row r="360">
      <c r="A360" s="12" t="str">
        <f t="shared" si="1"/>
        <v>(02) Comercial</v>
      </c>
      <c r="B360" s="13"/>
      <c r="C360" s="13"/>
      <c r="D360" s="19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6">
        <f t="shared" si="2"/>
        <v>0</v>
      </c>
    </row>
    <row r="361">
      <c r="A361" s="12" t="str">
        <f t="shared" si="1"/>
        <v>(02) Comercial</v>
      </c>
      <c r="B361" s="13"/>
      <c r="C361" s="13"/>
      <c r="D361" s="19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6">
        <f t="shared" si="2"/>
        <v>0</v>
      </c>
    </row>
    <row r="362">
      <c r="A362" s="12" t="str">
        <f t="shared" si="1"/>
        <v>(02) Comercial</v>
      </c>
      <c r="B362" s="13"/>
      <c r="C362" s="13"/>
      <c r="D362" s="19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6">
        <f t="shared" si="2"/>
        <v>0</v>
      </c>
    </row>
    <row r="363">
      <c r="A363" s="12" t="str">
        <f t="shared" si="1"/>
        <v>(02) Comercial</v>
      </c>
      <c r="B363" s="13"/>
      <c r="C363" s="13"/>
      <c r="D363" s="19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6">
        <f t="shared" si="2"/>
        <v>0</v>
      </c>
    </row>
    <row r="364">
      <c r="A364" s="12" t="str">
        <f t="shared" si="1"/>
        <v>(02) Comercial</v>
      </c>
      <c r="B364" s="13"/>
      <c r="C364" s="13"/>
      <c r="D364" s="19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6">
        <f t="shared" si="2"/>
        <v>0</v>
      </c>
    </row>
    <row r="365">
      <c r="A365" s="12" t="str">
        <f t="shared" si="1"/>
        <v>(02) Comercial</v>
      </c>
      <c r="B365" s="13"/>
      <c r="C365" s="13"/>
      <c r="D365" s="19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6">
        <f t="shared" si="2"/>
        <v>0</v>
      </c>
    </row>
    <row r="366">
      <c r="A366" s="12" t="str">
        <f t="shared" si="1"/>
        <v>(02) Comercial</v>
      </c>
      <c r="B366" s="13"/>
      <c r="C366" s="13"/>
      <c r="D366" s="19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6">
        <f t="shared" si="2"/>
        <v>0</v>
      </c>
    </row>
    <row r="367">
      <c r="A367" s="12" t="str">
        <f t="shared" si="1"/>
        <v>(02) Comercial</v>
      </c>
      <c r="B367" s="13"/>
      <c r="C367" s="13"/>
      <c r="D367" s="19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6">
        <f t="shared" si="2"/>
        <v>0</v>
      </c>
    </row>
    <row r="368">
      <c r="A368" s="12" t="str">
        <f t="shared" si="1"/>
        <v>(02) Comercial</v>
      </c>
      <c r="B368" s="13"/>
      <c r="C368" s="13"/>
      <c r="D368" s="19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6">
        <f t="shared" si="2"/>
        <v>0</v>
      </c>
    </row>
    <row r="369">
      <c r="A369" s="12" t="str">
        <f t="shared" si="1"/>
        <v>(02) Comercial</v>
      </c>
      <c r="B369" s="13"/>
      <c r="C369" s="13"/>
      <c r="D369" s="19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6">
        <f t="shared" si="2"/>
        <v>0</v>
      </c>
    </row>
    <row r="370">
      <c r="A370" s="12" t="str">
        <f t="shared" si="1"/>
        <v>(02) Comercial</v>
      </c>
      <c r="B370" s="13"/>
      <c r="C370" s="13"/>
      <c r="D370" s="19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6">
        <f t="shared" si="2"/>
        <v>0</v>
      </c>
    </row>
    <row r="371">
      <c r="A371" s="12" t="str">
        <f t="shared" si="1"/>
        <v>(02) Comercial</v>
      </c>
      <c r="B371" s="13"/>
      <c r="C371" s="13"/>
      <c r="D371" s="19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6">
        <f t="shared" si="2"/>
        <v>0</v>
      </c>
    </row>
    <row r="372">
      <c r="A372" s="12" t="str">
        <f t="shared" si="1"/>
        <v>(02) Comercial</v>
      </c>
      <c r="B372" s="13"/>
      <c r="C372" s="13"/>
      <c r="D372" s="19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6">
        <f t="shared" si="2"/>
        <v>0</v>
      </c>
    </row>
    <row r="373">
      <c r="A373" s="12" t="str">
        <f t="shared" si="1"/>
        <v>(02) Comercial</v>
      </c>
      <c r="B373" s="13"/>
      <c r="C373" s="13"/>
      <c r="D373" s="19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6">
        <f t="shared" si="2"/>
        <v>0</v>
      </c>
    </row>
    <row r="374">
      <c r="A374" s="12" t="str">
        <f t="shared" si="1"/>
        <v>(02) Comercial</v>
      </c>
      <c r="B374" s="13"/>
      <c r="C374" s="13"/>
      <c r="D374" s="19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6">
        <f t="shared" si="2"/>
        <v>0</v>
      </c>
    </row>
    <row r="375">
      <c r="A375" s="12" t="str">
        <f t="shared" si="1"/>
        <v>(02) Comercial</v>
      </c>
      <c r="B375" s="13"/>
      <c r="C375" s="13"/>
      <c r="D375" s="19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6">
        <f t="shared" si="2"/>
        <v>0</v>
      </c>
    </row>
    <row r="376">
      <c r="A376" s="12" t="str">
        <f t="shared" si="1"/>
        <v>(02) Comercial</v>
      </c>
      <c r="B376" s="13"/>
      <c r="C376" s="13"/>
      <c r="D376" s="19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6">
        <f t="shared" si="2"/>
        <v>0</v>
      </c>
    </row>
    <row r="377">
      <c r="A377" s="12" t="str">
        <f t="shared" si="1"/>
        <v>(02) Comercial</v>
      </c>
      <c r="B377" s="13"/>
      <c r="C377" s="13"/>
      <c r="D377" s="19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6">
        <f t="shared" si="2"/>
        <v>0</v>
      </c>
    </row>
    <row r="378">
      <c r="A378" s="12" t="str">
        <f t="shared" si="1"/>
        <v>(02) Comercial</v>
      </c>
      <c r="B378" s="13"/>
      <c r="C378" s="13"/>
      <c r="D378" s="19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6">
        <f t="shared" si="2"/>
        <v>0</v>
      </c>
    </row>
    <row r="379">
      <c r="A379" s="12" t="str">
        <f t="shared" si="1"/>
        <v>(02) Comercial</v>
      </c>
      <c r="B379" s="13"/>
      <c r="C379" s="13"/>
      <c r="D379" s="19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6">
        <f t="shared" si="2"/>
        <v>0</v>
      </c>
    </row>
    <row r="380">
      <c r="A380" s="12" t="str">
        <f t="shared" si="1"/>
        <v>(02) Comercial</v>
      </c>
      <c r="B380" s="13"/>
      <c r="C380" s="13"/>
      <c r="D380" s="19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6">
        <f t="shared" si="2"/>
        <v>0</v>
      </c>
    </row>
    <row r="381">
      <c r="A381" s="12" t="str">
        <f t="shared" si="1"/>
        <v>(02) Comercial</v>
      </c>
      <c r="B381" s="13"/>
      <c r="C381" s="13"/>
      <c r="D381" s="19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6">
        <f t="shared" si="2"/>
        <v>0</v>
      </c>
    </row>
    <row r="382">
      <c r="A382" s="12" t="str">
        <f t="shared" si="1"/>
        <v>(02) Comercial</v>
      </c>
      <c r="B382" s="13"/>
      <c r="C382" s="13"/>
      <c r="D382" s="19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6">
        <f t="shared" si="2"/>
        <v>0</v>
      </c>
    </row>
    <row r="383">
      <c r="A383" s="12" t="str">
        <f t="shared" si="1"/>
        <v>(02) Comercial</v>
      </c>
      <c r="B383" s="13"/>
      <c r="C383" s="13"/>
      <c r="D383" s="19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6">
        <f t="shared" si="2"/>
        <v>0</v>
      </c>
    </row>
    <row r="384">
      <c r="A384" s="12" t="str">
        <f t="shared" si="1"/>
        <v>(02) Comercial</v>
      </c>
      <c r="B384" s="13"/>
      <c r="C384" s="13"/>
      <c r="D384" s="19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6">
        <f t="shared" si="2"/>
        <v>0</v>
      </c>
    </row>
    <row r="385">
      <c r="A385" s="12" t="str">
        <f t="shared" si="1"/>
        <v>(02) Comercial</v>
      </c>
      <c r="B385" s="13"/>
      <c r="C385" s="13"/>
      <c r="D385" s="19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6">
        <f t="shared" si="2"/>
        <v>0</v>
      </c>
    </row>
    <row r="386">
      <c r="A386" s="12" t="str">
        <f t="shared" si="1"/>
        <v>(02) Comercial</v>
      </c>
      <c r="B386" s="13"/>
      <c r="C386" s="13"/>
      <c r="D386" s="19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6">
        <f t="shared" si="2"/>
        <v>0</v>
      </c>
    </row>
    <row r="387">
      <c r="A387" s="12" t="str">
        <f t="shared" si="1"/>
        <v>(02) Comercial</v>
      </c>
      <c r="B387" s="13"/>
      <c r="C387" s="13"/>
      <c r="D387" s="19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6">
        <f t="shared" si="2"/>
        <v>0</v>
      </c>
    </row>
    <row r="388">
      <c r="A388" s="12" t="str">
        <f t="shared" si="1"/>
        <v>(02) Comercial</v>
      </c>
      <c r="B388" s="13"/>
      <c r="C388" s="13"/>
      <c r="D388" s="19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6">
        <f t="shared" si="2"/>
        <v>0</v>
      </c>
    </row>
    <row r="389">
      <c r="A389" s="12" t="str">
        <f t="shared" si="1"/>
        <v>(02) Comercial</v>
      </c>
      <c r="B389" s="13"/>
      <c r="C389" s="13"/>
      <c r="D389" s="19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6">
        <f t="shared" si="2"/>
        <v>0</v>
      </c>
    </row>
    <row r="390">
      <c r="A390" s="12" t="str">
        <f t="shared" si="1"/>
        <v>(02) Comercial</v>
      </c>
      <c r="B390" s="13"/>
      <c r="C390" s="13"/>
      <c r="D390" s="19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6">
        <f t="shared" si="2"/>
        <v>0</v>
      </c>
    </row>
    <row r="391">
      <c r="A391" s="12" t="str">
        <f t="shared" si="1"/>
        <v>(02) Comercial</v>
      </c>
      <c r="B391" s="13"/>
      <c r="C391" s="13"/>
      <c r="D391" s="19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6">
        <f t="shared" si="2"/>
        <v>0</v>
      </c>
    </row>
    <row r="392">
      <c r="A392" s="12" t="str">
        <f t="shared" si="1"/>
        <v>(02) Comercial</v>
      </c>
      <c r="B392" s="13"/>
      <c r="C392" s="13"/>
      <c r="D392" s="19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6">
        <f t="shared" si="2"/>
        <v>0</v>
      </c>
    </row>
    <row r="393">
      <c r="A393" s="12" t="str">
        <f t="shared" si="1"/>
        <v>(02) Comercial</v>
      </c>
      <c r="B393" s="13"/>
      <c r="C393" s="13"/>
      <c r="D393" s="19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6">
        <f t="shared" si="2"/>
        <v>0</v>
      </c>
    </row>
    <row r="394">
      <c r="A394" s="12" t="str">
        <f t="shared" si="1"/>
        <v>(02) Comercial</v>
      </c>
      <c r="B394" s="13"/>
      <c r="C394" s="13"/>
      <c r="D394" s="19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6">
        <f t="shared" si="2"/>
        <v>0</v>
      </c>
    </row>
    <row r="395">
      <c r="A395" s="12" t="str">
        <f t="shared" si="1"/>
        <v>(02) Comercial</v>
      </c>
      <c r="B395" s="13"/>
      <c r="C395" s="13"/>
      <c r="D395" s="19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6">
        <f t="shared" si="2"/>
        <v>0</v>
      </c>
    </row>
    <row r="396">
      <c r="A396" s="12" t="str">
        <f t="shared" si="1"/>
        <v>(02) Comercial</v>
      </c>
      <c r="B396" s="13"/>
      <c r="C396" s="13"/>
      <c r="D396" s="19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6">
        <f t="shared" si="2"/>
        <v>0</v>
      </c>
    </row>
    <row r="397">
      <c r="A397" s="12" t="str">
        <f t="shared" si="1"/>
        <v>(02) Comercial</v>
      </c>
      <c r="B397" s="13"/>
      <c r="C397" s="13"/>
      <c r="D397" s="19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6">
        <f t="shared" si="2"/>
        <v>0</v>
      </c>
    </row>
    <row r="398">
      <c r="A398" s="12" t="str">
        <f t="shared" si="1"/>
        <v>(02) Comercial</v>
      </c>
      <c r="B398" s="13"/>
      <c r="C398" s="13"/>
      <c r="D398" s="19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6">
        <f t="shared" si="2"/>
        <v>0</v>
      </c>
    </row>
    <row r="399">
      <c r="A399" s="12" t="str">
        <f t="shared" si="1"/>
        <v>(02) Comercial</v>
      </c>
      <c r="B399" s="13"/>
      <c r="C399" s="13"/>
      <c r="D399" s="19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6">
        <f t="shared" si="2"/>
        <v>0</v>
      </c>
    </row>
    <row r="400">
      <c r="A400" s="12" t="str">
        <f t="shared" si="1"/>
        <v>(02) Comercial</v>
      </c>
      <c r="B400" s="13"/>
      <c r="C400" s="13"/>
      <c r="D400" s="19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6">
        <f t="shared" si="2"/>
        <v>0</v>
      </c>
    </row>
  </sheetData>
  <dataValidations>
    <dataValidation type="list" allowBlank="1" showErrorMessage="1" sqref="C3:C400">
      <formula1>Menus!$B$2:$B400</formula1>
    </dataValidation>
    <dataValidation type="list" allowBlank="1" showErrorMessage="1" sqref="B3:B400">
      <formula1>Menus!$A$2:$A400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63"/>
  </cols>
  <sheetData>
    <row r="1">
      <c r="A1" s="7" t="str">
        <f>IFERROR(__xludf.DUMMYFUNCTION("IMPORTRANGE(""10O_SXdz0dJt2tdyDkVj7WBPL_30nKHj5oXXQ8LjzZA8"",""Menus!A1:Z"")"),"Proyecto")</f>
        <v>Proyecto</v>
      </c>
      <c r="B1" s="7" t="str">
        <f>IFERROR(__xludf.DUMMYFUNCTION("""COMPUTED_VALUE"""),"Cuenta")</f>
        <v>Cuenta</v>
      </c>
      <c r="C1" s="20" t="str">
        <f>IFERROR(__xludf.DUMMYFUNCTION("""COMPUTED_VALUE"""),"Area")</f>
        <v>Area</v>
      </c>
      <c r="D1" s="20"/>
      <c r="E1" s="20" t="str">
        <f>IFERROR(__xludf.DUMMYFUNCTION("""COMPUTED_VALUE"""),"Mes")</f>
        <v>Mes</v>
      </c>
      <c r="F1" s="20"/>
      <c r="G1" s="20"/>
      <c r="H1" s="20"/>
      <c r="I1" s="20"/>
      <c r="J1" s="20" t="str">
        <f>IFERROR(__xludf.DUMMYFUNCTION("""COMPUTED_VALUE"""),"AbrR!A:AT")</f>
        <v>AbrR!A:AT</v>
      </c>
      <c r="K1" s="20" t="str">
        <f>IFERROR(__xludf.DUMMYFUNCTION("""COMPUTED_VALUE"""),"AbrR!$A$1:$A")</f>
        <v>AbrR!$A$1:$A</v>
      </c>
      <c r="L1" s="20" t="str">
        <f>IFERROR(__xludf.DUMMYFUNCTION("""COMPUTED_VALUE"""),"AbrR!$A$6:$6")</f>
        <v>AbrR!$A$6:$6</v>
      </c>
      <c r="M1" s="20"/>
      <c r="N1" s="20"/>
      <c r="O1" s="20" t="str">
        <f>IFERROR(__xludf.DUMMYFUNCTION("""COMPUTED_VALUE"""),"Proveedores")</f>
        <v>Proveedores</v>
      </c>
      <c r="P1" s="20" t="str">
        <f>IFERROR(__xludf.DUMMYFUNCTION("""COMPUTED_VALUE"""),"Forma de Pago")</f>
        <v>Forma de Pago</v>
      </c>
      <c r="Q1" s="20" t="str">
        <f>IFERROR(__xludf.DUMMYFUNCTION("""COMPUTED_VALUE"""),"Cuenta O")</f>
        <v>Cuenta O</v>
      </c>
      <c r="R1" s="20"/>
      <c r="S1" s="20"/>
      <c r="T1" s="20"/>
      <c r="U1" s="20"/>
      <c r="V1" s="20"/>
      <c r="W1" s="20"/>
      <c r="X1" s="20"/>
      <c r="Y1" s="20"/>
    </row>
    <row r="2">
      <c r="A2" s="13" t="str">
        <f>IFERROR(__xludf.DUMMYFUNCTION("""COMPUTED_VALUE"""),"(00) Administración")</f>
        <v>(00) Administración</v>
      </c>
      <c r="B2" s="13" t="str">
        <f>IFERROR(__xludf.DUMMYFUNCTION("""COMPUTED_VALUE"""),"A01 Seguridad")</f>
        <v>A01 Seguridad</v>
      </c>
      <c r="C2" s="13" t="str">
        <f>IFERROR(__xludf.DUMMYFUNCTION("""COMPUTED_VALUE"""),"(01) Compras")</f>
        <v>(01) Compras</v>
      </c>
      <c r="D2" s="13"/>
      <c r="E2" s="13" t="str">
        <f>IFERROR(__xludf.DUMMYFUNCTION("""COMPUTED_VALUE"""),"(01) Enero")</f>
        <v>(01) Enero</v>
      </c>
      <c r="F2" s="13" t="str">
        <f>IFERROR(__xludf.DUMMYFUNCTION("""COMPUTED_VALUE"""),"Ene P")</f>
        <v>Ene P</v>
      </c>
      <c r="G2" s="13" t="str">
        <f>IFERROR(__xludf.DUMMYFUNCTION("""COMPUTED_VALUE"""),"Ene R")</f>
        <v>Ene R</v>
      </c>
      <c r="H2" s="13" t="str">
        <f>IFERROR(__xludf.DUMMYFUNCTION("""COMPUTED_VALUE"""),"Ene D")</f>
        <v>Ene D</v>
      </c>
      <c r="I2" s="13" t="str">
        <f>IFERROR(__xludf.DUMMYFUNCTION("""COMPUTED_VALUE"""),"Consolidado!$E$3:$E")</f>
        <v>Consolidado!$E$3:$E</v>
      </c>
      <c r="J2" s="13" t="str">
        <f>IFERROR(__xludf.DUMMYFUNCTION("""COMPUTED_VALUE"""),"EneR!A:AT")</f>
        <v>EneR!A:AT</v>
      </c>
      <c r="K2" s="13" t="str">
        <f>IFERROR(__xludf.DUMMYFUNCTION("""COMPUTED_VALUE"""),"EneR!$A$1:$A")</f>
        <v>EneR!$A$1:$A</v>
      </c>
      <c r="L2" s="13" t="str">
        <f>IFERROR(__xludf.DUMMYFUNCTION("""COMPUTED_VALUE"""),"EneR!$A$6:$6")</f>
        <v>EneR!$A$6:$6</v>
      </c>
      <c r="M2" s="13" t="str">
        <f>IFERROR(__xludf.DUMMYFUNCTION("""COMPUTED_VALUE"""),"EneR")</f>
        <v>EneR</v>
      </c>
      <c r="N2" s="13"/>
      <c r="O2" s="13" t="str">
        <f>IFERROR(__xludf.DUMMYFUNCTION("""COMPUTED_VALUE"""),"(000) Traspaso de Cta 901")</f>
        <v>(000) Traspaso de Cta 901</v>
      </c>
      <c r="P2" s="13" t="str">
        <f>IFERROR(__xludf.DUMMYFUNCTION("""COMPUTED_VALUE"""),"(01) Cheque")</f>
        <v>(01) Cheque</v>
      </c>
      <c r="Q2" s="13" t="str">
        <f>IFERROR(__xludf.DUMMYFUNCTION("""COMPUTED_VALUE"""),"C01 Otros ingresos")</f>
        <v>C01 Otros ingresos</v>
      </c>
      <c r="R2" s="13"/>
      <c r="S2" s="13"/>
      <c r="T2" s="13"/>
      <c r="U2" s="13"/>
      <c r="V2" s="13"/>
      <c r="W2" s="13"/>
      <c r="X2" s="13"/>
      <c r="Y2" s="13"/>
    </row>
    <row r="3">
      <c r="A3" s="13" t="str">
        <f>IFERROR(__xludf.DUMMYFUNCTION("""COMPUTED_VALUE"""),"(01) C. Polanco")</f>
        <v>(01) C. Polanco</v>
      </c>
      <c r="B3" s="13" t="str">
        <f>IFERROR(__xludf.DUMMYFUNCTION("""COMPUTED_VALUE"""),"A02 Monitoreo")</f>
        <v>A02 Monitoreo</v>
      </c>
      <c r="C3" s="13" t="str">
        <f>IFERROR(__xludf.DUMMYFUNCTION("""COMPUTED_VALUE"""),"(02) Comercial")</f>
        <v>(02) Comercial</v>
      </c>
      <c r="D3" s="13"/>
      <c r="E3" s="13" t="str">
        <f>IFERROR(__xludf.DUMMYFUNCTION("""COMPUTED_VALUE"""),"(02) Febrero")</f>
        <v>(02) Febrero</v>
      </c>
      <c r="F3" s="13" t="str">
        <f>IFERROR(__xludf.DUMMYFUNCTION("""COMPUTED_VALUE"""),"Feb P")</f>
        <v>Feb P</v>
      </c>
      <c r="G3" s="13" t="str">
        <f>IFERROR(__xludf.DUMMYFUNCTION("""COMPUTED_VALUE"""),"Feb R")</f>
        <v>Feb R</v>
      </c>
      <c r="H3" s="13" t="str">
        <f>IFERROR(__xludf.DUMMYFUNCTION("""COMPUTED_VALUE"""),"Feb D")</f>
        <v>Feb D</v>
      </c>
      <c r="I3" s="13" t="str">
        <f>IFERROR(__xludf.DUMMYFUNCTION("""COMPUTED_VALUE"""),"Consolidado!$F$3:$F")</f>
        <v>Consolidado!$F$3:$F</v>
      </c>
      <c r="J3" s="13" t="str">
        <f>IFERROR(__xludf.DUMMYFUNCTION("""COMPUTED_VALUE"""),"FebR!A:AT")</f>
        <v>FebR!A:AT</v>
      </c>
      <c r="K3" s="13" t="str">
        <f>IFERROR(__xludf.DUMMYFUNCTION("""COMPUTED_VALUE"""),"FebR!$A$1:$A")</f>
        <v>FebR!$A$1:$A</v>
      </c>
      <c r="L3" s="13" t="str">
        <f>IFERROR(__xludf.DUMMYFUNCTION("""COMPUTED_VALUE"""),"FebR!$A$6:$6")</f>
        <v>FebR!$A$6:$6</v>
      </c>
      <c r="M3" s="13" t="str">
        <f>IFERROR(__xludf.DUMMYFUNCTION("""COMPUTED_VALUE"""),"FebR")</f>
        <v>FebR</v>
      </c>
      <c r="N3" s="13"/>
      <c r="O3" s="13" t="str">
        <f>IFERROR(__xludf.DUMMYFUNCTION("""COMPUTED_VALUE"""),"(001) Wepark Sa De Cv")</f>
        <v>(001) Wepark Sa De Cv</v>
      </c>
      <c r="P3" s="13" t="str">
        <f>IFERROR(__xludf.DUMMYFUNCTION("""COMPUTED_VALUE"""),"(02) Efectivo")</f>
        <v>(02) Efectivo</v>
      </c>
      <c r="Q3" s="13" t="str">
        <f>IFERROR(__xludf.DUMMYFUNCTION("""COMPUTED_VALUE"""),"D01 Otros gastos")</f>
        <v>D01 Otros gastos</v>
      </c>
      <c r="R3" s="13"/>
      <c r="S3" s="13"/>
      <c r="T3" s="13"/>
      <c r="U3" s="13"/>
      <c r="V3" s="13"/>
      <c r="W3" s="13"/>
      <c r="X3" s="13"/>
      <c r="Y3" s="13"/>
    </row>
    <row r="4">
      <c r="A4" s="13" t="str">
        <f>IFERROR(__xludf.DUMMYFUNCTION("""COMPUTED_VALUE"""),"(02) Wepark")</f>
        <v>(02) Wepark</v>
      </c>
      <c r="B4" s="13" t="str">
        <f>IFERROR(__xludf.DUMMYFUNCTION("""COMPUTED_VALUE"""),"B01 Nomina")</f>
        <v>B01 Nomina</v>
      </c>
      <c r="C4" s="13" t="str">
        <f>IFERROR(__xludf.DUMMYFUNCTION("""COMPUTED_VALUE"""),"(03) RH")</f>
        <v>(03) RH</v>
      </c>
      <c r="D4" s="13"/>
      <c r="E4" s="13" t="str">
        <f>IFERROR(__xludf.DUMMYFUNCTION("""COMPUTED_VALUE"""),"(03) Marzo")</f>
        <v>(03) Marzo</v>
      </c>
      <c r="F4" s="13" t="str">
        <f>IFERROR(__xludf.DUMMYFUNCTION("""COMPUTED_VALUE"""),"Mar P")</f>
        <v>Mar P</v>
      </c>
      <c r="G4" s="13" t="str">
        <f>IFERROR(__xludf.DUMMYFUNCTION("""COMPUTED_VALUE"""),"Mar R")</f>
        <v>Mar R</v>
      </c>
      <c r="H4" s="13" t="str">
        <f>IFERROR(__xludf.DUMMYFUNCTION("""COMPUTED_VALUE"""),"Mar D")</f>
        <v>Mar D</v>
      </c>
      <c r="I4" s="13" t="str">
        <f>IFERROR(__xludf.DUMMYFUNCTION("""COMPUTED_VALUE"""),"Consolidado!$G$3:$G")</f>
        <v>Consolidado!$G$3:$G</v>
      </c>
      <c r="J4" s="13" t="str">
        <f>IFERROR(__xludf.DUMMYFUNCTION("""COMPUTED_VALUE"""),"MarR!A:AT")</f>
        <v>MarR!A:AT</v>
      </c>
      <c r="K4" s="13" t="str">
        <f>IFERROR(__xludf.DUMMYFUNCTION("""COMPUTED_VALUE"""),"MarR!$A$1:$A")</f>
        <v>MarR!$A$1:$A</v>
      </c>
      <c r="L4" s="13" t="str">
        <f>IFERROR(__xludf.DUMMYFUNCTION("""COMPUTED_VALUE"""),"MarR!$A$6:$6")</f>
        <v>MarR!$A$6:$6</v>
      </c>
      <c r="M4" s="13" t="str">
        <f>IFERROR(__xludf.DUMMYFUNCTION("""COMPUTED_VALUE"""),"MarR")</f>
        <v>MarR</v>
      </c>
      <c r="N4" s="13"/>
      <c r="O4" s="13" t="str">
        <f>IFERROR(__xludf.DUMMYFUNCTION("""COMPUTED_VALUE"""),"(002) Artes Graficas En Periodico")</f>
        <v>(002) Artes Graficas En Periodico</v>
      </c>
      <c r="P4" s="13" t="str">
        <f>IFERROR(__xludf.DUMMYFUNCTION("""COMPUTED_VALUE"""),"(03) Transferencia")</f>
        <v>(03) Transferencia</v>
      </c>
      <c r="Q4" s="13" t="str">
        <f>IFERROR(__xludf.DUMMYFUNCTION("""COMPUTED_VALUE"""),"D02 Comisiones")</f>
        <v>D02 Comisiones</v>
      </c>
      <c r="R4" s="13"/>
      <c r="S4" s="13"/>
      <c r="T4" s="13"/>
      <c r="U4" s="13"/>
      <c r="V4" s="13"/>
      <c r="W4" s="13"/>
      <c r="X4" s="13"/>
      <c r="Y4" s="13"/>
    </row>
    <row r="5">
      <c r="A5" s="13" t="str">
        <f>IFERROR(__xludf.DUMMYFUNCTION("""COMPUTED_VALUE"""),"(03) Lagrange")</f>
        <v>(03) Lagrange</v>
      </c>
      <c r="B5" s="13" t="str">
        <f>IFERROR(__xludf.DUMMYFUNCTION("""COMPUTED_VALUE"""),"B02 Cuotas IMSS")</f>
        <v>B02 Cuotas IMSS</v>
      </c>
      <c r="C5" s="13" t="str">
        <f>IFERROR(__xludf.DUMMYFUNCTION("""COMPUTED_VALUE"""),"(04) Operacion")</f>
        <v>(04) Operacion</v>
      </c>
      <c r="D5" s="13"/>
      <c r="E5" s="13" t="str">
        <f>IFERROR(__xludf.DUMMYFUNCTION("""COMPUTED_VALUE"""),"(04) Abril")</f>
        <v>(04) Abril</v>
      </c>
      <c r="F5" s="13" t="str">
        <f>IFERROR(__xludf.DUMMYFUNCTION("""COMPUTED_VALUE"""),"Abr P")</f>
        <v>Abr P</v>
      </c>
      <c r="G5" s="13" t="str">
        <f>IFERROR(__xludf.DUMMYFUNCTION("""COMPUTED_VALUE"""),"Abr R")</f>
        <v>Abr R</v>
      </c>
      <c r="H5" s="13" t="str">
        <f>IFERROR(__xludf.DUMMYFUNCTION("""COMPUTED_VALUE"""),"Abr D")</f>
        <v>Abr D</v>
      </c>
      <c r="I5" s="13" t="str">
        <f>IFERROR(__xludf.DUMMYFUNCTION("""COMPUTED_VALUE"""),"Consolidado!$H$3:$H")</f>
        <v>Consolidado!$H$3:$H</v>
      </c>
      <c r="J5" s="13" t="str">
        <f>IFERROR(__xludf.DUMMYFUNCTION("""COMPUTED_VALUE"""),"AbrR!A:AT")</f>
        <v>AbrR!A:AT</v>
      </c>
      <c r="K5" s="13" t="str">
        <f>IFERROR(__xludf.DUMMYFUNCTION("""COMPUTED_VALUE"""),"AbrR!$A$1:$A")</f>
        <v>AbrR!$A$1:$A</v>
      </c>
      <c r="L5" s="13" t="str">
        <f>IFERROR(__xludf.DUMMYFUNCTION("""COMPUTED_VALUE"""),"AbrR!$A$6:$6")</f>
        <v>AbrR!$A$6:$6</v>
      </c>
      <c r="M5" s="13" t="str">
        <f>IFERROR(__xludf.DUMMYFUNCTION("""COMPUTED_VALUE"""),"AbrR")</f>
        <v>AbrR</v>
      </c>
      <c r="N5" s="13"/>
      <c r="O5" s="13" t="str">
        <f>IFERROR(__xludf.DUMMYFUNCTION("""COMPUTED_VALUE"""),"(003) Raul A Tapia Sanchez")</f>
        <v>(003) Raul A Tapia Sanchez</v>
      </c>
      <c r="P5" s="13" t="str">
        <f>IFERROR(__xludf.DUMMYFUNCTION("""COMPUTED_VALUE"""),"(04) Tarjeta de Credito")</f>
        <v>(04) Tarjeta de Credito</v>
      </c>
      <c r="Q5" s="13" t="str">
        <f>IFERROR(__xludf.DUMMYFUNCTION("""COMPUTED_VALUE"""),"D03 Compensaciones Efectivo")</f>
        <v>D03 Compensaciones Efectivo</v>
      </c>
      <c r="R5" s="13"/>
      <c r="S5" s="13"/>
      <c r="T5" s="13"/>
      <c r="U5" s="13"/>
      <c r="V5" s="13"/>
      <c r="W5" s="13"/>
      <c r="X5" s="13"/>
      <c r="Y5" s="13"/>
    </row>
    <row r="6">
      <c r="A6" s="13" t="str">
        <f>IFERROR(__xludf.DUMMYFUNCTION("""COMPUTED_VALUE"""),"(04) T. Prisma")</f>
        <v>(04) T. Prisma</v>
      </c>
      <c r="B6" s="13" t="str">
        <f>IFERROR(__xludf.DUMMYFUNCTION("""COMPUTED_VALUE"""),"B03 Cuotas AFORE")</f>
        <v>B03 Cuotas AFORE</v>
      </c>
      <c r="C6" s="13" t="str">
        <f>IFERROR(__xludf.DUMMYFUNCTION("""COMPUTED_VALUE"""),"(05) Licencias")</f>
        <v>(05) Licencias</v>
      </c>
      <c r="D6" s="13"/>
      <c r="E6" s="13" t="str">
        <f>IFERROR(__xludf.DUMMYFUNCTION("""COMPUTED_VALUE"""),"(05) Mayo")</f>
        <v>(05) Mayo</v>
      </c>
      <c r="F6" s="13" t="str">
        <f>IFERROR(__xludf.DUMMYFUNCTION("""COMPUTED_VALUE"""),"May P")</f>
        <v>May P</v>
      </c>
      <c r="G6" s="13" t="str">
        <f>IFERROR(__xludf.DUMMYFUNCTION("""COMPUTED_VALUE"""),"May R")</f>
        <v>May R</v>
      </c>
      <c r="H6" s="13" t="str">
        <f>IFERROR(__xludf.DUMMYFUNCTION("""COMPUTED_VALUE"""),"May D")</f>
        <v>May D</v>
      </c>
      <c r="I6" s="13" t="str">
        <f>IFERROR(__xludf.DUMMYFUNCTION("""COMPUTED_VALUE"""),"Consolidado!$I$3:$I")</f>
        <v>Consolidado!$I$3:$I</v>
      </c>
      <c r="J6" s="13" t="str">
        <f>IFERROR(__xludf.DUMMYFUNCTION("""COMPUTED_VALUE"""),"MayR!A:AT")</f>
        <v>MayR!A:AT</v>
      </c>
      <c r="K6" s="13" t="str">
        <f>IFERROR(__xludf.DUMMYFUNCTION("""COMPUTED_VALUE"""),"MayR!$A$1:$A")</f>
        <v>MayR!$A$1:$A</v>
      </c>
      <c r="L6" s="13" t="str">
        <f>IFERROR(__xludf.DUMMYFUNCTION("""COMPUTED_VALUE"""),"MayR!$A$6:$6")</f>
        <v>MayR!$A$6:$6</v>
      </c>
      <c r="M6" s="13" t="str">
        <f>IFERROR(__xludf.DUMMYFUNCTION("""COMPUTED_VALUE"""),"MayR")</f>
        <v>MayR</v>
      </c>
      <c r="N6" s="13"/>
      <c r="O6" s="13" t="str">
        <f>IFERROR(__xludf.DUMMYFUNCTION("""COMPUTED_VALUE"""),"(004) Jashmal Sa De Cv")</f>
        <v>(004) Jashmal Sa De Cv</v>
      </c>
      <c r="P6" s="13" t="str">
        <f>IFERROR(__xludf.DUMMYFUNCTION("""COMPUTED_VALUE"""),"(05) Anticipo")</f>
        <v>(05) Anticipo</v>
      </c>
      <c r="Q6" s="13" t="str">
        <f>IFERROR(__xludf.DUMMYFUNCTION("""COMPUTED_VALUE"""),"D04 Comisiones Rafa")</f>
        <v>D04 Comisiones Rafa</v>
      </c>
      <c r="R6" s="13"/>
      <c r="S6" s="13"/>
      <c r="T6" s="13"/>
      <c r="U6" s="13"/>
      <c r="V6" s="13"/>
      <c r="W6" s="13"/>
      <c r="X6" s="13"/>
      <c r="Y6" s="13"/>
    </row>
    <row r="7">
      <c r="A7" s="13" t="str">
        <f>IFERROR(__xludf.DUMMYFUNCTION("""COMPUTED_VALUE"""),"(07) Andes 120")</f>
        <v>(07) Andes 120</v>
      </c>
      <c r="B7" s="13" t="str">
        <f>IFERROR(__xludf.DUMMYFUNCTION("""COMPUTED_VALUE"""),"B04 Cuotas INFONAVIT")</f>
        <v>B04 Cuotas INFONAVIT</v>
      </c>
      <c r="C7" s="13" t="str">
        <f>IFERROR(__xludf.DUMMYFUNCTION("""COMPUTED_VALUE"""),"(06) Finanzas")</f>
        <v>(06) Finanzas</v>
      </c>
      <c r="D7" s="13"/>
      <c r="E7" s="13" t="str">
        <f>IFERROR(__xludf.DUMMYFUNCTION("""COMPUTED_VALUE"""),"(06) Junio")</f>
        <v>(06) Junio</v>
      </c>
      <c r="F7" s="13" t="str">
        <f>IFERROR(__xludf.DUMMYFUNCTION("""COMPUTED_VALUE"""),"Jun P")</f>
        <v>Jun P</v>
      </c>
      <c r="G7" s="13" t="str">
        <f>IFERROR(__xludf.DUMMYFUNCTION("""COMPUTED_VALUE"""),"Jun R")</f>
        <v>Jun R</v>
      </c>
      <c r="H7" s="13" t="str">
        <f>IFERROR(__xludf.DUMMYFUNCTION("""COMPUTED_VALUE"""),"Jun D")</f>
        <v>Jun D</v>
      </c>
      <c r="I7" s="13" t="str">
        <f>IFERROR(__xludf.DUMMYFUNCTION("""COMPUTED_VALUE"""),"Consolidado!$J$3:$J")</f>
        <v>Consolidado!$J$3:$J</v>
      </c>
      <c r="J7" s="13" t="str">
        <f>IFERROR(__xludf.DUMMYFUNCTION("""COMPUTED_VALUE"""),"JunR!A:AT")</f>
        <v>JunR!A:AT</v>
      </c>
      <c r="K7" s="13" t="str">
        <f>IFERROR(__xludf.DUMMYFUNCTION("""COMPUTED_VALUE"""),"JunR!$A$1:$A")</f>
        <v>JunR!$A$1:$A</v>
      </c>
      <c r="L7" s="13" t="str">
        <f>IFERROR(__xludf.DUMMYFUNCTION("""COMPUTED_VALUE"""),"JunR!$A$6:$6")</f>
        <v>JunR!$A$6:$6</v>
      </c>
      <c r="M7" s="13" t="str">
        <f>IFERROR(__xludf.DUMMYFUNCTION("""COMPUTED_VALUE"""),"JunR")</f>
        <v>JunR</v>
      </c>
      <c r="N7" s="13"/>
      <c r="O7" s="13" t="str">
        <f>IFERROR(__xludf.DUMMYFUNCTION("""COMPUTED_VALUE"""),"(005) Tecnosinergia S De Rl De Cv")</f>
        <v>(005) Tecnosinergia S De Rl De Cv</v>
      </c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 t="str">
        <f>IFERROR(__xludf.DUMMYFUNCTION("""COMPUTED_VALUE"""),"(08) Xochimilco")</f>
        <v>(08) Xochimilco</v>
      </c>
      <c r="B8" s="21" t="str">
        <f>IFERROR(__xludf.DUMMYFUNCTION("""COMPUTED_VALUE"""),"B05 2.5% sobre nomina")</f>
        <v>B05 2.5% sobre nomina</v>
      </c>
      <c r="C8" s="13"/>
      <c r="D8" s="13"/>
      <c r="E8" s="13" t="str">
        <f>IFERROR(__xludf.DUMMYFUNCTION("""COMPUTED_VALUE"""),"(07) Julio")</f>
        <v>(07) Julio</v>
      </c>
      <c r="F8" s="13" t="str">
        <f>IFERROR(__xludf.DUMMYFUNCTION("""COMPUTED_VALUE"""),"Jul P")</f>
        <v>Jul P</v>
      </c>
      <c r="G8" s="13" t="str">
        <f>IFERROR(__xludf.DUMMYFUNCTION("""COMPUTED_VALUE"""),"Jul R")</f>
        <v>Jul R</v>
      </c>
      <c r="H8" s="13" t="str">
        <f>IFERROR(__xludf.DUMMYFUNCTION("""COMPUTED_VALUE"""),"Jul D")</f>
        <v>Jul D</v>
      </c>
      <c r="I8" s="13" t="str">
        <f>IFERROR(__xludf.DUMMYFUNCTION("""COMPUTED_VALUE"""),"Consolidado!$K$3:$K")</f>
        <v>Consolidado!$K$3:$K</v>
      </c>
      <c r="J8" s="13" t="str">
        <f>IFERROR(__xludf.DUMMYFUNCTION("""COMPUTED_VALUE"""),"JulR!A:AT")</f>
        <v>JulR!A:AT</v>
      </c>
      <c r="K8" s="13" t="str">
        <f>IFERROR(__xludf.DUMMYFUNCTION("""COMPUTED_VALUE"""),"JulR!$A$1:$A")</f>
        <v>JulR!$A$1:$A</v>
      </c>
      <c r="L8" s="13" t="str">
        <f>IFERROR(__xludf.DUMMYFUNCTION("""COMPUTED_VALUE"""),"JulR!$A$6:$6")</f>
        <v>JulR!$A$6:$6</v>
      </c>
      <c r="M8" s="13" t="str">
        <f>IFERROR(__xludf.DUMMYFUNCTION("""COMPUTED_VALUE"""),"JulR")</f>
        <v>JulR</v>
      </c>
      <c r="N8" s="13"/>
      <c r="O8" s="13" t="str">
        <f>IFERROR(__xludf.DUMMYFUNCTION("""COMPUTED_VALUE"""),"(006) Lp Comunicaciones Sa De Cv")</f>
        <v>(006) Lp Comunicaciones Sa De Cv</v>
      </c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 t="str">
        <f>IFERROR(__xludf.DUMMYFUNCTION("""COMPUTED_VALUE"""),"(09) M. Pelvoux")</f>
        <v>(09) M. Pelvoux</v>
      </c>
      <c r="B9" s="13" t="str">
        <f>IFERROR(__xludf.DUMMYFUNCTION("""COMPUTED_VALUE"""),"B06 Aguinaldo")</f>
        <v>B06 Aguinaldo</v>
      </c>
      <c r="C9" s="13"/>
      <c r="D9" s="13"/>
      <c r="E9" s="13" t="str">
        <f>IFERROR(__xludf.DUMMYFUNCTION("""COMPUTED_VALUE"""),"(08) Agosto")</f>
        <v>(08) Agosto</v>
      </c>
      <c r="F9" s="13" t="str">
        <f>IFERROR(__xludf.DUMMYFUNCTION("""COMPUTED_VALUE"""),"Ago P")</f>
        <v>Ago P</v>
      </c>
      <c r="G9" s="13" t="str">
        <f>IFERROR(__xludf.DUMMYFUNCTION("""COMPUTED_VALUE"""),"Ago R")</f>
        <v>Ago R</v>
      </c>
      <c r="H9" s="13" t="str">
        <f>IFERROR(__xludf.DUMMYFUNCTION("""COMPUTED_VALUE"""),"Ago D")</f>
        <v>Ago D</v>
      </c>
      <c r="I9" s="13" t="str">
        <f>IFERROR(__xludf.DUMMYFUNCTION("""COMPUTED_VALUE"""),"Consolidado!$L$3:$L")</f>
        <v>Consolidado!$L$3:$L</v>
      </c>
      <c r="J9" s="13" t="str">
        <f>IFERROR(__xludf.DUMMYFUNCTION("""COMPUTED_VALUE"""),"AgoR!A:AT")</f>
        <v>AgoR!A:AT</v>
      </c>
      <c r="K9" s="13" t="str">
        <f>IFERROR(__xludf.DUMMYFUNCTION("""COMPUTED_VALUE"""),"AgoR!$A$1:$A")</f>
        <v>AgoR!$A$1:$A</v>
      </c>
      <c r="L9" s="13" t="str">
        <f>IFERROR(__xludf.DUMMYFUNCTION("""COMPUTED_VALUE"""),"AgoR!$A$6:$6")</f>
        <v>AgoR!$A$6:$6</v>
      </c>
      <c r="M9" s="13" t="str">
        <f>IFERROR(__xludf.DUMMYFUNCTION("""COMPUTED_VALUE"""),"AgoR")</f>
        <v>AgoR</v>
      </c>
      <c r="N9" s="13"/>
      <c r="O9" s="13" t="str">
        <f>IFERROR(__xludf.DUMMYFUNCTION("""COMPUTED_VALUE"""),"(007) Pruebas De Deteccion Sa De Cv")</f>
        <v>(007) Pruebas De Deteccion Sa De Cv</v>
      </c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 t="str">
        <f>IFERROR(__xludf.DUMMYFUNCTION("""COMPUTED_VALUE"""),"(10) Quadrata")</f>
        <v>(10) Quadrata</v>
      </c>
      <c r="B10" s="13" t="str">
        <f>IFERROR(__xludf.DUMMYFUNCTION("""COMPUTED_VALUE"""),"B07 Comisiones Bancarias")</f>
        <v>B07 Comisiones Bancarias</v>
      </c>
      <c r="C10" s="13"/>
      <c r="D10" s="13"/>
      <c r="E10" s="13" t="str">
        <f>IFERROR(__xludf.DUMMYFUNCTION("""COMPUTED_VALUE"""),"(09) Septiembre")</f>
        <v>(09) Septiembre</v>
      </c>
      <c r="F10" s="13" t="str">
        <f>IFERROR(__xludf.DUMMYFUNCTION("""COMPUTED_VALUE"""),"Sep P")</f>
        <v>Sep P</v>
      </c>
      <c r="G10" s="13" t="str">
        <f>IFERROR(__xludf.DUMMYFUNCTION("""COMPUTED_VALUE"""),"Sep R")</f>
        <v>Sep R</v>
      </c>
      <c r="H10" s="13" t="str">
        <f>IFERROR(__xludf.DUMMYFUNCTION("""COMPUTED_VALUE"""),"Sep D")</f>
        <v>Sep D</v>
      </c>
      <c r="I10" s="13" t="str">
        <f>IFERROR(__xludf.DUMMYFUNCTION("""COMPUTED_VALUE"""),"Consolidado!$M$3:$M")</f>
        <v>Consolidado!$M$3:$M</v>
      </c>
      <c r="J10" s="13" t="str">
        <f>IFERROR(__xludf.DUMMYFUNCTION("""COMPUTED_VALUE"""),"SepR!A:AT")</f>
        <v>SepR!A:AT</v>
      </c>
      <c r="K10" s="13" t="str">
        <f>IFERROR(__xludf.DUMMYFUNCTION("""COMPUTED_VALUE"""),"SepR!$A$1:$A")</f>
        <v>SepR!$A$1:$A</v>
      </c>
      <c r="L10" s="13" t="str">
        <f>IFERROR(__xludf.DUMMYFUNCTION("""COMPUTED_VALUE"""),"SepR!$A$6:$6")</f>
        <v>SepR!$A$6:$6</v>
      </c>
      <c r="M10" s="13" t="str">
        <f>IFERROR(__xludf.DUMMYFUNCTION("""COMPUTED_VALUE"""),"SepR")</f>
        <v>SepR</v>
      </c>
      <c r="N10" s="13"/>
      <c r="O10" s="13" t="str">
        <f>IFERROR(__xludf.DUMMYFUNCTION("""COMPUTED_VALUE"""),"(008) Ruizgu Sa De Cv")</f>
        <v>(008) Ruizgu Sa De Cv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 t="str">
        <f>IFERROR(__xludf.DUMMYFUNCTION("""COMPUTED_VALUE"""),"(11) Panorama")</f>
        <v>(11) Panorama</v>
      </c>
      <c r="B11" s="13" t="str">
        <f>IFERROR(__xludf.DUMMYFUNCTION("""COMPUTED_VALUE"""),"B08 Licencias y permisos")</f>
        <v>B08 Licencias y permisos</v>
      </c>
      <c r="C11" s="13"/>
      <c r="D11" s="13"/>
      <c r="E11" s="13" t="str">
        <f>IFERROR(__xludf.DUMMYFUNCTION("""COMPUTED_VALUE"""),"(10) Octubre")</f>
        <v>(10) Octubre</v>
      </c>
      <c r="F11" s="13" t="str">
        <f>IFERROR(__xludf.DUMMYFUNCTION("""COMPUTED_VALUE"""),"Oct P")</f>
        <v>Oct P</v>
      </c>
      <c r="G11" s="13" t="str">
        <f>IFERROR(__xludf.DUMMYFUNCTION("""COMPUTED_VALUE"""),"Oct R")</f>
        <v>Oct R</v>
      </c>
      <c r="H11" s="13" t="str">
        <f>IFERROR(__xludf.DUMMYFUNCTION("""COMPUTED_VALUE"""),"Oct D")</f>
        <v>Oct D</v>
      </c>
      <c r="I11" s="13" t="str">
        <f>IFERROR(__xludf.DUMMYFUNCTION("""COMPUTED_VALUE"""),"Consolidado!$N$3:$N")</f>
        <v>Consolidado!$N$3:$N</v>
      </c>
      <c r="J11" s="13" t="str">
        <f>IFERROR(__xludf.DUMMYFUNCTION("""COMPUTED_VALUE"""),"OctR!A:AT")</f>
        <v>OctR!A:AT</v>
      </c>
      <c r="K11" s="13" t="str">
        <f>IFERROR(__xludf.DUMMYFUNCTION("""COMPUTED_VALUE"""),"OctR!$A$1:$A")</f>
        <v>OctR!$A$1:$A</v>
      </c>
      <c r="L11" s="13" t="str">
        <f>IFERROR(__xludf.DUMMYFUNCTION("""COMPUTED_VALUE"""),"OctR!$A$6:$6")</f>
        <v>OctR!$A$6:$6</v>
      </c>
      <c r="M11" s="13" t="str">
        <f>IFERROR(__xludf.DUMMYFUNCTION("""COMPUTED_VALUE"""),"OctR")</f>
        <v>OctR</v>
      </c>
      <c r="N11" s="13"/>
      <c r="O11" s="13" t="str">
        <f>IFERROR(__xludf.DUMMYFUNCTION("""COMPUTED_VALUE"""),"(009) Juan Armando Sosa Lezama")</f>
        <v>(009) Juan Armando Sosa Lezama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 t="str">
        <f>IFERROR(__xludf.DUMMYFUNCTION("""COMPUTED_VALUE"""),"(12) Andes 105")</f>
        <v>(12) Andes 105</v>
      </c>
      <c r="B12" s="13" t="str">
        <f>IFERROR(__xludf.DUMMYFUNCTION("""COMPUTED_VALUE"""),"B09 Uniformes")</f>
        <v>B09 Uniformes</v>
      </c>
      <c r="C12" s="13"/>
      <c r="D12" s="13"/>
      <c r="E12" s="13" t="str">
        <f>IFERROR(__xludf.DUMMYFUNCTION("""COMPUTED_VALUE"""),"(11) Noviembre")</f>
        <v>(11) Noviembre</v>
      </c>
      <c r="F12" s="13" t="str">
        <f>IFERROR(__xludf.DUMMYFUNCTION("""COMPUTED_VALUE"""),"Nov P")</f>
        <v>Nov P</v>
      </c>
      <c r="G12" s="13" t="str">
        <f>IFERROR(__xludf.DUMMYFUNCTION("""COMPUTED_VALUE"""),"Nov R")</f>
        <v>Nov R</v>
      </c>
      <c r="H12" s="13" t="str">
        <f>IFERROR(__xludf.DUMMYFUNCTION("""COMPUTED_VALUE"""),"Nov D")</f>
        <v>Nov D</v>
      </c>
      <c r="I12" s="13" t="str">
        <f>IFERROR(__xludf.DUMMYFUNCTION("""COMPUTED_VALUE"""),"Consolidado!$O$3:$O")</f>
        <v>Consolidado!$O$3:$O</v>
      </c>
      <c r="J12" s="13" t="str">
        <f>IFERROR(__xludf.DUMMYFUNCTION("""COMPUTED_VALUE"""),"NovR!A:AT")</f>
        <v>NovR!A:AT</v>
      </c>
      <c r="K12" s="13" t="str">
        <f>IFERROR(__xludf.DUMMYFUNCTION("""COMPUTED_VALUE"""),"NovR!$A$1:$A")</f>
        <v>NovR!$A$1:$A</v>
      </c>
      <c r="L12" s="13" t="str">
        <f>IFERROR(__xludf.DUMMYFUNCTION("""COMPUTED_VALUE"""),"NovR!$A$6:$6")</f>
        <v>NovR!$A$6:$6</v>
      </c>
      <c r="M12" s="13" t="str">
        <f>IFERROR(__xludf.DUMMYFUNCTION("""COMPUTED_VALUE"""),"NovR")</f>
        <v>NovR</v>
      </c>
      <c r="N12" s="13"/>
      <c r="O12" s="13" t="str">
        <f>IFERROR(__xludf.DUMMYFUNCTION("""COMPUTED_VALUE"""),"(010) Asesoria En Copisistemas Y Com")</f>
        <v>(010) Asesoria En Copisistemas Y Com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 t="str">
        <f>IFERROR(__xludf.DUMMYFUNCTION("""COMPUTED_VALUE"""),"(13) E. Especiales")</f>
        <v>(13) E. Especiales</v>
      </c>
      <c r="B13" s="13" t="str">
        <f>IFERROR(__xludf.DUMMYFUNCTION("""COMPUTED_VALUE"""),"B10 Anuncios periódico")</f>
        <v>B10 Anuncios periódico</v>
      </c>
      <c r="C13" s="13"/>
      <c r="D13" s="13"/>
      <c r="E13" s="13" t="str">
        <f>IFERROR(__xludf.DUMMYFUNCTION("""COMPUTED_VALUE"""),"(12) Diciembre")</f>
        <v>(12) Diciembre</v>
      </c>
      <c r="F13" s="13" t="str">
        <f>IFERROR(__xludf.DUMMYFUNCTION("""COMPUTED_VALUE"""),"Dic P")</f>
        <v>Dic P</v>
      </c>
      <c r="G13" s="13" t="str">
        <f>IFERROR(__xludf.DUMMYFUNCTION("""COMPUTED_VALUE"""),"Dic R")</f>
        <v>Dic R</v>
      </c>
      <c r="H13" s="13" t="str">
        <f>IFERROR(__xludf.DUMMYFUNCTION("""COMPUTED_VALUE"""),"Dic D")</f>
        <v>Dic D</v>
      </c>
      <c r="I13" s="13" t="str">
        <f>IFERROR(__xludf.DUMMYFUNCTION("""COMPUTED_VALUE"""),"Consolidado!$P$3:$P")</f>
        <v>Consolidado!$P$3:$P</v>
      </c>
      <c r="J13" s="13" t="str">
        <f>IFERROR(__xludf.DUMMYFUNCTION("""COMPUTED_VALUE"""),"DicR!A:AT")</f>
        <v>DicR!A:AT</v>
      </c>
      <c r="K13" s="13" t="str">
        <f>IFERROR(__xludf.DUMMYFUNCTION("""COMPUTED_VALUE"""),"DicR!$A$1:$A")</f>
        <v>DicR!$A$1:$A</v>
      </c>
      <c r="L13" s="13" t="str">
        <f>IFERROR(__xludf.DUMMYFUNCTION("""COMPUTED_VALUE"""),"DicR!$A$6:$6")</f>
        <v>DicR!$A$6:$6</v>
      </c>
      <c r="M13" s="13" t="str">
        <f>IFERROR(__xludf.DUMMYFUNCTION("""COMPUTED_VALUE"""),"DicR")</f>
        <v>DicR</v>
      </c>
      <c r="N13" s="13"/>
      <c r="O13" s="13" t="str">
        <f>IFERROR(__xludf.DUMMYFUNCTION("""COMPUTED_VALUE"""),"(011) Avisetecnologias Sa De Cv")</f>
        <v>(011) Avisetecnologias Sa De Cv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 t="str">
        <f>IFERROR(__xludf.DUMMYFUNCTION("""COMPUTED_VALUE"""),"(14) Bodega Sicario Chalco")</f>
        <v>(14) Bodega Sicario Chalco</v>
      </c>
      <c r="B14" s="13" t="str">
        <f>IFERROR(__xludf.DUMMYFUNCTION("""COMPUTED_VALUE"""),"B11 Telefonía")</f>
        <v>B11 Telefonía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 t="str">
        <f>IFERROR(__xludf.DUMMYFUNCTION("""COMPUTED_VALUE"""),"(012) Avendaño Y Asociados Sc")</f>
        <v>(012) Avendaño Y Asociados Sc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 t="str">
        <f>IFERROR(__xludf.DUMMYFUNCTION("""COMPUTED_VALUE"""),"(15) Damas")</f>
        <v>(15) Damas</v>
      </c>
      <c r="B15" s="13" t="str">
        <f>IFERROR(__xludf.DUMMYFUNCTION("""COMPUTED_VALUE"""),"B12 Papelería")</f>
        <v>B12 Papelería</v>
      </c>
      <c r="C15" s="13"/>
      <c r="D15" s="13"/>
      <c r="E15" s="13" t="str">
        <f>IFERROR(__xludf.DUMMYFUNCTION("""COMPUTED_VALUE"""),"(01) Enero")</f>
        <v>(01) Enero</v>
      </c>
      <c r="F15" s="13" t="str">
        <f>IFERROR(__xludf.DUMMYFUNCTION("""COMPUTED_VALUE"""),"Enero")</f>
        <v>Enero</v>
      </c>
      <c r="G15" s="13" t="str">
        <f>IFERROR(__xludf.DUMMYFUNCTION("""COMPUTED_VALUE"""),"Ene R")</f>
        <v>Ene R</v>
      </c>
      <c r="H15" s="13" t="str">
        <f>IFERROR(__xludf.DUMMYFUNCTION("""COMPUTED_VALUE"""),"Ene D")</f>
        <v>Ene D</v>
      </c>
      <c r="I15" s="13" t="str">
        <f>IFERROR(__xludf.DUMMYFUNCTION("""COMPUTED_VALUE"""),"Otros!$E$3:$E")</f>
        <v>Otros!$E$3:$E</v>
      </c>
      <c r="J15" s="13" t="str">
        <f>IFERROR(__xludf.DUMMYFUNCTION("""COMPUTED_VALUE"""),"OtrosR!A:Q")</f>
        <v>OtrosR!A:Q</v>
      </c>
      <c r="K15" s="13" t="str">
        <f>IFERROR(__xludf.DUMMYFUNCTION("""COMPUTED_VALUE"""),"OtrosR!$C$1:$C")</f>
        <v>OtrosR!$C$1:$C</v>
      </c>
      <c r="L15" s="13" t="str">
        <f>IFERROR(__xludf.DUMMYFUNCTION("""COMPUTED_VALUE"""),"OtrosR!$B$1:$B")</f>
        <v>OtrosR!$B$1:$B</v>
      </c>
      <c r="M15" s="13" t="str">
        <f>IFERROR(__xludf.DUMMYFUNCTION("""COMPUTED_VALUE"""),"EneR")</f>
        <v>EneR</v>
      </c>
      <c r="N15" s="13"/>
      <c r="O15" s="13" t="str">
        <f>IFERROR(__xludf.DUMMYFUNCTION("""COMPUTED_VALUE"""),"(013) Gerardo Marcial Ramirez")</f>
        <v>(013) Gerardo Marcial Ramirez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 t="str">
        <f>IFERROR(__xludf.DUMMYFUNCTION("""COMPUTED_VALUE"""),"(16) Onix")</f>
        <v>(16) Onix</v>
      </c>
      <c r="B16" s="13" t="str">
        <f>IFERROR(__xludf.DUMMYFUNCTION("""COMPUTED_VALUE"""),"B13 Honorarios")</f>
        <v>B13 Honorarios</v>
      </c>
      <c r="C16" s="13"/>
      <c r="D16" s="13"/>
      <c r="E16" s="13" t="str">
        <f>IFERROR(__xludf.DUMMYFUNCTION("""COMPUTED_VALUE"""),"(02) Febrero")</f>
        <v>(02) Febrero</v>
      </c>
      <c r="F16" s="13" t="str">
        <f>IFERROR(__xludf.DUMMYFUNCTION("""COMPUTED_VALUE"""),"Febrero")</f>
        <v>Febrero</v>
      </c>
      <c r="G16" s="13" t="str">
        <f>IFERROR(__xludf.DUMMYFUNCTION("""COMPUTED_VALUE"""),"Feb R")</f>
        <v>Feb R</v>
      </c>
      <c r="H16" s="13" t="str">
        <f>IFERROR(__xludf.DUMMYFUNCTION("""COMPUTED_VALUE"""),"Feb D")</f>
        <v>Feb D</v>
      </c>
      <c r="I16" s="13" t="str">
        <f>IFERROR(__xludf.DUMMYFUNCTION("""COMPUTED_VALUE"""),"Otros!$F$3:$F")</f>
        <v>Otros!$F$3:$F</v>
      </c>
      <c r="J16" s="13" t="str">
        <f>IFERROR(__xludf.DUMMYFUNCTION("""COMPUTED_VALUE"""),"FebR!A:AT")</f>
        <v>FebR!A:AT</v>
      </c>
      <c r="K16" s="13" t="str">
        <f>IFERROR(__xludf.DUMMYFUNCTION("""COMPUTED_VALUE"""),"FebR!$A$1:$A")</f>
        <v>FebR!$A$1:$A</v>
      </c>
      <c r="L16" s="13" t="str">
        <f>IFERROR(__xludf.DUMMYFUNCTION("""COMPUTED_VALUE"""),"FebR!$A$6:$6")</f>
        <v>FebR!$A$6:$6</v>
      </c>
      <c r="M16" s="13" t="str">
        <f>IFERROR(__xludf.DUMMYFUNCTION("""COMPUTED_VALUE"""),"FebR")</f>
        <v>FebR</v>
      </c>
      <c r="N16" s="13"/>
      <c r="O16" s="13" t="str">
        <f>IFERROR(__xludf.DUMMYFUNCTION("""COMPUTED_VALUE"""),"(014) Jose Ventura Calvo Cruz")</f>
        <v>(014) Jose Ventura Calvo Cruz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 t="str">
        <f>IFERROR(__xludf.DUMMYFUNCTION("""COMPUTED_VALUE"""),"(17) Alce Blanco")</f>
        <v>(17) Alce Blanco</v>
      </c>
      <c r="B17" s="13" t="str">
        <f>IFERROR(__xludf.DUMMYFUNCTION("""COMPUTED_VALUE"""),"B14 Arrendamiento de inmuebles")</f>
        <v>B14 Arrendamiento de inmuebles</v>
      </c>
      <c r="C17" s="13"/>
      <c r="D17" s="13"/>
      <c r="E17" s="13" t="str">
        <f>IFERROR(__xludf.DUMMYFUNCTION("""COMPUTED_VALUE"""),"(03) Marzo")</f>
        <v>(03) Marzo</v>
      </c>
      <c r="F17" s="13" t="str">
        <f>IFERROR(__xludf.DUMMYFUNCTION("""COMPUTED_VALUE"""),"Marzo")</f>
        <v>Marzo</v>
      </c>
      <c r="G17" s="13" t="str">
        <f>IFERROR(__xludf.DUMMYFUNCTION("""COMPUTED_VALUE"""),"Mar R")</f>
        <v>Mar R</v>
      </c>
      <c r="H17" s="13" t="str">
        <f>IFERROR(__xludf.DUMMYFUNCTION("""COMPUTED_VALUE"""),"Mar D")</f>
        <v>Mar D</v>
      </c>
      <c r="I17" s="13" t="str">
        <f>IFERROR(__xludf.DUMMYFUNCTION("""COMPUTED_VALUE"""),"Otros!$G$3:$G")</f>
        <v>Otros!$G$3:$G</v>
      </c>
      <c r="J17" s="13" t="str">
        <f>IFERROR(__xludf.DUMMYFUNCTION("""COMPUTED_VALUE"""),"MarR!A:AT")</f>
        <v>MarR!A:AT</v>
      </c>
      <c r="K17" s="13" t="str">
        <f>IFERROR(__xludf.DUMMYFUNCTION("""COMPUTED_VALUE"""),"MarR!$A$1:$A")</f>
        <v>MarR!$A$1:$A</v>
      </c>
      <c r="L17" s="13" t="str">
        <f>IFERROR(__xludf.DUMMYFUNCTION("""COMPUTED_VALUE"""),"MarR!$A$6:$6")</f>
        <v>MarR!$A$6:$6</v>
      </c>
      <c r="M17" s="13" t="str">
        <f>IFERROR(__xludf.DUMMYFUNCTION("""COMPUTED_VALUE"""),"MarR")</f>
        <v>MarR</v>
      </c>
      <c r="N17" s="13"/>
      <c r="O17" s="13" t="str">
        <f>IFERROR(__xludf.DUMMYFUNCTION("""COMPUTED_VALUE"""),"(015) Gobierno De La Ciudad De Mexic")</f>
        <v>(015) Gobierno De La Ciudad De Mexic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 t="str">
        <f>IFERROR(__xludf.DUMMYFUNCTION("""COMPUTED_VALUE"""),"(18) Campos Eliseos")</f>
        <v>(18) Campos Eliseos</v>
      </c>
      <c r="B18" s="13" t="str">
        <f>IFERROR(__xludf.DUMMYFUNCTION("""COMPUTED_VALUE"""),"B15 Mobiliario y equipo de oficina")</f>
        <v>B15 Mobiliario y equipo de oficina</v>
      </c>
      <c r="C18" s="13"/>
      <c r="D18" s="13"/>
      <c r="E18" s="13" t="str">
        <f>IFERROR(__xludf.DUMMYFUNCTION("""COMPUTED_VALUE"""),"(04) Abril")</f>
        <v>(04) Abril</v>
      </c>
      <c r="F18" s="13" t="str">
        <f>IFERROR(__xludf.DUMMYFUNCTION("""COMPUTED_VALUE"""),"Abril")</f>
        <v>Abril</v>
      </c>
      <c r="G18" s="13" t="str">
        <f>IFERROR(__xludf.DUMMYFUNCTION("""COMPUTED_VALUE"""),"Abr R")</f>
        <v>Abr R</v>
      </c>
      <c r="H18" s="13" t="str">
        <f>IFERROR(__xludf.DUMMYFUNCTION("""COMPUTED_VALUE"""),"Abr D")</f>
        <v>Abr D</v>
      </c>
      <c r="I18" s="13" t="str">
        <f>IFERROR(__xludf.DUMMYFUNCTION("""COMPUTED_VALUE"""),"Otros!$H$3:$H")</f>
        <v>Otros!$H$3:$H</v>
      </c>
      <c r="J18" s="13" t="str">
        <f>IFERROR(__xludf.DUMMYFUNCTION("""COMPUTED_VALUE"""),"AbrR!A:AT")</f>
        <v>AbrR!A:AT</v>
      </c>
      <c r="K18" s="13" t="str">
        <f>IFERROR(__xludf.DUMMYFUNCTION("""COMPUTED_VALUE"""),"AbrR!$A$1:$A")</f>
        <v>AbrR!$A$1:$A</v>
      </c>
      <c r="L18" s="13" t="str">
        <f>IFERROR(__xludf.DUMMYFUNCTION("""COMPUTED_VALUE"""),"AbrR!$A$6:$6")</f>
        <v>AbrR!$A$6:$6</v>
      </c>
      <c r="M18" s="13" t="str">
        <f>IFERROR(__xludf.DUMMYFUNCTION("""COMPUTED_VALUE"""),"AbrR")</f>
        <v>AbrR</v>
      </c>
      <c r="N18" s="13"/>
      <c r="O18" s="13" t="str">
        <f>IFERROR(__xludf.DUMMYFUNCTION("""COMPUTED_VALUE"""),"(016) Orotoga Consultores Sc")</f>
        <v>(016) Orotoga Consultores Sc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 t="str">
        <f>IFERROR(__xludf.DUMMYFUNCTION("""COMPUTED_VALUE"""),"(21) Sur Oxidado")</f>
        <v>(21) Sur Oxidado</v>
      </c>
      <c r="B19" s="13" t="str">
        <f>IFERROR(__xludf.DUMMYFUNCTION("""COMPUTED_VALUE"""),"B16 Fianzas y seguros")</f>
        <v>B16 Fianzas y seguros</v>
      </c>
      <c r="C19" s="13"/>
      <c r="D19" s="13"/>
      <c r="E19" s="13" t="str">
        <f>IFERROR(__xludf.DUMMYFUNCTION("""COMPUTED_VALUE"""),"(05) Mayo")</f>
        <v>(05) Mayo</v>
      </c>
      <c r="F19" s="13" t="str">
        <f>IFERROR(__xludf.DUMMYFUNCTION("""COMPUTED_VALUE"""),"Mayo")</f>
        <v>Mayo</v>
      </c>
      <c r="G19" s="13" t="str">
        <f>IFERROR(__xludf.DUMMYFUNCTION("""COMPUTED_VALUE"""),"May R")</f>
        <v>May R</v>
      </c>
      <c r="H19" s="13" t="str">
        <f>IFERROR(__xludf.DUMMYFUNCTION("""COMPUTED_VALUE"""),"May D")</f>
        <v>May D</v>
      </c>
      <c r="I19" s="13" t="str">
        <f>IFERROR(__xludf.DUMMYFUNCTION("""COMPUTED_VALUE"""),"Otros!$I$3:$I")</f>
        <v>Otros!$I$3:$I</v>
      </c>
      <c r="J19" s="13" t="str">
        <f>IFERROR(__xludf.DUMMYFUNCTION("""COMPUTED_VALUE"""),"MayR!A:AT")</f>
        <v>MayR!A:AT</v>
      </c>
      <c r="K19" s="13" t="str">
        <f>IFERROR(__xludf.DUMMYFUNCTION("""COMPUTED_VALUE"""),"MayR!$A$1:$A")</f>
        <v>MayR!$A$1:$A</v>
      </c>
      <c r="L19" s="13" t="str">
        <f>IFERROR(__xludf.DUMMYFUNCTION("""COMPUTED_VALUE"""),"MayR!$A$6:$6")</f>
        <v>MayR!$A$6:$6</v>
      </c>
      <c r="M19" s="13" t="str">
        <f>IFERROR(__xludf.DUMMYFUNCTION("""COMPUTED_VALUE"""),"MayR")</f>
        <v>MayR</v>
      </c>
      <c r="N19" s="13"/>
      <c r="O19" s="13" t="str">
        <f>IFERROR(__xludf.DUMMYFUNCTION("""COMPUTED_VALUE"""),"(017) Berenice Frias Vigueras")</f>
        <v>(017) Berenice Frias Vigueras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 t="str">
        <f>IFERROR(__xludf.DUMMYFUNCTION("""COMPUTED_VALUE"""),"(22) Summit")</f>
        <v>(22) Summit</v>
      </c>
      <c r="B20" s="13" t="str">
        <f>IFERROR(__xludf.DUMMYFUNCTION("""COMPUTED_VALUE"""),"B17 Mantenimiento Plaza/Oficina")</f>
        <v>B17 Mantenimiento Plaza/Oficina</v>
      </c>
      <c r="C20" s="13"/>
      <c r="D20" s="13"/>
      <c r="E20" s="13" t="str">
        <f>IFERROR(__xludf.DUMMYFUNCTION("""COMPUTED_VALUE"""),"(06) Junio")</f>
        <v>(06) Junio</v>
      </c>
      <c r="F20" s="13" t="str">
        <f>IFERROR(__xludf.DUMMYFUNCTION("""COMPUTED_VALUE"""),"Junio")</f>
        <v>Junio</v>
      </c>
      <c r="G20" s="13" t="str">
        <f>IFERROR(__xludf.DUMMYFUNCTION("""COMPUTED_VALUE"""),"Jun R")</f>
        <v>Jun R</v>
      </c>
      <c r="H20" s="13" t="str">
        <f>IFERROR(__xludf.DUMMYFUNCTION("""COMPUTED_VALUE"""),"Jun D")</f>
        <v>Jun D</v>
      </c>
      <c r="I20" s="13" t="str">
        <f>IFERROR(__xludf.DUMMYFUNCTION("""COMPUTED_VALUE"""),"Otros!$J$3:$J")</f>
        <v>Otros!$J$3:$J</v>
      </c>
      <c r="J20" s="13" t="str">
        <f>IFERROR(__xludf.DUMMYFUNCTION("""COMPUTED_VALUE"""),"JunR!A:AT")</f>
        <v>JunR!A:AT</v>
      </c>
      <c r="K20" s="13" t="str">
        <f>IFERROR(__xludf.DUMMYFUNCTION("""COMPUTED_VALUE"""),"JunR!$A$1:$A")</f>
        <v>JunR!$A$1:$A</v>
      </c>
      <c r="L20" s="13" t="str">
        <f>IFERROR(__xludf.DUMMYFUNCTION("""COMPUTED_VALUE"""),"JunR!$A$6:$6")</f>
        <v>JunR!$A$6:$6</v>
      </c>
      <c r="M20" s="13" t="str">
        <f>IFERROR(__xludf.DUMMYFUNCTION("""COMPUTED_VALUE"""),"JunR")</f>
        <v>JunR</v>
      </c>
      <c r="N20" s="13"/>
      <c r="O20" s="13" t="str">
        <f>IFERROR(__xludf.DUMMYFUNCTION("""COMPUTED_VALUE"""),"(018) Israel Garcia Concha")</f>
        <v>(018) Israel Garcia Concha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 t="str">
        <f>IFERROR(__xludf.DUMMYFUNCTION("""COMPUTED_VALUE"""),"(24) Las Armas")</f>
        <v>(24) Las Armas</v>
      </c>
      <c r="B21" s="13" t="str">
        <f>IFERROR(__xludf.DUMMYFUNCTION("""COMPUTED_VALUE"""),"B18 Depreciación")</f>
        <v>B18 Depreciación</v>
      </c>
      <c r="C21" s="13"/>
      <c r="D21" s="13"/>
      <c r="E21" s="13" t="str">
        <f>IFERROR(__xludf.DUMMYFUNCTION("""COMPUTED_VALUE"""),"(07) Julio")</f>
        <v>(07) Julio</v>
      </c>
      <c r="F21" s="13" t="str">
        <f>IFERROR(__xludf.DUMMYFUNCTION("""COMPUTED_VALUE"""),"Julio")</f>
        <v>Julio</v>
      </c>
      <c r="G21" s="13" t="str">
        <f>IFERROR(__xludf.DUMMYFUNCTION("""COMPUTED_VALUE"""),"Jul R")</f>
        <v>Jul R</v>
      </c>
      <c r="H21" s="13" t="str">
        <f>IFERROR(__xludf.DUMMYFUNCTION("""COMPUTED_VALUE"""),"Jul D")</f>
        <v>Jul D</v>
      </c>
      <c r="I21" s="13" t="str">
        <f>IFERROR(__xludf.DUMMYFUNCTION("""COMPUTED_VALUE"""),"Otros!$K$3:$K")</f>
        <v>Otros!$K$3:$K</v>
      </c>
      <c r="J21" s="13" t="str">
        <f>IFERROR(__xludf.DUMMYFUNCTION("""COMPUTED_VALUE"""),"JulR!A:AT")</f>
        <v>JulR!A:AT</v>
      </c>
      <c r="K21" s="13" t="str">
        <f>IFERROR(__xludf.DUMMYFUNCTION("""COMPUTED_VALUE"""),"JulR!$A$1:$A")</f>
        <v>JulR!$A$1:$A</v>
      </c>
      <c r="L21" s="13" t="str">
        <f>IFERROR(__xludf.DUMMYFUNCTION("""COMPUTED_VALUE"""),"JulR!$A$6:$6")</f>
        <v>JulR!$A$6:$6</v>
      </c>
      <c r="M21" s="13" t="str">
        <f>IFERROR(__xludf.DUMMYFUNCTION("""COMPUTED_VALUE"""),"JulR")</f>
        <v>JulR</v>
      </c>
      <c r="N21" s="13"/>
      <c r="O21" s="13" t="str">
        <f>IFERROR(__xludf.DUMMYFUNCTION("""COMPUTED_VALUE"""),"(019) Rosa Gabriela Ortiz Galeana")</f>
        <v>(019) Rosa Gabriela Ortiz Galeana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 t="str">
        <f>IFERROR(__xludf.DUMMYFUNCTION("""COMPUTED_VALUE"""),"(26) For Promocional")</f>
        <v>(26) For Promocional</v>
      </c>
      <c r="B22" s="13" t="str">
        <f>IFERROR(__xludf.DUMMYFUNCTION("""COMPUTED_VALUE"""),"B19 Comidas empleados")</f>
        <v>B19 Comidas empleados</v>
      </c>
      <c r="C22" s="13"/>
      <c r="D22" s="13"/>
      <c r="E22" s="13" t="str">
        <f>IFERROR(__xludf.DUMMYFUNCTION("""COMPUTED_VALUE"""),"(08) Agosto")</f>
        <v>(08) Agosto</v>
      </c>
      <c r="F22" s="13" t="str">
        <f>IFERROR(__xludf.DUMMYFUNCTION("""COMPUTED_VALUE"""),"Agosto")</f>
        <v>Agosto</v>
      </c>
      <c r="G22" s="13" t="str">
        <f>IFERROR(__xludf.DUMMYFUNCTION("""COMPUTED_VALUE"""),"Ago R")</f>
        <v>Ago R</v>
      </c>
      <c r="H22" s="13" t="str">
        <f>IFERROR(__xludf.DUMMYFUNCTION("""COMPUTED_VALUE"""),"Ago D")</f>
        <v>Ago D</v>
      </c>
      <c r="I22" s="13" t="str">
        <f>IFERROR(__xludf.DUMMYFUNCTION("""COMPUTED_VALUE"""),"Otros!$L$3:$L")</f>
        <v>Otros!$L$3:$L</v>
      </c>
      <c r="J22" s="13" t="str">
        <f>IFERROR(__xludf.DUMMYFUNCTION("""COMPUTED_VALUE"""),"AgoR!A:AT")</f>
        <v>AgoR!A:AT</v>
      </c>
      <c r="K22" s="13" t="str">
        <f>IFERROR(__xludf.DUMMYFUNCTION("""COMPUTED_VALUE"""),"AgoR!$A$1:$A")</f>
        <v>AgoR!$A$1:$A</v>
      </c>
      <c r="L22" s="13" t="str">
        <f>IFERROR(__xludf.DUMMYFUNCTION("""COMPUTED_VALUE"""),"AgoR!$A$6:$6")</f>
        <v>AgoR!$A$6:$6</v>
      </c>
      <c r="M22" s="13" t="str">
        <f>IFERROR(__xludf.DUMMYFUNCTION("""COMPUTED_VALUE"""),"AgoR")</f>
        <v>AgoR</v>
      </c>
      <c r="N22" s="13"/>
      <c r="O22" s="13" t="str">
        <f>IFERROR(__xludf.DUMMYFUNCTION("""COMPUTED_VALUE"""),"(020) Sanirent De Mexico Sa De Cv")</f>
        <v>(020) Sanirent De Mexico Sa De Cv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 t="str">
        <f>IFERROR(__xludf.DUMMYFUNCTION("""COMPUTED_VALUE"""),"(28) Embajada de Canadá")</f>
        <v>(28) Embajada de Canadá</v>
      </c>
      <c r="B23" s="13" t="str">
        <f>IFERROR(__xludf.DUMMYFUNCTION("""COMPUTED_VALUE"""),"B20 Asesoría y gestoría")</f>
        <v>B20 Asesoría y gestoría</v>
      </c>
      <c r="C23" s="13"/>
      <c r="D23" s="13"/>
      <c r="E23" s="13" t="str">
        <f>IFERROR(__xludf.DUMMYFUNCTION("""COMPUTED_VALUE"""),"(09) Septiembre")</f>
        <v>(09) Septiembre</v>
      </c>
      <c r="F23" s="13" t="str">
        <f>IFERROR(__xludf.DUMMYFUNCTION("""COMPUTED_VALUE"""),"Septiembre")</f>
        <v>Septiembre</v>
      </c>
      <c r="G23" s="13" t="str">
        <f>IFERROR(__xludf.DUMMYFUNCTION("""COMPUTED_VALUE"""),"Sep R")</f>
        <v>Sep R</v>
      </c>
      <c r="H23" s="13" t="str">
        <f>IFERROR(__xludf.DUMMYFUNCTION("""COMPUTED_VALUE"""),"Sep D")</f>
        <v>Sep D</v>
      </c>
      <c r="I23" s="13" t="str">
        <f>IFERROR(__xludf.DUMMYFUNCTION("""COMPUTED_VALUE"""),"Otros!$M$3:$M")</f>
        <v>Otros!$M$3:$M</v>
      </c>
      <c r="J23" s="13" t="str">
        <f>IFERROR(__xludf.DUMMYFUNCTION("""COMPUTED_VALUE"""),"SepR!A:AT")</f>
        <v>SepR!A:AT</v>
      </c>
      <c r="K23" s="13" t="str">
        <f>IFERROR(__xludf.DUMMYFUNCTION("""COMPUTED_VALUE"""),"SepR!$A$1:$A")</f>
        <v>SepR!$A$1:$A</v>
      </c>
      <c r="L23" s="13" t="str">
        <f>IFERROR(__xludf.DUMMYFUNCTION("""COMPUTED_VALUE"""),"SepR!$A$6:$6")</f>
        <v>SepR!$A$6:$6</v>
      </c>
      <c r="M23" s="13" t="str">
        <f>IFERROR(__xludf.DUMMYFUNCTION("""COMPUTED_VALUE"""),"SepR")</f>
        <v>SepR</v>
      </c>
      <c r="N23" s="13"/>
      <c r="O23" s="13" t="str">
        <f>IFERROR(__xludf.DUMMYFUNCTION("""COMPUTED_VALUE"""),"(021) Consejo Nacional De Seguridad")</f>
        <v>(021) Consejo Nacional De Seguridad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 t="str">
        <f>IFERROR(__xludf.DUMMYFUNCTION("""COMPUTED_VALUE"""),"(29) VFS Arquimedes ")</f>
        <v>(29) VFS Arquimedes </v>
      </c>
      <c r="B24" s="13" t="str">
        <f>IFERROR(__xludf.DUMMYFUNCTION("""COMPUTED_VALUE"""),"B21 Equipo de operación")</f>
        <v>B21 Equipo de operación</v>
      </c>
      <c r="C24" s="13"/>
      <c r="D24" s="13"/>
      <c r="E24" s="13" t="str">
        <f>IFERROR(__xludf.DUMMYFUNCTION("""COMPUTED_VALUE"""),"(10) Octubre")</f>
        <v>(10) Octubre</v>
      </c>
      <c r="F24" s="13" t="str">
        <f>IFERROR(__xludf.DUMMYFUNCTION("""COMPUTED_VALUE"""),"Octubre")</f>
        <v>Octubre</v>
      </c>
      <c r="G24" s="13" t="str">
        <f>IFERROR(__xludf.DUMMYFUNCTION("""COMPUTED_VALUE"""),"Oct R")</f>
        <v>Oct R</v>
      </c>
      <c r="H24" s="13" t="str">
        <f>IFERROR(__xludf.DUMMYFUNCTION("""COMPUTED_VALUE"""),"Oct D")</f>
        <v>Oct D</v>
      </c>
      <c r="I24" s="13" t="str">
        <f>IFERROR(__xludf.DUMMYFUNCTION("""COMPUTED_VALUE"""),"Otros!$N$3:$N")</f>
        <v>Otros!$N$3:$N</v>
      </c>
      <c r="J24" s="13" t="str">
        <f>IFERROR(__xludf.DUMMYFUNCTION("""COMPUTED_VALUE"""),"OctR!A:AT")</f>
        <v>OctR!A:AT</v>
      </c>
      <c r="K24" s="13" t="str">
        <f>IFERROR(__xludf.DUMMYFUNCTION("""COMPUTED_VALUE"""),"OctR!$A$1:$A")</f>
        <v>OctR!$A$1:$A</v>
      </c>
      <c r="L24" s="13" t="str">
        <f>IFERROR(__xludf.DUMMYFUNCTION("""COMPUTED_VALUE"""),"OctR!$A$6:$6")</f>
        <v>OctR!$A$6:$6</v>
      </c>
      <c r="M24" s="13" t="str">
        <f>IFERROR(__xludf.DUMMYFUNCTION("""COMPUTED_VALUE"""),"OctR")</f>
        <v>OctR</v>
      </c>
      <c r="N24" s="13"/>
      <c r="O24" s="13" t="str">
        <f>IFERROR(__xludf.DUMMYFUNCTION("""COMPUTED_VALUE"""),"(022) Ernesto Resendiz Hernandez")</f>
        <v>(022) Ernesto Resendiz Hernandez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 t="str">
        <f>IFERROR(__xludf.DUMMYFUNCTION("""COMPUTED_VALUE"""),"(35) Plaza Polanco")</f>
        <v>(35) Plaza Polanco</v>
      </c>
      <c r="B25" s="13" t="str">
        <f>IFERROR(__xludf.DUMMYFUNCTION("""COMPUTED_VALUE"""),"B22 Equipo de capacitación")</f>
        <v>B22 Equipo de capacitación</v>
      </c>
      <c r="C25" s="13"/>
      <c r="D25" s="13"/>
      <c r="E25" s="13" t="str">
        <f>IFERROR(__xludf.DUMMYFUNCTION("""COMPUTED_VALUE"""),"(11) Noviembre")</f>
        <v>(11) Noviembre</v>
      </c>
      <c r="F25" s="13" t="str">
        <f>IFERROR(__xludf.DUMMYFUNCTION("""COMPUTED_VALUE"""),"Noviembre")</f>
        <v>Noviembre</v>
      </c>
      <c r="G25" s="13" t="str">
        <f>IFERROR(__xludf.DUMMYFUNCTION("""COMPUTED_VALUE"""),"Nov R")</f>
        <v>Nov R</v>
      </c>
      <c r="H25" s="13" t="str">
        <f>IFERROR(__xludf.DUMMYFUNCTION("""COMPUTED_VALUE"""),"Nov D")</f>
        <v>Nov D</v>
      </c>
      <c r="I25" s="13" t="str">
        <f>IFERROR(__xludf.DUMMYFUNCTION("""COMPUTED_VALUE"""),"Otros!$O$3:$O")</f>
        <v>Otros!$O$3:$O</v>
      </c>
      <c r="J25" s="13" t="str">
        <f>IFERROR(__xludf.DUMMYFUNCTION("""COMPUTED_VALUE"""),"NovR!A:AT")</f>
        <v>NovR!A:AT</v>
      </c>
      <c r="K25" s="13" t="str">
        <f>IFERROR(__xludf.DUMMYFUNCTION("""COMPUTED_VALUE"""),"NovR!$A$1:$A")</f>
        <v>NovR!$A$1:$A</v>
      </c>
      <c r="L25" s="13" t="str">
        <f>IFERROR(__xludf.DUMMYFUNCTION("""COMPUTED_VALUE"""),"NovR!$A$6:$6")</f>
        <v>NovR!$A$6:$6</v>
      </c>
      <c r="M25" s="13" t="str">
        <f>IFERROR(__xludf.DUMMYFUNCTION("""COMPUTED_VALUE"""),"NovR")</f>
        <v>NovR</v>
      </c>
      <c r="N25" s="13"/>
      <c r="O25" s="13" t="str">
        <f>IFERROR(__xludf.DUMMYFUNCTION("""COMPUTED_VALUE"""),"(023) Juan Guillermo Hernandez Diaz")</f>
        <v>(023) Juan Guillermo Hernandez Diaz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 t="str">
        <f>IFERROR(__xludf.DUMMYFUNCTION("""COMPUTED_VALUE"""),"(36) Embajada de Australia")</f>
        <v>(36) Embajada de Australia</v>
      </c>
      <c r="B26" s="13" t="str">
        <f>IFERROR(__xludf.DUMMYFUNCTION("""COMPUTED_VALUE"""),"B23 Equipo Rondinero")</f>
        <v>B23 Equipo Rondinero</v>
      </c>
      <c r="C26" s="13"/>
      <c r="D26" s="13"/>
      <c r="E26" s="13" t="str">
        <f>IFERROR(__xludf.DUMMYFUNCTION("""COMPUTED_VALUE"""),"(12) Diciembre")</f>
        <v>(12) Diciembre</v>
      </c>
      <c r="F26" s="13" t="str">
        <f>IFERROR(__xludf.DUMMYFUNCTION("""COMPUTED_VALUE"""),"Diciembre")</f>
        <v>Diciembre</v>
      </c>
      <c r="G26" s="13" t="str">
        <f>IFERROR(__xludf.DUMMYFUNCTION("""COMPUTED_VALUE"""),"Dic R")</f>
        <v>Dic R</v>
      </c>
      <c r="H26" s="13" t="str">
        <f>IFERROR(__xludf.DUMMYFUNCTION("""COMPUTED_VALUE"""),"Dic D")</f>
        <v>Dic D</v>
      </c>
      <c r="I26" s="13" t="str">
        <f>IFERROR(__xludf.DUMMYFUNCTION("""COMPUTED_VALUE"""),"Otros!$P$3:$P")</f>
        <v>Otros!$P$3:$P</v>
      </c>
      <c r="J26" s="13" t="str">
        <f>IFERROR(__xludf.DUMMYFUNCTION("""COMPUTED_VALUE"""),"DicR!A:AT")</f>
        <v>DicR!A:AT</v>
      </c>
      <c r="K26" s="13" t="str">
        <f>IFERROR(__xludf.DUMMYFUNCTION("""COMPUTED_VALUE"""),"DicR!$A$1:$A")</f>
        <v>DicR!$A$1:$A</v>
      </c>
      <c r="L26" s="13" t="str">
        <f>IFERROR(__xludf.DUMMYFUNCTION("""COMPUTED_VALUE"""),"DicR!$A$6:$6")</f>
        <v>DicR!$A$6:$6</v>
      </c>
      <c r="M26" s="13" t="str">
        <f>IFERROR(__xludf.DUMMYFUNCTION("""COMPUTED_VALUE"""),"DicR")</f>
        <v>DicR</v>
      </c>
      <c r="N26" s="13"/>
      <c r="O26" s="13" t="str">
        <f>IFERROR(__xludf.DUMMYFUNCTION("""COMPUTED_VALUE"""),"(024) Efectivale S De Rl De Cv")</f>
        <v>(024) Efectivale S De Rl De Cv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 t="str">
        <f>IFERROR(__xludf.DUMMYFUNCTION("""COMPUTED_VALUE"""),"(40) Aliah")</f>
        <v>(40) Aliah</v>
      </c>
      <c r="B27" s="13" t="str">
        <f>IFERROR(__xludf.DUMMYFUNCTION("""COMPUTED_VALUE"""),"B24 Equipo de seguridad")</f>
        <v>B24 Equipo de seguridad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 t="str">
        <f>IFERROR(__xludf.DUMMYFUNCTION("""COMPUTED_VALUE"""),"(025) Editorial Dmx Sa De Cv")</f>
        <v>(025) Editorial Dmx Sa De Cv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 t="str">
        <f>IFERROR(__xludf.DUMMYFUNCTION("""COMPUTED_VALUE"""),"(42) Palmas")</f>
        <v>(42) Palmas</v>
      </c>
      <c r="B28" s="13" t="str">
        <f>IFERROR(__xludf.DUMMYFUNCTION("""COMPUTED_VALUE"""),"B25 Reparación equipo de operación")</f>
        <v>B25 Reparación equipo de operación</v>
      </c>
      <c r="C28" s="13"/>
      <c r="D28" s="13"/>
      <c r="E28" s="13" t="str">
        <f>IFERROR(__xludf.DUMMYFUNCTION("""COMPUTED_VALUE"""),"(01) Enero")</f>
        <v>(01) Enero</v>
      </c>
      <c r="F28" s="13" t="str">
        <f>IFERROR(__xludf.DUMMYFUNCTION("""COMPUTED_VALUE"""),"OtrosR!$E$3:$E")</f>
        <v>OtrosR!$E$3:$E</v>
      </c>
      <c r="G28" s="13" t="str">
        <f>IFERROR(__xludf.DUMMYFUNCTION("""COMPUTED_VALUE"""),"Gastos Admon Import!B7:B150")</f>
        <v>Gastos Admon Import!B7:B150</v>
      </c>
      <c r="H28" s="13" t="str">
        <f>IFERROR(__xludf.DUMMYFUNCTION("""COMPUTED_VALUE"""),"Enero")</f>
        <v>Enero</v>
      </c>
      <c r="I28" s="13" t="str">
        <f>IFERROR(__xludf.DUMMYFUNCTION("""COMPUTED_VALUE"""),"EneR")</f>
        <v>EneR</v>
      </c>
      <c r="J28" s="13"/>
      <c r="K28" s="13"/>
      <c r="L28" s="13"/>
      <c r="M28" s="13"/>
      <c r="N28" s="13"/>
      <c r="O28" s="13" t="str">
        <f>IFERROR(__xludf.DUMMYFUNCTION("""COMPUTED_VALUE"""),"(026) Patricia Ruvalcaba Salazar")</f>
        <v>(026) Patricia Ruvalcaba Salazar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 t="str">
        <f>IFERROR(__xludf.DUMMYFUNCTION("""COMPUTED_VALUE"""),"(43) Negra Modelo")</f>
        <v>(43) Negra Modelo</v>
      </c>
      <c r="B29" s="13" t="str">
        <f>IFERROR(__xludf.DUMMYFUNCTION("""COMPUTED_VALUE"""),"B26 Mantenimiento equipo de operación")</f>
        <v>B26 Mantenimiento equipo de operación</v>
      </c>
      <c r="C29" s="13"/>
      <c r="D29" s="13"/>
      <c r="E29" s="13" t="str">
        <f>IFERROR(__xludf.DUMMYFUNCTION("""COMPUTED_VALUE"""),"(02) Febrero")</f>
        <v>(02) Febrero</v>
      </c>
      <c r="F29" s="13" t="str">
        <f>IFERROR(__xludf.DUMMYFUNCTION("""COMPUTED_VALUE"""),"OtrosR!$F$3:$F")</f>
        <v>OtrosR!$F$3:$F</v>
      </c>
      <c r="G29" s="13" t="str">
        <f>IFERROR(__xludf.DUMMYFUNCTION("""COMPUTED_VALUE"""),"Gastos Admon Import!C7:C150")</f>
        <v>Gastos Admon Import!C7:C150</v>
      </c>
      <c r="H29" s="13" t="str">
        <f>IFERROR(__xludf.DUMMYFUNCTION("""COMPUTED_VALUE"""),"Febrero")</f>
        <v>Febrero</v>
      </c>
      <c r="I29" s="13" t="str">
        <f>IFERROR(__xludf.DUMMYFUNCTION("""COMPUTED_VALUE"""),"FebR")</f>
        <v>FebR</v>
      </c>
      <c r="J29" s="13"/>
      <c r="K29" s="13"/>
      <c r="L29" s="13"/>
      <c r="M29" s="13"/>
      <c r="N29" s="13"/>
      <c r="O29" s="13" t="str">
        <f>IFERROR(__xludf.DUMMYFUNCTION("""COMPUTED_VALUE"""),"(027) Jose Juan Rosales Velarde")</f>
        <v>(027) Jose Juan Rosales Velarde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 t="str">
        <f>IFERROR(__xludf.DUMMYFUNCTION("""COMPUTED_VALUE"""),"(46) Green Tower")</f>
        <v>(46) Green Tower</v>
      </c>
      <c r="B30" s="13" t="str">
        <f>IFERROR(__xludf.DUMMYFUNCTION("""COMPUTED_VALUE"""),"B27 Publicidad")</f>
        <v>B27 Publicidad</v>
      </c>
      <c r="C30" s="13"/>
      <c r="D30" s="13"/>
      <c r="E30" s="13" t="str">
        <f>IFERROR(__xludf.DUMMYFUNCTION("""COMPUTED_VALUE"""),"(03) Marzo")</f>
        <v>(03) Marzo</v>
      </c>
      <c r="F30" s="13" t="str">
        <f>IFERROR(__xludf.DUMMYFUNCTION("""COMPUTED_VALUE"""),"OtrosR!$G$3:$G")</f>
        <v>OtrosR!$G$3:$G</v>
      </c>
      <c r="G30" s="13" t="str">
        <f>IFERROR(__xludf.DUMMYFUNCTION("""COMPUTED_VALUE"""),"Gastos Admon Import!D7:D150")</f>
        <v>Gastos Admon Import!D7:D150</v>
      </c>
      <c r="H30" s="13" t="str">
        <f>IFERROR(__xludf.DUMMYFUNCTION("""COMPUTED_VALUE"""),"Marzo")</f>
        <v>Marzo</v>
      </c>
      <c r="I30" s="13" t="str">
        <f>IFERROR(__xludf.DUMMYFUNCTION("""COMPUTED_VALUE"""),"MarR")</f>
        <v>MarR</v>
      </c>
      <c r="J30" s="13"/>
      <c r="K30" s="13"/>
      <c r="L30" s="13"/>
      <c r="M30" s="13"/>
      <c r="N30" s="13"/>
      <c r="O30" s="13" t="str">
        <f>IFERROR(__xludf.DUMMYFUNCTION("""COMPUTED_VALUE"""),"(028) Camara Nacional De Comercio De")</f>
        <v>(028) Camara Nacional De Comercio De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 t="str">
        <f>IFERROR(__xludf.DUMMYFUNCTION("""COMPUTED_VALUE"""),"(47) IB-Group")</f>
        <v>(47) IB-Group</v>
      </c>
      <c r="B31" s="13" t="str">
        <f>IFERROR(__xludf.DUMMYFUNCTION("""COMPUTED_VALUE"""),"B28 Suministros de oficina")</f>
        <v>B28 Suministros de oficina</v>
      </c>
      <c r="C31" s="13"/>
      <c r="D31" s="13"/>
      <c r="E31" s="13" t="str">
        <f>IFERROR(__xludf.DUMMYFUNCTION("""COMPUTED_VALUE"""),"(04) Abril")</f>
        <v>(04) Abril</v>
      </c>
      <c r="F31" s="13" t="str">
        <f>IFERROR(__xludf.DUMMYFUNCTION("""COMPUTED_VALUE"""),"OtrosR!$H$3:$H")</f>
        <v>OtrosR!$H$3:$H</v>
      </c>
      <c r="G31" s="13" t="str">
        <f>IFERROR(__xludf.DUMMYFUNCTION("""COMPUTED_VALUE"""),"Gastos Admon Import!E7:E150")</f>
        <v>Gastos Admon Import!E7:E150</v>
      </c>
      <c r="H31" s="13" t="str">
        <f>IFERROR(__xludf.DUMMYFUNCTION("""COMPUTED_VALUE"""),"Abril")</f>
        <v>Abril</v>
      </c>
      <c r="I31" s="13" t="str">
        <f>IFERROR(__xludf.DUMMYFUNCTION("""COMPUTED_VALUE"""),"AbrR")</f>
        <v>AbrR</v>
      </c>
      <c r="J31" s="13"/>
      <c r="K31" s="13"/>
      <c r="L31" s="13"/>
      <c r="M31" s="13"/>
      <c r="N31" s="13"/>
      <c r="O31" s="13" t="str">
        <f>IFERROR(__xludf.DUMMYFUNCTION("""COMPUTED_VALUE"""),"(029) Paraguas Iberia Int Sa De Cv")</f>
        <v>(029) Paraguas Iberia Int Sa De Cv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 t="str">
        <f>IFERROR(__xludf.DUMMYFUNCTION("""COMPUTED_VALUE"""),"(48) Sonda-Nuevo León")</f>
        <v>(48) Sonda-Nuevo León</v>
      </c>
      <c r="B32" s="13" t="str">
        <f>IFERROR(__xludf.DUMMYFUNCTION("""COMPUTED_VALUE"""),"B29 Varios")</f>
        <v>B29 Varios</v>
      </c>
      <c r="C32" s="13"/>
      <c r="D32" s="13"/>
      <c r="E32" s="13" t="str">
        <f>IFERROR(__xludf.DUMMYFUNCTION("""COMPUTED_VALUE"""),"(05) Mayo")</f>
        <v>(05) Mayo</v>
      </c>
      <c r="F32" s="13" t="str">
        <f>IFERROR(__xludf.DUMMYFUNCTION("""COMPUTED_VALUE"""),"OtrosR!$I$3:$I")</f>
        <v>OtrosR!$I$3:$I</v>
      </c>
      <c r="G32" s="13" t="str">
        <f>IFERROR(__xludf.DUMMYFUNCTION("""COMPUTED_VALUE"""),"Gastos Admon Import!F7:F150")</f>
        <v>Gastos Admon Import!F7:F150</v>
      </c>
      <c r="H32" s="13" t="str">
        <f>IFERROR(__xludf.DUMMYFUNCTION("""COMPUTED_VALUE"""),"Mayo")</f>
        <v>Mayo</v>
      </c>
      <c r="I32" s="13" t="str">
        <f>IFERROR(__xludf.DUMMYFUNCTION("""COMPUTED_VALUE"""),"MayR")</f>
        <v>MayR</v>
      </c>
      <c r="J32" s="13"/>
      <c r="K32" s="13"/>
      <c r="L32" s="13"/>
      <c r="M32" s="13"/>
      <c r="N32" s="13"/>
      <c r="O32" s="13" t="str">
        <f>IFERROR(__xludf.DUMMYFUNCTION("""COMPUTED_VALUE"""),"(030) Alejandro Monroy Sanchez")</f>
        <v>(030) Alejandro Monroy Sanchez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 t="str">
        <f>IFERROR(__xludf.DUMMYFUNCTION("""COMPUTED_VALUE"""),"(49) DeUna")</f>
        <v>(49) DeUna</v>
      </c>
      <c r="B33" s="13" t="str">
        <f>IFERROR(__xludf.DUMMYFUNCTION("""COMPUTED_VALUE"""),"B30 Artículos de Limpieza")</f>
        <v>B30 Artículos de Limpieza</v>
      </c>
      <c r="C33" s="13"/>
      <c r="D33" s="13"/>
      <c r="E33" s="13" t="str">
        <f>IFERROR(__xludf.DUMMYFUNCTION("""COMPUTED_VALUE"""),"(06) Junio")</f>
        <v>(06) Junio</v>
      </c>
      <c r="F33" s="13" t="str">
        <f>IFERROR(__xludf.DUMMYFUNCTION("""COMPUTED_VALUE"""),"OtrosR!$J$3:$J")</f>
        <v>OtrosR!$J$3:$J</v>
      </c>
      <c r="G33" s="13" t="str">
        <f>IFERROR(__xludf.DUMMYFUNCTION("""COMPUTED_VALUE"""),"Gastos Admon Import!G7:G150")</f>
        <v>Gastos Admon Import!G7:G150</v>
      </c>
      <c r="H33" s="13" t="str">
        <f>IFERROR(__xludf.DUMMYFUNCTION("""COMPUTED_VALUE"""),"Junio")</f>
        <v>Junio</v>
      </c>
      <c r="I33" s="13" t="str">
        <f>IFERROR(__xludf.DUMMYFUNCTION("""COMPUTED_VALUE"""),"JunR")</f>
        <v>JunR</v>
      </c>
      <c r="J33" s="13"/>
      <c r="K33" s="13"/>
      <c r="L33" s="13"/>
      <c r="M33" s="13"/>
      <c r="N33" s="13"/>
      <c r="O33" s="13" t="str">
        <f>IFERROR(__xludf.DUMMYFUNCTION("""COMPUTED_VALUE"""),"(031) Maria De Los Angeles Salas Gau")</f>
        <v>(031) Maria De Los Angeles Salas Gau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 t="str">
        <f>IFERROR(__xludf.DUMMYFUNCTION("""COMPUTED_VALUE"""),"(50) Ampliequipos")</f>
        <v>(50) Ampliequipos</v>
      </c>
      <c r="B34" s="13" t="str">
        <f>IFERROR(__xludf.DUMMYFUNCTION("""COMPUTED_VALUE"""),"B31 No deducibles")</f>
        <v>B31 No deducibles</v>
      </c>
      <c r="C34" s="13"/>
      <c r="D34" s="13"/>
      <c r="E34" s="13" t="str">
        <f>IFERROR(__xludf.DUMMYFUNCTION("""COMPUTED_VALUE"""),"(07) Julio")</f>
        <v>(07) Julio</v>
      </c>
      <c r="F34" s="13" t="str">
        <f>IFERROR(__xludf.DUMMYFUNCTION("""COMPUTED_VALUE"""),"OtrosR!$K$3:$K")</f>
        <v>OtrosR!$K$3:$K</v>
      </c>
      <c r="G34" s="13" t="str">
        <f>IFERROR(__xludf.DUMMYFUNCTION("""COMPUTED_VALUE"""),"Gastos Admon Import!H7:H150")</f>
        <v>Gastos Admon Import!H7:H150</v>
      </c>
      <c r="H34" s="13" t="str">
        <f>IFERROR(__xludf.DUMMYFUNCTION("""COMPUTED_VALUE"""),"julio")</f>
        <v>julio</v>
      </c>
      <c r="I34" s="13" t="str">
        <f>IFERROR(__xludf.DUMMYFUNCTION("""COMPUTED_VALUE"""),"JulR")</f>
        <v>JulR</v>
      </c>
      <c r="J34" s="13"/>
      <c r="K34" s="13"/>
      <c r="L34" s="13"/>
      <c r="M34" s="13"/>
      <c r="N34" s="13"/>
      <c r="O34" s="13" t="str">
        <f>IFERROR(__xludf.DUMMYFUNCTION("""COMPUTED_VALUE"""),"(032) Notarios Caceres Sc")</f>
        <v>(032) Notarios Caceres Sc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 t="str">
        <f>IFERROR(__xludf.DUMMYFUNCTION("""COMPUTED_VALUE"""),"(51) Revlon")</f>
        <v>(51) Revlon</v>
      </c>
      <c r="B35" s="13"/>
      <c r="C35" s="13"/>
      <c r="D35" s="13"/>
      <c r="E35" s="13" t="str">
        <f>IFERROR(__xludf.DUMMYFUNCTION("""COMPUTED_VALUE"""),"(08) Agosto")</f>
        <v>(08) Agosto</v>
      </c>
      <c r="F35" s="13" t="str">
        <f>IFERROR(__xludf.DUMMYFUNCTION("""COMPUTED_VALUE"""),"OtrosR!$L$3:$L")</f>
        <v>OtrosR!$L$3:$L</v>
      </c>
      <c r="G35" s="13" t="str">
        <f>IFERROR(__xludf.DUMMYFUNCTION("""COMPUTED_VALUE"""),"Gastos Admon Import!I7:I150")</f>
        <v>Gastos Admon Import!I7:I150</v>
      </c>
      <c r="H35" s="13" t="str">
        <f>IFERROR(__xludf.DUMMYFUNCTION("""COMPUTED_VALUE"""),"Agosto")</f>
        <v>Agosto</v>
      </c>
      <c r="I35" s="13" t="str">
        <f>IFERROR(__xludf.DUMMYFUNCTION("""COMPUTED_VALUE"""),"AgoR")</f>
        <v>AgoR</v>
      </c>
      <c r="J35" s="13"/>
      <c r="K35" s="13"/>
      <c r="L35" s="13"/>
      <c r="M35" s="13"/>
      <c r="N35" s="13"/>
      <c r="O35" s="13" t="str">
        <f>IFERROR(__xludf.DUMMYFUNCTION("""COMPUTED_VALUE"""),"(033) Delfina Aguilar Sandoval")</f>
        <v>(033) Delfina Aguilar Sandoval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 t="str">
        <f>IFERROR(__xludf.DUMMYFUNCTION("""COMPUTED_VALUE"""),"(53) Aliah-Chapultepec")</f>
        <v>(53) Aliah-Chapultepec</v>
      </c>
      <c r="B36" s="13"/>
      <c r="C36" s="13"/>
      <c r="D36" s="13"/>
      <c r="E36" s="13" t="str">
        <f>IFERROR(__xludf.DUMMYFUNCTION("""COMPUTED_VALUE"""),"(09) Septiembre")</f>
        <v>(09) Septiembre</v>
      </c>
      <c r="F36" s="13" t="str">
        <f>IFERROR(__xludf.DUMMYFUNCTION("""COMPUTED_VALUE"""),"OtrosR!$M$3:$M")</f>
        <v>OtrosR!$M$3:$M</v>
      </c>
      <c r="G36" s="13" t="str">
        <f>IFERROR(__xludf.DUMMYFUNCTION("""COMPUTED_VALUE"""),"Gastos Admon Import!J7:J150")</f>
        <v>Gastos Admon Import!J7:J150</v>
      </c>
      <c r="H36" s="13" t="str">
        <f>IFERROR(__xludf.DUMMYFUNCTION("""COMPUTED_VALUE"""),"Septiembre")</f>
        <v>Septiembre</v>
      </c>
      <c r="I36" s="13" t="str">
        <f>IFERROR(__xludf.DUMMYFUNCTION("""COMPUTED_VALUE"""),"SepR")</f>
        <v>SepR</v>
      </c>
      <c r="J36" s="13"/>
      <c r="K36" s="13"/>
      <c r="L36" s="13"/>
      <c r="M36" s="13"/>
      <c r="N36" s="13"/>
      <c r="O36" s="13" t="str">
        <f>IFERROR(__xludf.DUMMYFUNCTION("""COMPUTED_VALUE"""),"(044) R3J3 Sa De Cv")</f>
        <v>(044) R3J3 Sa De Cv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 t="str">
        <f>IFERROR(__xludf.DUMMYFUNCTION("""COMPUTED_VALUE"""),"(34) Radiatas")</f>
        <v>(34) Radiatas</v>
      </c>
      <c r="B37" s="13"/>
      <c r="C37" s="13"/>
      <c r="D37" s="13"/>
      <c r="E37" s="13" t="str">
        <f>IFERROR(__xludf.DUMMYFUNCTION("""COMPUTED_VALUE"""),"(10) Octubre")</f>
        <v>(10) Octubre</v>
      </c>
      <c r="F37" s="13" t="str">
        <f>IFERROR(__xludf.DUMMYFUNCTION("""COMPUTED_VALUE"""),"OtrosR!$N$3:$N")</f>
        <v>OtrosR!$N$3:$N</v>
      </c>
      <c r="G37" s="13" t="str">
        <f>IFERROR(__xludf.DUMMYFUNCTION("""COMPUTED_VALUE"""),"Gastos Admon Import!K7:K150")</f>
        <v>Gastos Admon Import!K7:K150</v>
      </c>
      <c r="H37" s="13" t="str">
        <f>IFERROR(__xludf.DUMMYFUNCTION("""COMPUTED_VALUE"""),"Octubre")</f>
        <v>Octubre</v>
      </c>
      <c r="I37" s="13" t="str">
        <f>IFERROR(__xludf.DUMMYFUNCTION("""COMPUTED_VALUE"""),"OctR")</f>
        <v>OctR</v>
      </c>
      <c r="J37" s="13"/>
      <c r="K37" s="13"/>
      <c r="L37" s="13"/>
      <c r="M37" s="13"/>
      <c r="N37" s="13"/>
      <c r="O37" s="13" t="str">
        <f>IFERROR(__xludf.DUMMYFUNCTION("""COMPUTED_VALUE"""),"(045) Proxiguard Mexico Sa De Cv")</f>
        <v>(045) Proxiguard Mexico Sa De Cv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 t="str">
        <f>IFERROR(__xludf.DUMMYFUNCTION("""COMPUTED_VALUE"""),"(25) Urbano Town")</f>
        <v>(25) Urbano Town</v>
      </c>
      <c r="B38" s="13"/>
      <c r="C38" s="13"/>
      <c r="D38" s="13"/>
      <c r="E38" s="13" t="str">
        <f>IFERROR(__xludf.DUMMYFUNCTION("""COMPUTED_VALUE"""),"(11) Noviembre")</f>
        <v>(11) Noviembre</v>
      </c>
      <c r="F38" s="13" t="str">
        <f>IFERROR(__xludf.DUMMYFUNCTION("""COMPUTED_VALUE"""),"OtrosR!$O$3:$O")</f>
        <v>OtrosR!$O$3:$O</v>
      </c>
      <c r="G38" s="13" t="str">
        <f>IFERROR(__xludf.DUMMYFUNCTION("""COMPUTED_VALUE"""),"Gastos Admon Import!L7:L150")</f>
        <v>Gastos Admon Import!L7:L150</v>
      </c>
      <c r="H38" s="13" t="str">
        <f>IFERROR(__xludf.DUMMYFUNCTION("""COMPUTED_VALUE"""),"Noviembre")</f>
        <v>Noviembre</v>
      </c>
      <c r="I38" s="13" t="str">
        <f>IFERROR(__xludf.DUMMYFUNCTION("""COMPUTED_VALUE"""),"NovR")</f>
        <v>NovR</v>
      </c>
      <c r="J38" s="13"/>
      <c r="K38" s="13"/>
      <c r="L38" s="13"/>
      <c r="M38" s="13"/>
      <c r="N38" s="13"/>
      <c r="O38" s="13" t="str">
        <f>IFERROR(__xludf.DUMMYFUNCTION("""COMPUTED_VALUE"""),"(046) Joes Corp Interactive Sa De Cv")</f>
        <v>(046) Joes Corp Interactive Sa De Cv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 t="str">
        <f>IFERROR(__xludf.DUMMYFUNCTION("""COMPUTED_VALUE"""),"(56) Sonda Bodega AP")</f>
        <v>(56) Sonda Bodega AP</v>
      </c>
      <c r="B39" s="13"/>
      <c r="C39" s="13"/>
      <c r="D39" s="13"/>
      <c r="E39" s="13" t="str">
        <f>IFERROR(__xludf.DUMMYFUNCTION("""COMPUTED_VALUE"""),"(12) Diciembre")</f>
        <v>(12) Diciembre</v>
      </c>
      <c r="F39" s="13" t="str">
        <f>IFERROR(__xludf.DUMMYFUNCTION("""COMPUTED_VALUE"""),"OtrosR!$P$3:$P")</f>
        <v>OtrosR!$P$3:$P</v>
      </c>
      <c r="G39" s="13" t="str">
        <f>IFERROR(__xludf.DUMMYFUNCTION("""COMPUTED_VALUE"""),"Gastos Admon Import!M7:M150")</f>
        <v>Gastos Admon Import!M7:M150</v>
      </c>
      <c r="H39" s="13" t="str">
        <f>IFERROR(__xludf.DUMMYFUNCTION("""COMPUTED_VALUE"""),"Diciembre")</f>
        <v>Diciembre</v>
      </c>
      <c r="I39" s="13" t="str">
        <f>IFERROR(__xludf.DUMMYFUNCTION("""COMPUTED_VALUE"""),"DicR")</f>
        <v>DicR</v>
      </c>
      <c r="J39" s="13"/>
      <c r="K39" s="13"/>
      <c r="L39" s="13"/>
      <c r="M39" s="13"/>
      <c r="N39" s="13"/>
      <c r="O39" s="13" t="str">
        <f>IFERROR(__xludf.DUMMYFUNCTION("""COMPUTED_VALUE"""),"(047) Marcas Y Patentes En Linea Sc")</f>
        <v>(047) Marcas Y Patentes En Linea Sc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 t="str">
        <f>IFERROR(__xludf.DUMMYFUNCTION("""COMPUTED_VALUE"""),"(57) Nuevo 4")</f>
        <v>(57) Nuevo 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 t="str">
        <f>IFERROR(__xludf.DUMMYFUNCTION("""COMPUTED_VALUE"""),"(048) Javier Benitez Vega")</f>
        <v>(048) Javier Benitez Vega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 t="str">
        <f>IFERROR(__xludf.DUMMYFUNCTION("""COMPUTED_VALUE"""),"(58) Nuevo 5")</f>
        <v>(58) Nuevo 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 t="str">
        <f>IFERROR(__xludf.DUMMYFUNCTION("""COMPUTED_VALUE"""),"(049) Estrategia En Sistemas Adminis")</f>
        <v>(049) Estrategia En Sistemas Adminis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 t="str">
        <f>IFERROR(__xludf.DUMMYFUNCTION("""COMPUTED_VALUE"""),"(44) Zendere")</f>
        <v>(44) Zendere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 t="str">
        <f>IFERROR(__xludf.DUMMYFUNCTION("""COMPUTED_VALUE"""),"(050) Afianzadora Sofimex Sa")</f>
        <v>(050) Afianzadora Sofimex Sa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 t="str">
        <f>IFERROR(__xludf.DUMMYFUNCTION("""COMPUTED_VALUE"""),"(051) Qualitas Compañia De Seguros S")</f>
        <v>(051) Qualitas Compañia De Seguros S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tr">
        <f>IFERROR(__xludf.DUMMYFUNCTION("""COMPUTED_VALUE"""),"(052) Linda Yesenia Herrera Leyva")</f>
        <v>(052) Linda Yesenia Herrera Leyva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 t="str">
        <f>IFERROR(__xludf.DUMMYFUNCTION("""COMPUTED_VALUE"""),"(053) Ehs Asessment And Infraestruct")</f>
        <v>(053) Ehs Asessment And Infraestruct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 t="str">
        <f>IFERROR(__xludf.DUMMYFUNCTION("""COMPUTED_VALUE"""),"(054) Secretaria De Finanzas De La C")</f>
        <v>(054) Secretaria De Finanzas De La C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 t="str">
        <f>IFERROR(__xludf.DUMMYFUNCTION("""COMPUTED_VALUE"""),"(055) Axa Seguros Sa De Cv")</f>
        <v>(055) Axa Seguros Sa De Cv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 t="str">
        <f>IFERROR(__xludf.DUMMYFUNCTION("""COMPUTED_VALUE"""),"(056) Dahfsa De Mexico Sa De Cv")</f>
        <v>(056) Dahfsa De Mexico Sa De Cv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 t="str">
        <f>IFERROR(__xludf.DUMMYFUNCTION("""COMPUTED_VALUE"""),"(057) La Casa Del Guante Soledad Sa")</f>
        <v>(057) La Casa Del Guante Soledad Sa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 t="str">
        <f>IFERROR(__xludf.DUMMYFUNCTION("""COMPUTED_VALUE"""),"(058) Telefonos De Mexico Sa De Cv")</f>
        <v>(058) Telefonos De Mexico Sa De Cv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 t="str">
        <f>IFERROR(__xludf.DUMMYFUNCTION("""COMPUTED_VALUE"""),"(059) Cyberpuerta Sa De Cv")</f>
        <v>(059) Cyberpuerta Sa De Cv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 t="str">
        <f>IFERROR(__xludf.DUMMYFUNCTION("""COMPUTED_VALUE"""),"(060) Empacadora El Fresno Sa De Cv")</f>
        <v>(060) Empacadora El Fresno Sa De Cv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 t="str">
        <f>IFERROR(__xludf.DUMMYFUNCTION("""COMPUTED_VALUE"""),"(061) Ivan Diaz Garcia")</f>
        <v>(061) Ivan Diaz Garcia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 t="str">
        <f>IFERROR(__xludf.DUMMYFUNCTION("""COMPUTED_VALUE"""),"(062) Endomex Sa De Cv")</f>
        <v>(062) Endomex Sa De Cv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 t="str">
        <f>IFERROR(__xludf.DUMMYFUNCTION("""COMPUTED_VALUE"""),"(063) Marketing Followers Sa De Cv")</f>
        <v>(063) Marketing Followers Sa De Cv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 t="str">
        <f>IFERROR(__xludf.DUMMYFUNCTION("""COMPUTED_VALUE"""),"(064) Virginia Isabel Camacho Martin")</f>
        <v>(064) Virginia Isabel Camacho Martin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 t="str">
        <f>IFERROR(__xludf.DUMMYFUNCTION("""COMPUTED_VALUE"""),"(065) Mb Certification Mexico Sc")</f>
        <v>(065) Mb Certification Mexico Sc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 t="str">
        <f>IFERROR(__xludf.DUMMYFUNCTION("""COMPUTED_VALUE"""),"(066) Comunicacion Global Monytor Sa")</f>
        <v>(066) Comunicacion Global Monytor Sa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 t="str">
        <f>IFERROR(__xludf.DUMMYFUNCTION("""COMPUTED_VALUE"""),"(067) Sistemas Informacion Satelital")</f>
        <v>(067) Sistemas Informacion Satelital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 t="str">
        <f>IFERROR(__xludf.DUMMYFUNCTION("""COMPUTED_VALUE"""),"(068) Horacio Garcia Barron")</f>
        <v>(068) Horacio Garcia Barron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 t="str">
        <f>IFERROR(__xludf.DUMMYFUNCTION("""COMPUTED_VALUE"""),"(069) Nodo Final Sa De Cv")</f>
        <v>(069) Nodo Final Sa De Cv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 t="str">
        <f>IFERROR(__xludf.DUMMYFUNCTION("""COMPUTED_VALUE"""),"(070) Tesoreria De La Federacion")</f>
        <v>(070) Tesoreria De La Federacion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 t="str">
        <f>IFERROR(__xludf.DUMMYFUNCTION("""COMPUTED_VALUE"""),"(071) Secretaria De Finanzas Del Gob")</f>
        <v>(071) Secretaria De Finanzas Del Gob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 t="str">
        <f>IFERROR(__xludf.DUMMYFUNCTION("""COMPUTED_VALUE"""),"(072) Antelmo Zavala Vigueras")</f>
        <v>(072) Antelmo Zavala Vigueras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 t="str">
        <f>IFERROR(__xludf.DUMMYFUNCTION("""COMPUTED_VALUE"""),"(073) Sofimex, Institucion De Garant")</f>
        <v>(073) Sofimex, Institucion De Garant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 t="str">
        <f>IFERROR(__xludf.DUMMYFUNCTION("""COMPUTED_VALUE"""),"(074) Maria Teresa Alvarado Gonzalez")</f>
        <v>(074) Maria Teresa Alvarado Gonzalez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 t="str">
        <f>IFERROR(__xludf.DUMMYFUNCTION("""COMPUTED_VALUE"""),"(075) Comercializadora Ypsilon Sa De")</f>
        <v>(075) Comercializadora Ypsilon Sa De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 t="str">
        <f>IFERROR(__xludf.DUMMYFUNCTION("""COMPUTED_VALUE"""),"(076) Gpr Comunicaciones Sa De Cv")</f>
        <v>(076) Gpr Comunicaciones Sa De Cv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 t="str">
        <f>IFERROR(__xludf.DUMMYFUNCTION("""COMPUTED_VALUE"""),"(077) Tania Rubi Monroy Camacho")</f>
        <v>(077) Tania Rubi Monroy Camacho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 t="str">
        <f>IFERROR(__xludf.DUMMYFUNCTION("""COMPUTED_VALUE"""),"(078) Roanda Comercial Inc Sa De Cv")</f>
        <v>(078) Roanda Comercial Inc Sa De Cv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 t="str">
        <f>IFERROR(__xludf.DUMMYFUNCTION("""COMPUTED_VALUE"""),"(079) Grupo Nacional Provincial Sab")</f>
        <v>(079) Grupo Nacional Provincial Sab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 t="str">
        <f>IFERROR(__xludf.DUMMYFUNCTION("""COMPUTED_VALUE"""),"(080) Real Power Systems Mexico")</f>
        <v>(080) Real Power Systems Mexico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 t="str">
        <f>IFERROR(__xludf.DUMMYFUNCTION("""COMPUTED_VALUE"""),"(081) Solis Camara Y Compañia Sc")</f>
        <v>(081) Solis Camara Y Compañia Sc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 t="str">
        <f>IFERROR(__xludf.DUMMYFUNCTION("""COMPUTED_VALUE"""),"(082) Carlos Valdes Garcia")</f>
        <v>(082) Carlos Valdes Garcia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 t="str">
        <f>IFERROR(__xludf.DUMMYFUNCTION("""COMPUTED_VALUE"""),"(083) Formato Ergon Sa De Cv")</f>
        <v>(083) Formato Ergon Sa De Cv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 t="str">
        <f>IFERROR(__xludf.DUMMYFUNCTION("""COMPUTED_VALUE"""),"(084) Natera Consultores Sc")</f>
        <v>(084) Natera Consultores Sc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 t="str">
        <f>IFERROR(__xludf.DUMMYFUNCTION("""COMPUTED_VALUE"""),"(085) Raul Rojas Lugo")</f>
        <v>(085) Raul Rojas Lugo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 t="str">
        <f>IFERROR(__xludf.DUMMYFUNCTION("""COMPUTED_VALUE"""),"(086) Comercializadora Guibor Sa De")</f>
        <v>(086) Comercializadora Guibor Sa De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 t="str">
        <f>IFERROR(__xludf.DUMMYFUNCTION("""COMPUTED_VALUE"""),"(087) 360 Sistemas Y Comunicaciones")</f>
        <v>(087) 360 Sistemas Y Comunicaciones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 t="str">
        <f>IFERROR(__xludf.DUMMYFUNCTION("""COMPUTED_VALUE"""),"(088) Miguel Angel Olguin Ortega")</f>
        <v>(088) Miguel Angel Olguin Ortega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 t="str">
        <f>IFERROR(__xludf.DUMMYFUNCTION("""COMPUTED_VALUE"""),"(089) Gleeson Ruiz Sc")</f>
        <v>(089) Gleeson Ruiz Sc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 t="str">
        <f>IFERROR(__xludf.DUMMYFUNCTION("""COMPUTED_VALUE"""),"(090) Francisco De La Barrera Espino")</f>
        <v>(090) Francisco De La Barrera Espino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 t="str">
        <f>IFERROR(__xludf.DUMMYFUNCTION("""COMPUTED_VALUE"""),"(091) Aaron Hamui Heifetz")</f>
        <v>(091) Aaron Hamui Heifetz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 t="str">
        <f>IFERROR(__xludf.DUMMYFUNCTION("""COMPUTED_VALUE"""),"(092) Hugo Enrique Sanchez Segura")</f>
        <v>(092) Hugo Enrique Sanchez Segura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 t="str">
        <f>IFERROR(__xludf.DUMMYFUNCTION("""COMPUTED_VALUE"""),"(093) Servillantas Siete Leguas Sa D")</f>
        <v>(093) Servillantas Siete Leguas Sa D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 t="str">
        <f>IFERROR(__xludf.DUMMYFUNCTION("""COMPUTED_VALUE"""),"(094) Imakeba Capital Intelectual Sc")</f>
        <v>(094) Imakeba Capital Intelectual Sc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 t="str">
        <f>IFERROR(__xludf.DUMMYFUNCTION("""COMPUTED_VALUE"""),"(095) Jose Manuel Campos Monroy")</f>
        <v>(095) Jose Manuel Campos Monroy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 t="str">
        <f>IFERROR(__xludf.DUMMYFUNCTION("""COMPUTED_VALUE"""),"(096) Rafael Sanchez Guzman")</f>
        <v>(096) Rafael Sanchez Guzman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 t="str">
        <f>IFERROR(__xludf.DUMMYFUNCTION("""COMPUTED_VALUE"""),"(097) Sobre Todo Soluciones Y Result")</f>
        <v>(097) Sobre Todo Soluciones Y Result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 t="str">
        <f>IFERROR(__xludf.DUMMYFUNCTION("""COMPUTED_VALUE"""),"(098) Efren Armando Rodriguez Gonzal")</f>
        <v>(098) Efren Armando Rodriguez Gonzal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 t="str">
        <f>IFERROR(__xludf.DUMMYFUNCTION("""COMPUTED_VALUE"""),"(099) Chrisalim Abastecedora De Prod")</f>
        <v>(099) Chrisalim Abastecedora De Prod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 t="str">
        <f>IFERROR(__xludf.DUMMYFUNCTION("""COMPUTED_VALUE"""),"(100) Tarjeta De Credito")</f>
        <v>(100) Tarjeta De Credito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 t="str">
        <f>IFERROR(__xludf.DUMMYFUNCTION("""COMPUTED_VALUE"""),"(101) Cuidado Con El Editor Sa De Cv")</f>
        <v>(101) Cuidado Con El Editor Sa De Cv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 t="str">
        <f>IFERROR(__xludf.DUMMYFUNCTION("""COMPUTED_VALUE"""),"(102) Luis Armando Guerena Barrera")</f>
        <v>(102) Luis Armando Guerena Barrera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 t="str">
        <f>IFERROR(__xludf.DUMMYFUNCTION("""COMPUTED_VALUE"""),"(103) Hugo Casasanero Orduña")</f>
        <v>(103) Hugo Casasanero Orduña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 t="str">
        <f>IFERROR(__xludf.DUMMYFUNCTION("""COMPUTED_VALUE"""),"(104) Radio Xefr S De Rl De Cv")</f>
        <v>(104) Radio Xefr S De Rl De Cv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 t="str">
        <f>IFERROR(__xludf.DUMMYFUNCTION("""COMPUTED_VALUE"""),"(105) Radio Frecuencia Modulada S De")</f>
        <v>(105) Radio Frecuencia Modulada S De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 t="str">
        <f>IFERROR(__xludf.DUMMYFUNCTION("""COMPUTED_VALUE"""),"(106) Radio Xhsh S De Rl De Cv")</f>
        <v>(106) Radio Xhsh S De Rl De Cv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 t="str">
        <f>IFERROR(__xludf.DUMMYFUNCTION("""COMPUTED_VALUE"""),"(107) Radio 888 S De Rl De Cv")</f>
        <v>(107) Radio 888 S De Rl De Cv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 t="str">
        <f>IFERROR(__xludf.DUMMYFUNCTION("""COMPUTED_VALUE"""),"(108) Griselda Marlen Escobedo Sanch")</f>
        <v>(108) Griselda Marlen Escobedo Sanch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 t="str">
        <f>IFERROR(__xludf.DUMMYFUNCTION("""COMPUTED_VALUE"""),"(109) Formula Melodica S De Rl De Cv")</f>
        <v>(109) Formula Melodica S De Rl De Cv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 t="str">
        <f>IFERROR(__xludf.DUMMYFUNCTION("""COMPUTED_VALUE"""),"(110) Roberto Felix Berumen")</f>
        <v>(110) Roberto Felix Berumen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 t="str">
        <f>IFERROR(__xludf.DUMMYFUNCTION("""COMPUTED_VALUE"""),"(111) Chubb Seguros Mexico Sa")</f>
        <v>(111) Chubb Seguros Mexico Sa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 t="str">
        <f>IFERROR(__xludf.DUMMYFUNCTION("""COMPUTED_VALUE"""),"(112) Aline Gadeh Liniado")</f>
        <v>(112) Aline Gadeh Liniado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 t="str">
        <f>IFERROR(__xludf.DUMMYFUNCTION("""COMPUTED_VALUE"""),"(113) Etiquetas Rams")</f>
        <v>(113) Etiquetas Rams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 t="str">
        <f>IFERROR(__xludf.DUMMYFUNCTION("""COMPUTED_VALUE"""),"(114) Hitch Technology Sa De Cv")</f>
        <v>(114) Hitch Technology Sa De Cv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 t="str">
        <f>IFERROR(__xludf.DUMMYFUNCTION("""COMPUTED_VALUE"""),"(115) Secretaria De Finanzas Y Admin")</f>
        <v>(115) Secretaria De Finanzas Y Admin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 t="str">
        <f>IFERROR(__xludf.DUMMYFUNCTION("""COMPUTED_VALUE"""),"(116) Elite Network Lobbying")</f>
        <v>(116) Elite Network Lobbying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 t="str">
        <f>IFERROR(__xludf.DUMMYFUNCTION("""COMPUTED_VALUE"""),"(117) Ac-Fin Sapi De Cv")</f>
        <v>(117) Ac-Fin Sapi De Cv</v>
      </c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 t="str">
        <f>IFERROR(__xludf.DUMMYFUNCTION("""COMPUTED_VALUE"""),"(118) Carlos Tovar Rodriguez")</f>
        <v>(118) Carlos Tovar Rodriguez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 t="str">
        <f>IFERROR(__xludf.DUMMYFUNCTION("""COMPUTED_VALUE"""),"(119) Samuel Cruz Perez")</f>
        <v>(119) Samuel Cruz Perez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 t="str">
        <f>IFERROR(__xludf.DUMMYFUNCTION("""COMPUTED_VALUE"""),"(120) Tesoreria De La Ciudad De Mexi")</f>
        <v>(120) Tesoreria De La Ciudad De Mexi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 t="str">
        <f>IFERROR(__xludf.DUMMYFUNCTION("""COMPUTED_VALUE"""),"(121) Loyalty Corp Ms Sapi De Cv")</f>
        <v>(121) Loyalty Corp Ms Sapi De Cv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 t="str">
        <f>IFERROR(__xludf.DUMMYFUNCTION("""COMPUTED_VALUE"""),"(122) Juan Pablo Sandez Lizardi")</f>
        <v>(122) Juan Pablo Sandez Lizardi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 t="str">
        <f>IFERROR(__xludf.DUMMYFUNCTION("""COMPUTED_VALUE"""),"(123) Jesus Javier Vazquez Alvarado")</f>
        <v>(123) Jesus Javier Vazquez Alvarado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 t="str">
        <f>IFERROR(__xludf.DUMMYFUNCTION("""COMPUTED_VALUE"""),"(124) Allan De Jesus Romero Celis")</f>
        <v>(124) Allan De Jesus Romero Celis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 t="str">
        <f>IFERROR(__xludf.DUMMYFUNCTION("""COMPUTED_VALUE"""),"(125) Condominio Plaza Polanco Ac")</f>
        <v>(125) Condominio Plaza Polanco Ac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 t="str">
        <f>IFERROR(__xludf.DUMMYFUNCTION("""COMPUTED_VALUE"""),"(126) Ll-C Certification Mexico")</f>
        <v>(126) Ll-C Certification Mexico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 t="str">
        <f>IFERROR(__xludf.DUMMYFUNCTION("""COMPUTED_VALUE"""),"(127) Alejandra Carlos Gudiño")</f>
        <v>(127) Alejandra Carlos Gudiño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