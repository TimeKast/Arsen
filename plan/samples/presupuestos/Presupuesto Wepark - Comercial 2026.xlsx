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" sheetId="1" r:id="rId4"/>
    <sheet state="visible" name="Menus" sheetId="2" r:id="rId5"/>
    <sheet state="visible" name="Config" sheetId="3" r:id="rId6"/>
  </sheets>
  <definedNames/>
  <calcPr/>
</workbook>
</file>

<file path=xl/sharedStrings.xml><?xml version="1.0" encoding="utf-8"?>
<sst xmlns="http://schemas.openxmlformats.org/spreadsheetml/2006/main" count="20" uniqueCount="20">
  <si>
    <t>Presupuesto</t>
  </si>
  <si>
    <t>(02) Comercial</t>
  </si>
  <si>
    <t>Area</t>
  </si>
  <si>
    <t>Proyecto</t>
  </si>
  <si>
    <t>Cuenta</t>
  </si>
  <si>
    <t>Descripción</t>
  </si>
  <si>
    <t>Ene P</t>
  </si>
  <si>
    <t>Feb P</t>
  </si>
  <si>
    <t>Mar P</t>
  </si>
  <si>
    <t>Abr P</t>
  </si>
  <si>
    <t>May P</t>
  </si>
  <si>
    <t>Jun P</t>
  </si>
  <si>
    <t>Jul P</t>
  </si>
  <si>
    <t>Ago P</t>
  </si>
  <si>
    <t>Sep P</t>
  </si>
  <si>
    <t>Oct P</t>
  </si>
  <si>
    <t>Nov P</t>
  </si>
  <si>
    <t>Dic P</t>
  </si>
  <si>
    <t>Anual P</t>
  </si>
  <si>
    <t>Menu Egresos / Ingresos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</si>
</sst>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b/>
      <sz val="11.0"/>
      <color theme="1"/>
      <name val="Arial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1" fillId="0" fontId="2" numFmtId="0" xfId="0" applyBorder="1" applyFont="1"/>
    <xf borderId="2" fillId="0" fontId="3" numFmtId="164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1" fillId="0" fontId="3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0" fillId="0" fontId="4" numFmtId="0" xfId="0" applyFont="1"/>
    <xf borderId="1" fillId="0" fontId="4" numFmtId="164" xfId="0" applyBorder="1" applyFont="1" applyNumberFormat="1"/>
    <xf borderId="2" fillId="0" fontId="4" numFmtId="164" xfId="0" applyAlignment="1" applyBorder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1" fillId="0" fontId="4" numFmtId="164" xfId="0" applyAlignment="1" applyBorder="1" applyFont="1" applyNumberFormat="1">
      <alignment horizontal="right" vertical="bottom"/>
    </xf>
    <xf borderId="2" fillId="0" fontId="4" numFmtId="164" xfId="0" applyAlignment="1" applyBorder="1" applyFont="1" applyNumberFormat="1">
      <alignment vertical="bottom"/>
    </xf>
    <xf borderId="0" fillId="0" fontId="4" numFmtId="164" xfId="0" applyAlignment="1" applyFont="1" applyNumberFormat="1">
      <alignment vertical="bottom"/>
    </xf>
    <xf borderId="1" fillId="0" fontId="4" numFmtId="164" xfId="0" applyAlignment="1" applyBorder="1" applyFont="1" applyNumberFormat="1">
      <alignment vertical="bottom"/>
    </xf>
    <xf borderId="0" fillId="0" fontId="5" numFmtId="0" xfId="0" applyFont="1"/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12.13"/>
    <col customWidth="1" min="2" max="2" width="20.25"/>
    <col customWidth="1" min="3" max="3" width="21.13"/>
    <col customWidth="1" min="4" max="4" width="11.5"/>
    <col customWidth="1" min="5" max="16" width="9.38"/>
    <col customWidth="1" min="17" max="17" width="10.25"/>
  </cols>
  <sheetData>
    <row r="1" ht="15.75" customHeight="1">
      <c r="B1" s="1" t="s">
        <v>0</v>
      </c>
      <c r="C1" s="2" t="s">
        <v>1</v>
      </c>
      <c r="D1" s="3"/>
      <c r="E1" s="4">
        <f>IFERROR(__xludf.DUMMYFUNCTION("SUM(FILTER(E3:E400, 
  ($C$3:$C400&lt;&gt;""Tarifa horaria"") *
  ($C$3:$C400&lt;&gt;""Pensiones"") *
  ($C$3:$C400&lt;&gt;""Etiquetas"") *
  ($C$3:$C400&lt;&gt;""Boletos sellados"") *
  ($C$3:$C400&lt;&gt;""Eventos"") *
  ($C$3:$C400&lt;&gt;""Activación tarjeta"") *
  ($C$3:$C400&lt;&gt;""Reposi"&amp;"ción tarjeta"") *
  ($C$3:$C400&lt;&gt;""Tarifa horaria valet parking"") *
  ($C$3:$C400&lt;&gt;""Recargos"") *
  ($C$3:$C400&lt;&gt;""Igualas"") *
  ($C$3:$C400&lt;&gt;""Bicicleta"") *
  ($C$3:$C400&lt;&gt;""Venta de equipo"") *
  ($C$3:$C400&lt;&gt;""Vales magneticos"") *
  ($C$3:$C400&lt;&gt;"&amp;"""Facturas
"")))"),0.0)</f>
        <v>0</v>
      </c>
      <c r="F1" s="5">
        <f>IFERROR(__xludf.DUMMYFUNCTION("SUM(FILTER(F3:F400, 
  ($C$3:$C400&lt;&gt;""Tarifa horaria"") *
  ($C$3:$C400&lt;&gt;""Pensiones"") *
  ($C$3:$C400&lt;&gt;""Etiquetas"") *
  ($C$3:$C400&lt;&gt;""Boletos sellados"") *
  ($C$3:$C400&lt;&gt;""Eventos"") *
  ($C$3:$C400&lt;&gt;""Activación tarjeta"") *
  ($C$3:$C400&lt;&gt;""Reposi"&amp;"ción tarjeta"") *
  ($C$3:$C400&lt;&gt;""Tarifa horaria valet parking"") *
  ($C$3:$C400&lt;&gt;""Recargos"") *
  ($C$3:$C400&lt;&gt;""Igualas"") *
  ($C$3:$C400&lt;&gt;""Bicicleta"") *
  ($C$3:$C400&lt;&gt;""Venta de equipo"") *
  ($C$3:$C400&lt;&gt;""Vales magneticos"") *
  ($C$3:$C400&lt;&gt;"&amp;"""Facturas
"")))"),0.0)</f>
        <v>0</v>
      </c>
      <c r="G1" s="5">
        <f>IFERROR(__xludf.DUMMYFUNCTION("SUM(FILTER(G3:G400, 
  ($C$3:$C400&lt;&gt;""Tarifa horaria"") *
  ($C$3:$C400&lt;&gt;""Pensiones"") *
  ($C$3:$C400&lt;&gt;""Etiquetas"") *
  ($C$3:$C400&lt;&gt;""Boletos sellados"") *
  ($C$3:$C400&lt;&gt;""Eventos"") *
  ($C$3:$C400&lt;&gt;""Activación tarjeta"") *
  ($C$3:$C400&lt;&gt;""Reposi"&amp;"ción tarjeta"") *
  ($C$3:$C400&lt;&gt;""Tarifa horaria valet parking"") *
  ($C$3:$C400&lt;&gt;""Recargos"") *
  ($C$3:$C400&lt;&gt;""Igualas"") *
  ($C$3:$C400&lt;&gt;""Bicicleta"") *
  ($C$3:$C400&lt;&gt;""Venta de equipo"") *
  ($C$3:$C400&lt;&gt;""Vales magneticos"") *
  ($C$3:$C400&lt;&gt;"&amp;"""Facturas
"")))"),0.0)</f>
        <v>0</v>
      </c>
      <c r="H1" s="5">
        <f>IFERROR(__xludf.DUMMYFUNCTION("SUM(FILTER(H3:H400, 
  ($C$3:$C400&lt;&gt;""Tarifa horaria"") *
  ($C$3:$C400&lt;&gt;""Pensiones"") *
  ($C$3:$C400&lt;&gt;""Etiquetas"") *
  ($C$3:$C400&lt;&gt;""Boletos sellados"") *
  ($C$3:$C400&lt;&gt;""Eventos"") *
  ($C$3:$C400&lt;&gt;""Activación tarjeta"") *
  ($C$3:$C400&lt;&gt;""Reposi"&amp;"ción tarjeta"") *
  ($C$3:$C400&lt;&gt;""Tarifa horaria valet parking"") *
  ($C$3:$C400&lt;&gt;""Recargos"") *
  ($C$3:$C400&lt;&gt;""Igualas"") *
  ($C$3:$C400&lt;&gt;""Bicicleta"") *
  ($C$3:$C400&lt;&gt;""Venta de equipo"") *
  ($C$3:$C400&lt;&gt;""Vales magneticos"") *
  ($C$3:$C400&lt;&gt;"&amp;"""Facturas
"")))"),0.0)</f>
        <v>0</v>
      </c>
      <c r="I1" s="5">
        <f>IFERROR(__xludf.DUMMYFUNCTION("SUM(FILTER(I3:I400, 
  ($C$3:$C400&lt;&gt;""Tarifa horaria"") *
  ($C$3:$C400&lt;&gt;""Pensiones"") *
  ($C$3:$C400&lt;&gt;""Etiquetas"") *
  ($C$3:$C400&lt;&gt;""Boletos sellados"") *
  ($C$3:$C400&lt;&gt;""Eventos"") *
  ($C$3:$C400&lt;&gt;""Activación tarjeta"") *
  ($C$3:$C400&lt;&gt;""Reposi"&amp;"ción tarjeta"") *
  ($C$3:$C400&lt;&gt;""Tarifa horaria valet parking"") *
  ($C$3:$C400&lt;&gt;""Recargos"") *
  ($C$3:$C400&lt;&gt;""Igualas"") *
  ($C$3:$C400&lt;&gt;""Bicicleta"") *
  ($C$3:$C400&lt;&gt;""Venta de equipo"") *
  ($C$3:$C400&lt;&gt;""Vales magneticos"") *
  ($C$3:$C400&lt;&gt;"&amp;"""Facturas
"")))"),0.0)</f>
        <v>0</v>
      </c>
      <c r="J1" s="5">
        <f>IFERROR(__xludf.DUMMYFUNCTION("SUM(FILTER(J3:J400, 
  ($C$3:$C400&lt;&gt;""Tarifa horaria"") *
  ($C$3:$C400&lt;&gt;""Pensiones"") *
  ($C$3:$C400&lt;&gt;""Etiquetas"") *
  ($C$3:$C400&lt;&gt;""Boletos sellados"") *
  ($C$3:$C400&lt;&gt;""Eventos"") *
  ($C$3:$C400&lt;&gt;""Activación tarjeta"") *
  ($C$3:$C400&lt;&gt;""Reposi"&amp;"ción tarjeta"") *
  ($C$3:$C400&lt;&gt;""Tarifa horaria valet parking"") *
  ($C$3:$C400&lt;&gt;""Recargos"") *
  ($C$3:$C400&lt;&gt;""Igualas"") *
  ($C$3:$C400&lt;&gt;""Bicicleta"") *
  ($C$3:$C400&lt;&gt;""Venta de equipo"") *
  ($C$3:$C400&lt;&gt;""Vales magneticos"") *
  ($C$3:$C400&lt;&gt;"&amp;"""Facturas
"")))"),0.0)</f>
        <v>0</v>
      </c>
      <c r="K1" s="5">
        <f>IFERROR(__xludf.DUMMYFUNCTION("SUM(FILTER(K3:K400, 
  ($C$3:$C400&lt;&gt;""Tarifa horaria"") *
  ($C$3:$C400&lt;&gt;""Pensiones"") *
  ($C$3:$C400&lt;&gt;""Etiquetas"") *
  ($C$3:$C400&lt;&gt;""Boletos sellados"") *
  ($C$3:$C400&lt;&gt;""Eventos"") *
  ($C$3:$C400&lt;&gt;""Activación tarjeta"") *
  ($C$3:$C400&lt;&gt;""Reposi"&amp;"ción tarjeta"") *
  ($C$3:$C400&lt;&gt;""Tarifa horaria valet parking"") *
  ($C$3:$C400&lt;&gt;""Recargos"") *
  ($C$3:$C400&lt;&gt;""Igualas"") *
  ($C$3:$C400&lt;&gt;""Bicicleta"") *
  ($C$3:$C400&lt;&gt;""Venta de equipo"") *
  ($C$3:$C400&lt;&gt;""Vales magneticos"") *
  ($C$3:$C400&lt;&gt;"&amp;"""Facturas
"")))"),0.0)</f>
        <v>0</v>
      </c>
      <c r="L1" s="5">
        <f>IFERROR(__xludf.DUMMYFUNCTION("SUM(FILTER(L3:L400, 
  ($C$3:$C400&lt;&gt;""Tarifa horaria"") *
  ($C$3:$C400&lt;&gt;""Pensiones"") *
  ($C$3:$C400&lt;&gt;""Etiquetas"") *
  ($C$3:$C400&lt;&gt;""Boletos sellados"") *
  ($C$3:$C400&lt;&gt;""Eventos"") *
  ($C$3:$C400&lt;&gt;""Activación tarjeta"") *
  ($C$3:$C400&lt;&gt;""Reposi"&amp;"ción tarjeta"") *
  ($C$3:$C400&lt;&gt;""Tarifa horaria valet parking"") *
  ($C$3:$C400&lt;&gt;""Recargos"") *
  ($C$3:$C400&lt;&gt;""Igualas"") *
  ($C$3:$C400&lt;&gt;""Bicicleta"") *
  ($C$3:$C400&lt;&gt;""Venta de equipo"") *
  ($C$3:$C400&lt;&gt;""Vales magneticos"") *
  ($C$3:$C400&lt;&gt;"&amp;"""Facturas
"")))"),0.0)</f>
        <v>0</v>
      </c>
      <c r="M1" s="5">
        <f>IFERROR(__xludf.DUMMYFUNCTION("SUM(FILTER(M3:M400, 
  ($C$3:$C400&lt;&gt;""Tarifa horaria"") *
  ($C$3:$C400&lt;&gt;""Pensiones"") *
  ($C$3:$C400&lt;&gt;""Etiquetas"") *
  ($C$3:$C400&lt;&gt;""Boletos sellados"") *
  ($C$3:$C400&lt;&gt;""Eventos"") *
  ($C$3:$C400&lt;&gt;""Activación tarjeta"") *
  ($C$3:$C400&lt;&gt;""Reposi"&amp;"ción tarjeta"") *
  ($C$3:$C400&lt;&gt;""Tarifa horaria valet parking"") *
  ($C$3:$C400&lt;&gt;""Recargos"") *
  ($C$3:$C400&lt;&gt;""Igualas"") *
  ($C$3:$C400&lt;&gt;""Bicicleta"") *
  ($C$3:$C400&lt;&gt;""Venta de equipo"") *
  ($C$3:$C400&lt;&gt;""Vales magneticos"") *
  ($C$3:$C400&lt;&gt;"&amp;"""Facturas
"")))"),0.0)</f>
        <v>0</v>
      </c>
      <c r="N1" s="5">
        <f>IFERROR(__xludf.DUMMYFUNCTION("SUM(FILTER(N3:N400, 
  ($C$3:$C400&lt;&gt;""Tarifa horaria"") *
  ($C$3:$C400&lt;&gt;""Pensiones"") *
  ($C$3:$C400&lt;&gt;""Etiquetas"") *
  ($C$3:$C400&lt;&gt;""Boletos sellados"") *
  ($C$3:$C400&lt;&gt;""Eventos"") *
  ($C$3:$C400&lt;&gt;""Activación tarjeta"") *
  ($C$3:$C400&lt;&gt;""Reposi"&amp;"ción tarjeta"") *
  ($C$3:$C400&lt;&gt;""Tarifa horaria valet parking"") *
  ($C$3:$C400&lt;&gt;""Recargos"") *
  ($C$3:$C400&lt;&gt;""Igualas"") *
  ($C$3:$C400&lt;&gt;""Bicicleta"") *
  ($C$3:$C400&lt;&gt;""Venta de equipo"") *
  ($C$3:$C400&lt;&gt;""Vales magneticos"") *
  ($C$3:$C400&lt;&gt;"&amp;"""Facturas
"")))"),0.0)</f>
        <v>0</v>
      </c>
      <c r="O1" s="5">
        <f>IFERROR(__xludf.DUMMYFUNCTION("SUM(FILTER(O3:O400, 
  ($C$3:$C400&lt;&gt;""Tarifa horaria"") *
  ($C$3:$C400&lt;&gt;""Pensiones"") *
  ($C$3:$C400&lt;&gt;""Etiquetas"") *
  ($C$3:$C400&lt;&gt;""Boletos sellados"") *
  ($C$3:$C400&lt;&gt;""Eventos"") *
  ($C$3:$C400&lt;&gt;""Activación tarjeta"") *
  ($C$3:$C400&lt;&gt;""Reposi"&amp;"ción tarjeta"") *
  ($C$3:$C400&lt;&gt;""Tarifa horaria valet parking"") *
  ($C$3:$C400&lt;&gt;""Recargos"") *
  ($C$3:$C400&lt;&gt;""Igualas"") *
  ($C$3:$C400&lt;&gt;""Bicicleta"") *
  ($C$3:$C400&lt;&gt;""Venta de equipo"") *
  ($C$3:$C400&lt;&gt;""Vales magneticos"") *
  ($C$3:$C400&lt;&gt;"&amp;"""Facturas
"")))"),0.0)</f>
        <v>0</v>
      </c>
      <c r="P1" s="6">
        <f>IFERROR(__xludf.DUMMYFUNCTION("SUM(FILTER(P3:P400, 
  ($C$3:$C400&lt;&gt;""Tarifa horaria"") *
  ($C$3:$C400&lt;&gt;""Pensiones"") *
  ($C$3:$C400&lt;&gt;""Etiquetas"") *
  ($C$3:$C400&lt;&gt;""Boletos sellados"") *
  ($C$3:$C400&lt;&gt;""Eventos"") *
  ($C$3:$C400&lt;&gt;""Activación tarjeta"") *
  ($C$3:$C400&lt;&gt;""Reposi"&amp;"ción tarjeta"") *
  ($C$3:$C400&lt;&gt;""Tarifa horaria valet parking"") *
  ($C$3:$C400&lt;&gt;""Recargos"") *
  ($C$3:$C400&lt;&gt;""Igualas"") *
  ($C$3:$C400&lt;&gt;""Bicicleta"") *
  ($C$3:$C400&lt;&gt;""Venta de equipo"") *
  ($C$3:$C400&lt;&gt;""Vales magneticos"") *
  ($C$3:$C400&lt;&gt;"&amp;"""Facturas
"")))"),0.0)</f>
        <v>0</v>
      </c>
      <c r="Q1" s="5">
        <f>IFERROR(__xludf.DUMMYFUNCTION("SUM(FILTER(Q3:Q400, $C$3:$C400&lt;&gt;""Seguridad""))"),0.0)</f>
        <v>0</v>
      </c>
    </row>
    <row r="2" ht="15.75" customHeight="1">
      <c r="A2" s="7" t="s">
        <v>2</v>
      </c>
      <c r="B2" s="7" t="s">
        <v>3</v>
      </c>
      <c r="C2" s="7" t="s">
        <v>4</v>
      </c>
      <c r="D2" s="8" t="s">
        <v>5</v>
      </c>
      <c r="E2" s="9" t="s">
        <v>6</v>
      </c>
      <c r="F2" s="10" t="s">
        <v>7</v>
      </c>
      <c r="G2" s="10" t="s">
        <v>8</v>
      </c>
      <c r="H2" s="10" t="s">
        <v>9</v>
      </c>
      <c r="I2" s="10" t="s">
        <v>10</v>
      </c>
      <c r="J2" s="10" t="s">
        <v>11</v>
      </c>
      <c r="K2" s="10" t="s">
        <v>12</v>
      </c>
      <c r="L2" s="10" t="s">
        <v>13</v>
      </c>
      <c r="M2" s="10" t="s">
        <v>14</v>
      </c>
      <c r="N2" s="10" t="s">
        <v>15</v>
      </c>
      <c r="O2" s="10" t="s">
        <v>16</v>
      </c>
      <c r="P2" s="11" t="s">
        <v>17</v>
      </c>
      <c r="Q2" s="10" t="s">
        <v>18</v>
      </c>
    </row>
    <row r="3" ht="15.75" customHeight="1">
      <c r="A3" s="12" t="str">
        <f t="shared" ref="A3:A400" si="1">$C$1</f>
        <v>(02) Comercial</v>
      </c>
      <c r="B3" s="12"/>
      <c r="C3" s="12"/>
      <c r="D3" s="13"/>
      <c r="E3" s="14"/>
      <c r="F3" s="15"/>
      <c r="G3" s="15"/>
      <c r="H3" s="15"/>
      <c r="I3" s="15"/>
      <c r="J3" s="15"/>
      <c r="K3" s="15"/>
      <c r="L3" s="15"/>
      <c r="M3" s="15"/>
      <c r="N3" s="15"/>
      <c r="O3" s="15"/>
      <c r="P3" s="16"/>
      <c r="Q3" s="15">
        <f t="shared" ref="Q3:Q400" si="2">SUM(E3:P3)</f>
        <v>0</v>
      </c>
    </row>
    <row r="4" ht="15.75" customHeight="1">
      <c r="A4" s="12" t="str">
        <f t="shared" si="1"/>
        <v>(02) Comercial</v>
      </c>
      <c r="B4" s="12"/>
      <c r="C4" s="12"/>
      <c r="D4" s="13"/>
      <c r="E4" s="14"/>
      <c r="F4" s="15"/>
      <c r="G4" s="15"/>
      <c r="H4" s="15"/>
      <c r="I4" s="15"/>
      <c r="J4" s="15"/>
      <c r="K4" s="15"/>
      <c r="L4" s="15"/>
      <c r="M4" s="15"/>
      <c r="N4" s="15"/>
      <c r="O4" s="15"/>
      <c r="P4" s="16"/>
      <c r="Q4" s="15">
        <f t="shared" si="2"/>
        <v>0</v>
      </c>
    </row>
    <row r="5" ht="15.75" customHeight="1">
      <c r="A5" s="12" t="str">
        <f t="shared" si="1"/>
        <v>(02) Comercial</v>
      </c>
      <c r="B5" s="12"/>
      <c r="C5" s="12"/>
      <c r="D5" s="13"/>
      <c r="E5" s="14"/>
      <c r="F5" s="15"/>
      <c r="G5" s="15"/>
      <c r="H5" s="15"/>
      <c r="I5" s="15"/>
      <c r="J5" s="15"/>
      <c r="K5" s="15"/>
      <c r="L5" s="15"/>
      <c r="M5" s="15"/>
      <c r="N5" s="15"/>
      <c r="O5" s="15"/>
      <c r="P5" s="16"/>
      <c r="Q5" s="15">
        <f t="shared" si="2"/>
        <v>0</v>
      </c>
    </row>
    <row r="6" ht="15.75" customHeight="1">
      <c r="A6" s="12" t="str">
        <f t="shared" si="1"/>
        <v>(02) Comercial</v>
      </c>
      <c r="B6" s="12"/>
      <c r="C6" s="12"/>
      <c r="D6" s="13"/>
      <c r="E6" s="17"/>
      <c r="F6" s="18"/>
      <c r="G6" s="18"/>
      <c r="H6" s="18"/>
      <c r="I6" s="18"/>
      <c r="J6" s="18"/>
      <c r="K6" s="18"/>
      <c r="L6" s="18"/>
      <c r="M6" s="18"/>
      <c r="N6" s="18"/>
      <c r="O6" s="18"/>
      <c r="P6" s="19"/>
      <c r="Q6" s="15">
        <f t="shared" si="2"/>
        <v>0</v>
      </c>
    </row>
    <row r="7" ht="15.75" customHeight="1">
      <c r="A7" s="12" t="str">
        <f t="shared" si="1"/>
        <v>(02) Comercial</v>
      </c>
      <c r="B7" s="12"/>
      <c r="C7" s="12"/>
      <c r="D7" s="13"/>
      <c r="E7" s="17"/>
      <c r="F7" s="18"/>
      <c r="G7" s="18"/>
      <c r="H7" s="18"/>
      <c r="I7" s="18"/>
      <c r="J7" s="18"/>
      <c r="K7" s="18"/>
      <c r="L7" s="18"/>
      <c r="M7" s="18"/>
      <c r="N7" s="18"/>
      <c r="O7" s="18"/>
      <c r="P7" s="19"/>
      <c r="Q7" s="15">
        <f t="shared" si="2"/>
        <v>0</v>
      </c>
    </row>
    <row r="8" ht="15.75" customHeight="1">
      <c r="A8" s="12" t="str">
        <f t="shared" si="1"/>
        <v>(02) Comercial</v>
      </c>
      <c r="B8" s="12"/>
      <c r="C8" s="12"/>
      <c r="D8" s="13"/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  <c r="P8" s="19"/>
      <c r="Q8" s="15">
        <f t="shared" si="2"/>
        <v>0</v>
      </c>
    </row>
    <row r="9" ht="15.75" customHeight="1">
      <c r="A9" s="12" t="str">
        <f t="shared" si="1"/>
        <v>(02) Comercial</v>
      </c>
      <c r="B9" s="12"/>
      <c r="C9" s="12"/>
      <c r="D9" s="13"/>
      <c r="E9" s="17"/>
      <c r="F9" s="18"/>
      <c r="G9" s="18"/>
      <c r="H9" s="18"/>
      <c r="I9" s="18"/>
      <c r="J9" s="18"/>
      <c r="K9" s="18"/>
      <c r="L9" s="18"/>
      <c r="M9" s="18"/>
      <c r="N9" s="18"/>
      <c r="O9" s="18"/>
      <c r="P9" s="19"/>
      <c r="Q9" s="15">
        <f t="shared" si="2"/>
        <v>0</v>
      </c>
    </row>
    <row r="10" ht="15.75" customHeight="1">
      <c r="A10" s="12" t="str">
        <f t="shared" si="1"/>
        <v>(02) Comercial</v>
      </c>
      <c r="B10" s="12"/>
      <c r="C10" s="12"/>
      <c r="D10" s="13"/>
      <c r="E10" s="17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9"/>
      <c r="Q10" s="15">
        <f t="shared" si="2"/>
        <v>0</v>
      </c>
    </row>
    <row r="11" ht="15.75" customHeight="1">
      <c r="A11" s="12" t="str">
        <f t="shared" si="1"/>
        <v>(02) Comercial</v>
      </c>
      <c r="B11" s="12"/>
      <c r="C11" s="12"/>
      <c r="D11" s="13"/>
      <c r="E11" s="17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9"/>
      <c r="Q11" s="15">
        <f t="shared" si="2"/>
        <v>0</v>
      </c>
    </row>
    <row r="12" ht="15.75" customHeight="1">
      <c r="A12" s="12" t="str">
        <f t="shared" si="1"/>
        <v>(02) Comercial</v>
      </c>
      <c r="B12" s="12"/>
      <c r="C12" s="12"/>
      <c r="D12" s="13"/>
      <c r="E12" s="1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9"/>
      <c r="Q12" s="15">
        <f t="shared" si="2"/>
        <v>0</v>
      </c>
    </row>
    <row r="13" ht="15.75" customHeight="1">
      <c r="A13" s="12" t="str">
        <f t="shared" si="1"/>
        <v>(02) Comercial</v>
      </c>
      <c r="B13" s="12"/>
      <c r="C13" s="12"/>
      <c r="D13" s="13"/>
      <c r="E13" s="17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9"/>
      <c r="Q13" s="15">
        <f t="shared" si="2"/>
        <v>0</v>
      </c>
    </row>
    <row r="14" ht="15.75" customHeight="1">
      <c r="A14" s="12" t="str">
        <f t="shared" si="1"/>
        <v>(02) Comercial</v>
      </c>
      <c r="B14" s="12"/>
      <c r="C14" s="12"/>
      <c r="D14" s="13"/>
      <c r="E14" s="17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9"/>
      <c r="Q14" s="15">
        <f t="shared" si="2"/>
        <v>0</v>
      </c>
    </row>
    <row r="15" ht="15.75" customHeight="1">
      <c r="A15" s="12" t="str">
        <f t="shared" si="1"/>
        <v>(02) Comercial</v>
      </c>
      <c r="B15" s="12"/>
      <c r="C15" s="12"/>
      <c r="D15" s="13"/>
      <c r="E15" s="17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9"/>
      <c r="Q15" s="15">
        <f t="shared" si="2"/>
        <v>0</v>
      </c>
    </row>
    <row r="16" ht="15.75" customHeight="1">
      <c r="A16" s="12" t="str">
        <f t="shared" si="1"/>
        <v>(02) Comercial</v>
      </c>
      <c r="B16" s="12"/>
      <c r="C16" s="12"/>
      <c r="D16" s="13"/>
      <c r="E16" s="17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9"/>
      <c r="Q16" s="15">
        <f t="shared" si="2"/>
        <v>0</v>
      </c>
    </row>
    <row r="17" ht="15.75" customHeight="1">
      <c r="A17" s="12" t="str">
        <f t="shared" si="1"/>
        <v>(02) Comercial</v>
      </c>
      <c r="B17" s="12"/>
      <c r="C17" s="12"/>
      <c r="D17" s="13"/>
      <c r="E17" s="17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9"/>
      <c r="Q17" s="15">
        <f t="shared" si="2"/>
        <v>0</v>
      </c>
    </row>
    <row r="18" ht="15.75" customHeight="1">
      <c r="A18" s="12" t="str">
        <f t="shared" si="1"/>
        <v>(02) Comercial</v>
      </c>
      <c r="B18" s="12"/>
      <c r="C18" s="12"/>
      <c r="D18" s="13"/>
      <c r="E18" s="17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9"/>
      <c r="Q18" s="15">
        <f t="shared" si="2"/>
        <v>0</v>
      </c>
    </row>
    <row r="19" ht="15.75" customHeight="1">
      <c r="A19" s="12" t="str">
        <f t="shared" si="1"/>
        <v>(02) Comercial</v>
      </c>
      <c r="B19" s="12"/>
      <c r="C19" s="12"/>
      <c r="D19" s="13"/>
      <c r="E19" s="17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9"/>
      <c r="Q19" s="15">
        <f t="shared" si="2"/>
        <v>0</v>
      </c>
    </row>
    <row r="20" ht="15.75" customHeight="1">
      <c r="A20" s="12" t="str">
        <f t="shared" si="1"/>
        <v>(02) Comercial</v>
      </c>
      <c r="B20" s="12"/>
      <c r="C20" s="12"/>
      <c r="D20" s="13"/>
      <c r="E20" s="17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9"/>
      <c r="Q20" s="15">
        <f t="shared" si="2"/>
        <v>0</v>
      </c>
    </row>
    <row r="21" ht="15.75" customHeight="1">
      <c r="A21" s="12" t="str">
        <f t="shared" si="1"/>
        <v>(02) Comercial</v>
      </c>
      <c r="B21" s="12"/>
      <c r="C21" s="12"/>
      <c r="D21" s="13"/>
      <c r="E21" s="17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9"/>
      <c r="Q21" s="15">
        <f t="shared" si="2"/>
        <v>0</v>
      </c>
    </row>
    <row r="22" ht="15.75" customHeight="1">
      <c r="A22" s="12" t="str">
        <f t="shared" si="1"/>
        <v>(02) Comercial</v>
      </c>
      <c r="B22" s="12"/>
      <c r="C22" s="12"/>
      <c r="D22" s="13"/>
      <c r="E22" s="17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9"/>
      <c r="Q22" s="15">
        <f t="shared" si="2"/>
        <v>0</v>
      </c>
    </row>
    <row r="23" ht="15.75" customHeight="1">
      <c r="A23" s="12" t="str">
        <f t="shared" si="1"/>
        <v>(02) Comercial</v>
      </c>
      <c r="B23" s="12"/>
      <c r="C23" s="12"/>
      <c r="D23" s="13"/>
      <c r="E23" s="17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9"/>
      <c r="Q23" s="15">
        <f t="shared" si="2"/>
        <v>0</v>
      </c>
    </row>
    <row r="24" ht="15.75" customHeight="1">
      <c r="A24" s="12" t="str">
        <f t="shared" si="1"/>
        <v>(02) Comercial</v>
      </c>
      <c r="B24" s="12"/>
      <c r="C24" s="12"/>
      <c r="D24" s="13"/>
      <c r="E24" s="17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9"/>
      <c r="Q24" s="15">
        <f t="shared" si="2"/>
        <v>0</v>
      </c>
    </row>
    <row r="25" ht="15.75" customHeight="1">
      <c r="A25" s="12" t="str">
        <f t="shared" si="1"/>
        <v>(02) Comercial</v>
      </c>
      <c r="B25" s="12"/>
      <c r="C25" s="12"/>
      <c r="D25" s="13"/>
      <c r="E25" s="17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9"/>
      <c r="Q25" s="15">
        <f t="shared" si="2"/>
        <v>0</v>
      </c>
    </row>
    <row r="26" ht="15.75" customHeight="1">
      <c r="A26" s="12" t="str">
        <f t="shared" si="1"/>
        <v>(02) Comercial</v>
      </c>
      <c r="B26" s="12"/>
      <c r="C26" s="12"/>
      <c r="D26" s="13"/>
      <c r="E26" s="17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9"/>
      <c r="Q26" s="15">
        <f t="shared" si="2"/>
        <v>0</v>
      </c>
    </row>
    <row r="27" ht="15.75" customHeight="1">
      <c r="A27" s="12" t="str">
        <f t="shared" si="1"/>
        <v>(02) Comercial</v>
      </c>
      <c r="B27" s="12"/>
      <c r="C27" s="12"/>
      <c r="D27" s="13"/>
      <c r="E27" s="17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9"/>
      <c r="Q27" s="15">
        <f t="shared" si="2"/>
        <v>0</v>
      </c>
    </row>
    <row r="28" ht="15.75" customHeight="1">
      <c r="A28" s="12" t="str">
        <f t="shared" si="1"/>
        <v>(02) Comercial</v>
      </c>
      <c r="B28" s="12"/>
      <c r="C28" s="12"/>
      <c r="D28" s="13"/>
      <c r="E28" s="17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9"/>
      <c r="Q28" s="15">
        <f t="shared" si="2"/>
        <v>0</v>
      </c>
    </row>
    <row r="29" ht="15.75" customHeight="1">
      <c r="A29" s="12" t="str">
        <f t="shared" si="1"/>
        <v>(02) Comercial</v>
      </c>
      <c r="B29" s="12"/>
      <c r="C29" s="12"/>
      <c r="D29" s="13"/>
      <c r="E29" s="17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9"/>
      <c r="Q29" s="15">
        <f t="shared" si="2"/>
        <v>0</v>
      </c>
    </row>
    <row r="30" ht="15.75" customHeight="1">
      <c r="A30" s="12" t="str">
        <f t="shared" si="1"/>
        <v>(02) Comercial</v>
      </c>
      <c r="B30" s="12"/>
      <c r="C30" s="12"/>
      <c r="D30" s="13"/>
      <c r="E30" s="17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9"/>
      <c r="Q30" s="15">
        <f t="shared" si="2"/>
        <v>0</v>
      </c>
    </row>
    <row r="31" ht="15.75" customHeight="1">
      <c r="A31" s="12" t="str">
        <f t="shared" si="1"/>
        <v>(02) Comercial</v>
      </c>
      <c r="B31" s="12"/>
      <c r="C31" s="12"/>
      <c r="D31" s="13"/>
      <c r="E31" s="17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9"/>
      <c r="Q31" s="15">
        <f t="shared" si="2"/>
        <v>0</v>
      </c>
    </row>
    <row r="32" ht="15.75" customHeight="1">
      <c r="A32" s="12" t="str">
        <f t="shared" si="1"/>
        <v>(02) Comercial</v>
      </c>
      <c r="B32" s="12"/>
      <c r="C32" s="12"/>
      <c r="D32" s="13"/>
      <c r="E32" s="17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9"/>
      <c r="Q32" s="15">
        <f t="shared" si="2"/>
        <v>0</v>
      </c>
    </row>
    <row r="33" ht="15.75" customHeight="1">
      <c r="A33" s="12" t="str">
        <f t="shared" si="1"/>
        <v>(02) Comercial</v>
      </c>
      <c r="B33" s="12"/>
      <c r="C33" s="12"/>
      <c r="D33" s="13"/>
      <c r="E33" s="17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9"/>
      <c r="Q33" s="15">
        <f t="shared" si="2"/>
        <v>0</v>
      </c>
    </row>
    <row r="34" ht="15.75" customHeight="1">
      <c r="A34" s="12" t="str">
        <f t="shared" si="1"/>
        <v>(02) Comercial</v>
      </c>
      <c r="B34" s="12"/>
      <c r="C34" s="12"/>
      <c r="D34" s="13"/>
      <c r="E34" s="17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9"/>
      <c r="Q34" s="15">
        <f t="shared" si="2"/>
        <v>0</v>
      </c>
    </row>
    <row r="35" ht="15.75" customHeight="1">
      <c r="A35" s="12" t="str">
        <f t="shared" si="1"/>
        <v>(02) Comercial</v>
      </c>
      <c r="B35" s="12"/>
      <c r="C35" s="12"/>
      <c r="D35" s="13"/>
      <c r="E35" s="17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9"/>
      <c r="Q35" s="15">
        <f t="shared" si="2"/>
        <v>0</v>
      </c>
    </row>
    <row r="36" ht="15.75" customHeight="1">
      <c r="A36" s="12" t="str">
        <f t="shared" si="1"/>
        <v>(02) Comercial</v>
      </c>
      <c r="B36" s="12"/>
      <c r="C36" s="12"/>
      <c r="D36" s="13"/>
      <c r="E36" s="17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9"/>
      <c r="Q36" s="15">
        <f t="shared" si="2"/>
        <v>0</v>
      </c>
    </row>
    <row r="37" ht="15.75" customHeight="1">
      <c r="A37" s="12" t="str">
        <f t="shared" si="1"/>
        <v>(02) Comercial</v>
      </c>
      <c r="B37" s="12"/>
      <c r="C37" s="12"/>
      <c r="D37" s="13"/>
      <c r="E37" s="17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9"/>
      <c r="Q37" s="15">
        <f t="shared" si="2"/>
        <v>0</v>
      </c>
    </row>
    <row r="38" ht="15.75" customHeight="1">
      <c r="A38" s="12" t="str">
        <f t="shared" si="1"/>
        <v>(02) Comercial</v>
      </c>
      <c r="B38" s="12"/>
      <c r="C38" s="12"/>
      <c r="D38" s="13"/>
      <c r="E38" s="17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9"/>
      <c r="Q38" s="15">
        <f t="shared" si="2"/>
        <v>0</v>
      </c>
    </row>
    <row r="39" ht="15.75" customHeight="1">
      <c r="A39" s="12" t="str">
        <f t="shared" si="1"/>
        <v>(02) Comercial</v>
      </c>
      <c r="B39" s="12"/>
      <c r="C39" s="12"/>
      <c r="D39" s="13"/>
      <c r="E39" s="17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9"/>
      <c r="Q39" s="15">
        <f t="shared" si="2"/>
        <v>0</v>
      </c>
    </row>
    <row r="40" ht="15.75" customHeight="1">
      <c r="A40" s="12" t="str">
        <f t="shared" si="1"/>
        <v>(02) Comercial</v>
      </c>
      <c r="B40" s="12"/>
      <c r="C40" s="12"/>
      <c r="D40" s="13"/>
      <c r="E40" s="17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9"/>
      <c r="Q40" s="15">
        <f t="shared" si="2"/>
        <v>0</v>
      </c>
    </row>
    <row r="41" ht="15.75" customHeight="1">
      <c r="A41" s="12" t="str">
        <f t="shared" si="1"/>
        <v>(02) Comercial</v>
      </c>
      <c r="B41" s="12"/>
      <c r="C41" s="12"/>
      <c r="D41" s="13"/>
      <c r="E41" s="17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9"/>
      <c r="Q41" s="15">
        <f t="shared" si="2"/>
        <v>0</v>
      </c>
    </row>
    <row r="42" ht="15.75" customHeight="1">
      <c r="A42" s="12" t="str">
        <f t="shared" si="1"/>
        <v>(02) Comercial</v>
      </c>
      <c r="B42" s="12"/>
      <c r="C42" s="12"/>
      <c r="D42" s="13"/>
      <c r="E42" s="17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9"/>
      <c r="Q42" s="15">
        <f t="shared" si="2"/>
        <v>0</v>
      </c>
    </row>
    <row r="43" ht="15.75" customHeight="1">
      <c r="A43" s="12" t="str">
        <f t="shared" si="1"/>
        <v>(02) Comercial</v>
      </c>
      <c r="B43" s="12"/>
      <c r="C43" s="12"/>
      <c r="D43" s="13"/>
      <c r="E43" s="17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9"/>
      <c r="Q43" s="15">
        <f t="shared" si="2"/>
        <v>0</v>
      </c>
    </row>
    <row r="44" ht="15.75" customHeight="1">
      <c r="A44" s="12" t="str">
        <f t="shared" si="1"/>
        <v>(02) Comercial</v>
      </c>
      <c r="B44" s="12"/>
      <c r="C44" s="12"/>
      <c r="D44" s="13"/>
      <c r="E44" s="17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9"/>
      <c r="Q44" s="15">
        <f t="shared" si="2"/>
        <v>0</v>
      </c>
    </row>
    <row r="45" ht="15.75" customHeight="1">
      <c r="A45" s="12" t="str">
        <f t="shared" si="1"/>
        <v>(02) Comercial</v>
      </c>
      <c r="B45" s="12"/>
      <c r="C45" s="12"/>
      <c r="D45" s="13"/>
      <c r="E45" s="17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9"/>
      <c r="Q45" s="15">
        <f t="shared" si="2"/>
        <v>0</v>
      </c>
    </row>
    <row r="46" ht="15.75" customHeight="1">
      <c r="A46" s="12" t="str">
        <f t="shared" si="1"/>
        <v>(02) Comercial</v>
      </c>
      <c r="B46" s="12"/>
      <c r="C46" s="12"/>
      <c r="D46" s="13"/>
      <c r="E46" s="17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9"/>
      <c r="Q46" s="15">
        <f t="shared" si="2"/>
        <v>0</v>
      </c>
    </row>
    <row r="47" ht="15.75" customHeight="1">
      <c r="A47" s="12" t="str">
        <f t="shared" si="1"/>
        <v>(02) Comercial</v>
      </c>
      <c r="B47" s="12"/>
      <c r="C47" s="12"/>
      <c r="D47" s="13"/>
      <c r="E47" s="17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9"/>
      <c r="Q47" s="15">
        <f t="shared" si="2"/>
        <v>0</v>
      </c>
    </row>
    <row r="48" ht="15.75" customHeight="1">
      <c r="A48" s="12" t="str">
        <f t="shared" si="1"/>
        <v>(02) Comercial</v>
      </c>
      <c r="B48" s="12"/>
      <c r="C48" s="12"/>
      <c r="D48" s="13"/>
      <c r="E48" s="17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9"/>
      <c r="Q48" s="15">
        <f t="shared" si="2"/>
        <v>0</v>
      </c>
    </row>
    <row r="49" ht="15.75" customHeight="1">
      <c r="A49" s="12" t="str">
        <f t="shared" si="1"/>
        <v>(02) Comercial</v>
      </c>
      <c r="B49" s="12"/>
      <c r="C49" s="12"/>
      <c r="D49" s="13"/>
      <c r="E49" s="17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9"/>
      <c r="Q49" s="15">
        <f t="shared" si="2"/>
        <v>0</v>
      </c>
    </row>
    <row r="50" ht="15.75" customHeight="1">
      <c r="A50" s="12" t="str">
        <f t="shared" si="1"/>
        <v>(02) Comercial</v>
      </c>
      <c r="B50" s="12"/>
      <c r="C50" s="12"/>
      <c r="D50" s="13"/>
      <c r="E50" s="17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9"/>
      <c r="Q50" s="15">
        <f t="shared" si="2"/>
        <v>0</v>
      </c>
    </row>
    <row r="51" ht="15.75" customHeight="1">
      <c r="A51" s="12" t="str">
        <f t="shared" si="1"/>
        <v>(02) Comercial</v>
      </c>
      <c r="B51" s="12"/>
      <c r="C51" s="12"/>
      <c r="D51" s="13"/>
      <c r="E51" s="17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9"/>
      <c r="Q51" s="15">
        <f t="shared" si="2"/>
        <v>0</v>
      </c>
    </row>
    <row r="52" ht="15.75" customHeight="1">
      <c r="A52" s="12" t="str">
        <f t="shared" si="1"/>
        <v>(02) Comercial</v>
      </c>
      <c r="B52" s="12"/>
      <c r="C52" s="12"/>
      <c r="D52" s="13"/>
      <c r="E52" s="17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9"/>
      <c r="Q52" s="15">
        <f t="shared" si="2"/>
        <v>0</v>
      </c>
    </row>
    <row r="53" ht="15.75" customHeight="1">
      <c r="A53" s="12" t="str">
        <f t="shared" si="1"/>
        <v>(02) Comercial</v>
      </c>
      <c r="B53" s="12"/>
      <c r="C53" s="12"/>
      <c r="D53" s="13"/>
      <c r="E53" s="17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9"/>
      <c r="Q53" s="15">
        <f t="shared" si="2"/>
        <v>0</v>
      </c>
    </row>
    <row r="54" ht="15.75" customHeight="1">
      <c r="A54" s="12" t="str">
        <f t="shared" si="1"/>
        <v>(02) Comercial</v>
      </c>
      <c r="B54" s="12"/>
      <c r="C54" s="12"/>
      <c r="D54" s="13"/>
      <c r="E54" s="17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9"/>
      <c r="Q54" s="15">
        <f t="shared" si="2"/>
        <v>0</v>
      </c>
    </row>
    <row r="55" ht="15.75" customHeight="1">
      <c r="A55" s="12" t="str">
        <f t="shared" si="1"/>
        <v>(02) Comercial</v>
      </c>
      <c r="B55" s="12"/>
      <c r="C55" s="12"/>
      <c r="D55" s="13"/>
      <c r="E55" s="17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9"/>
      <c r="Q55" s="15">
        <f t="shared" si="2"/>
        <v>0</v>
      </c>
    </row>
    <row r="56" ht="15.75" customHeight="1">
      <c r="A56" s="12" t="str">
        <f t="shared" si="1"/>
        <v>(02) Comercial</v>
      </c>
      <c r="B56" s="12"/>
      <c r="C56" s="12"/>
      <c r="D56" s="13"/>
      <c r="E56" s="17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9"/>
      <c r="Q56" s="15">
        <f t="shared" si="2"/>
        <v>0</v>
      </c>
    </row>
    <row r="57" ht="15.75" customHeight="1">
      <c r="A57" s="12" t="str">
        <f t="shared" si="1"/>
        <v>(02) Comercial</v>
      </c>
      <c r="B57" s="12"/>
      <c r="C57" s="12"/>
      <c r="D57" s="13"/>
      <c r="E57" s="17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9"/>
      <c r="Q57" s="15">
        <f t="shared" si="2"/>
        <v>0</v>
      </c>
    </row>
    <row r="58" ht="15.75" customHeight="1">
      <c r="A58" s="12" t="str">
        <f t="shared" si="1"/>
        <v>(02) Comercial</v>
      </c>
      <c r="B58" s="12"/>
      <c r="C58" s="12"/>
      <c r="D58" s="13"/>
      <c r="E58" s="17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9"/>
      <c r="Q58" s="15">
        <f t="shared" si="2"/>
        <v>0</v>
      </c>
    </row>
    <row r="59" ht="15.75" customHeight="1">
      <c r="A59" s="12" t="str">
        <f t="shared" si="1"/>
        <v>(02) Comercial</v>
      </c>
      <c r="B59" s="12"/>
      <c r="C59" s="12"/>
      <c r="D59" s="13"/>
      <c r="E59" s="17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9"/>
      <c r="Q59" s="15">
        <f t="shared" si="2"/>
        <v>0</v>
      </c>
    </row>
    <row r="60" ht="15.75" customHeight="1">
      <c r="A60" s="12" t="str">
        <f t="shared" si="1"/>
        <v>(02) Comercial</v>
      </c>
      <c r="B60" s="12"/>
      <c r="C60" s="12"/>
      <c r="D60" s="13"/>
      <c r="E60" s="17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9"/>
      <c r="Q60" s="15">
        <f t="shared" si="2"/>
        <v>0</v>
      </c>
    </row>
    <row r="61" ht="15.75" customHeight="1">
      <c r="A61" s="12" t="str">
        <f t="shared" si="1"/>
        <v>(02) Comercial</v>
      </c>
      <c r="B61" s="12"/>
      <c r="C61" s="12"/>
      <c r="D61" s="13"/>
      <c r="E61" s="17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9"/>
      <c r="Q61" s="15">
        <f t="shared" si="2"/>
        <v>0</v>
      </c>
    </row>
    <row r="62" ht="15.75" customHeight="1">
      <c r="A62" s="12" t="str">
        <f t="shared" si="1"/>
        <v>(02) Comercial</v>
      </c>
      <c r="B62" s="12"/>
      <c r="C62" s="12"/>
      <c r="D62" s="13"/>
      <c r="E62" s="17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9"/>
      <c r="Q62" s="15">
        <f t="shared" si="2"/>
        <v>0</v>
      </c>
    </row>
    <row r="63" ht="15.75" customHeight="1">
      <c r="A63" s="12" t="str">
        <f t="shared" si="1"/>
        <v>(02) Comercial</v>
      </c>
      <c r="B63" s="12"/>
      <c r="C63" s="12"/>
      <c r="D63" s="13"/>
      <c r="E63" s="17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9"/>
      <c r="Q63" s="15">
        <f t="shared" si="2"/>
        <v>0</v>
      </c>
    </row>
    <row r="64" ht="15.75" customHeight="1">
      <c r="A64" s="12" t="str">
        <f t="shared" si="1"/>
        <v>(02) Comercial</v>
      </c>
      <c r="B64" s="12"/>
      <c r="C64" s="12"/>
      <c r="D64" s="13"/>
      <c r="E64" s="17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9"/>
      <c r="Q64" s="15">
        <f t="shared" si="2"/>
        <v>0</v>
      </c>
    </row>
    <row r="65" ht="15.75" customHeight="1">
      <c r="A65" s="12" t="str">
        <f t="shared" si="1"/>
        <v>(02) Comercial</v>
      </c>
      <c r="B65" s="12"/>
      <c r="C65" s="12"/>
      <c r="D65" s="13"/>
      <c r="E65" s="17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9"/>
      <c r="Q65" s="15">
        <f t="shared" si="2"/>
        <v>0</v>
      </c>
    </row>
    <row r="66" ht="15.75" customHeight="1">
      <c r="A66" s="12" t="str">
        <f t="shared" si="1"/>
        <v>(02) Comercial</v>
      </c>
      <c r="B66" s="12"/>
      <c r="C66" s="12"/>
      <c r="D66" s="13"/>
      <c r="E66" s="17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9"/>
      <c r="Q66" s="15">
        <f t="shared" si="2"/>
        <v>0</v>
      </c>
    </row>
    <row r="67" ht="15.75" customHeight="1">
      <c r="A67" s="12" t="str">
        <f t="shared" si="1"/>
        <v>(02) Comercial</v>
      </c>
      <c r="B67" s="12"/>
      <c r="C67" s="12"/>
      <c r="D67" s="13"/>
      <c r="E67" s="17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9"/>
      <c r="Q67" s="15">
        <f t="shared" si="2"/>
        <v>0</v>
      </c>
    </row>
    <row r="68" ht="15.75" customHeight="1">
      <c r="A68" s="12" t="str">
        <f t="shared" si="1"/>
        <v>(02) Comercial</v>
      </c>
      <c r="B68" s="12"/>
      <c r="C68" s="12"/>
      <c r="D68" s="13"/>
      <c r="E68" s="17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9"/>
      <c r="Q68" s="15">
        <f t="shared" si="2"/>
        <v>0</v>
      </c>
    </row>
    <row r="69" ht="15.75" customHeight="1">
      <c r="A69" s="12" t="str">
        <f t="shared" si="1"/>
        <v>(02) Comercial</v>
      </c>
      <c r="B69" s="12"/>
      <c r="C69" s="12"/>
      <c r="D69" s="13"/>
      <c r="E69" s="17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9"/>
      <c r="Q69" s="15">
        <f t="shared" si="2"/>
        <v>0</v>
      </c>
    </row>
    <row r="70" ht="15.75" customHeight="1">
      <c r="A70" s="12" t="str">
        <f t="shared" si="1"/>
        <v>(02) Comercial</v>
      </c>
      <c r="B70" s="12"/>
      <c r="C70" s="12"/>
      <c r="D70" s="13"/>
      <c r="E70" s="17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9"/>
      <c r="Q70" s="15">
        <f t="shared" si="2"/>
        <v>0</v>
      </c>
    </row>
    <row r="71" ht="15.75" customHeight="1">
      <c r="A71" s="12" t="str">
        <f t="shared" si="1"/>
        <v>(02) Comercial</v>
      </c>
      <c r="B71" s="12"/>
      <c r="C71" s="12"/>
      <c r="D71" s="13"/>
      <c r="E71" s="17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9"/>
      <c r="Q71" s="15">
        <f t="shared" si="2"/>
        <v>0</v>
      </c>
    </row>
    <row r="72" ht="15.75" customHeight="1">
      <c r="A72" s="12" t="str">
        <f t="shared" si="1"/>
        <v>(02) Comercial</v>
      </c>
      <c r="B72" s="12"/>
      <c r="C72" s="12"/>
      <c r="D72" s="13"/>
      <c r="E72" s="17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9"/>
      <c r="Q72" s="15">
        <f t="shared" si="2"/>
        <v>0</v>
      </c>
    </row>
    <row r="73" ht="15.75" customHeight="1">
      <c r="A73" s="12" t="str">
        <f t="shared" si="1"/>
        <v>(02) Comercial</v>
      </c>
      <c r="B73" s="12"/>
      <c r="C73" s="12"/>
      <c r="D73" s="13"/>
      <c r="E73" s="17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9"/>
      <c r="Q73" s="15">
        <f t="shared" si="2"/>
        <v>0</v>
      </c>
    </row>
    <row r="74" ht="15.75" customHeight="1">
      <c r="A74" s="12" t="str">
        <f t="shared" si="1"/>
        <v>(02) Comercial</v>
      </c>
      <c r="B74" s="12"/>
      <c r="C74" s="12"/>
      <c r="D74" s="13"/>
      <c r="E74" s="17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9"/>
      <c r="Q74" s="15">
        <f t="shared" si="2"/>
        <v>0</v>
      </c>
    </row>
    <row r="75" ht="15.75" customHeight="1">
      <c r="A75" s="12" t="str">
        <f t="shared" si="1"/>
        <v>(02) Comercial</v>
      </c>
      <c r="B75" s="12"/>
      <c r="C75" s="12"/>
      <c r="D75" s="13"/>
      <c r="E75" s="17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9"/>
      <c r="Q75" s="15">
        <f t="shared" si="2"/>
        <v>0</v>
      </c>
    </row>
    <row r="76" ht="15.75" customHeight="1">
      <c r="A76" s="12" t="str">
        <f t="shared" si="1"/>
        <v>(02) Comercial</v>
      </c>
      <c r="B76" s="12"/>
      <c r="C76" s="12"/>
      <c r="D76" s="13"/>
      <c r="E76" s="17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9"/>
      <c r="Q76" s="15">
        <f t="shared" si="2"/>
        <v>0</v>
      </c>
    </row>
    <row r="77" ht="15.75" customHeight="1">
      <c r="A77" s="12" t="str">
        <f t="shared" si="1"/>
        <v>(02) Comercial</v>
      </c>
      <c r="B77" s="12"/>
      <c r="C77" s="12"/>
      <c r="D77" s="13"/>
      <c r="E77" s="17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9"/>
      <c r="Q77" s="15">
        <f t="shared" si="2"/>
        <v>0</v>
      </c>
    </row>
    <row r="78" ht="15.75" customHeight="1">
      <c r="A78" s="12" t="str">
        <f t="shared" si="1"/>
        <v>(02) Comercial</v>
      </c>
      <c r="B78" s="12"/>
      <c r="C78" s="12"/>
      <c r="D78" s="13"/>
      <c r="E78" s="17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9"/>
      <c r="Q78" s="15">
        <f t="shared" si="2"/>
        <v>0</v>
      </c>
    </row>
    <row r="79" ht="15.75" customHeight="1">
      <c r="A79" s="12" t="str">
        <f t="shared" si="1"/>
        <v>(02) Comercial</v>
      </c>
      <c r="B79" s="12"/>
      <c r="C79" s="12"/>
      <c r="D79" s="13"/>
      <c r="E79" s="17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9"/>
      <c r="Q79" s="15">
        <f t="shared" si="2"/>
        <v>0</v>
      </c>
    </row>
    <row r="80" ht="15.75" customHeight="1">
      <c r="A80" s="12" t="str">
        <f t="shared" si="1"/>
        <v>(02) Comercial</v>
      </c>
      <c r="B80" s="12"/>
      <c r="C80" s="12"/>
      <c r="D80" s="13"/>
      <c r="E80" s="17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9"/>
      <c r="Q80" s="15">
        <f t="shared" si="2"/>
        <v>0</v>
      </c>
    </row>
    <row r="81" ht="15.75" customHeight="1">
      <c r="A81" s="12" t="str">
        <f t="shared" si="1"/>
        <v>(02) Comercial</v>
      </c>
      <c r="B81" s="12"/>
      <c r="C81" s="12"/>
      <c r="D81" s="13"/>
      <c r="E81" s="17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9"/>
      <c r="Q81" s="15">
        <f t="shared" si="2"/>
        <v>0</v>
      </c>
    </row>
    <row r="82" ht="15.75" customHeight="1">
      <c r="A82" s="12" t="str">
        <f t="shared" si="1"/>
        <v>(02) Comercial</v>
      </c>
      <c r="B82" s="12"/>
      <c r="C82" s="12"/>
      <c r="D82" s="13"/>
      <c r="E82" s="17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9"/>
      <c r="Q82" s="15">
        <f t="shared" si="2"/>
        <v>0</v>
      </c>
    </row>
    <row r="83" ht="15.75" customHeight="1">
      <c r="A83" s="12" t="str">
        <f t="shared" si="1"/>
        <v>(02) Comercial</v>
      </c>
      <c r="B83" s="12"/>
      <c r="C83" s="12"/>
      <c r="D83" s="13"/>
      <c r="E83" s="17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9"/>
      <c r="Q83" s="15">
        <f t="shared" si="2"/>
        <v>0</v>
      </c>
    </row>
    <row r="84" ht="15.75" customHeight="1">
      <c r="A84" s="12" t="str">
        <f t="shared" si="1"/>
        <v>(02) Comercial</v>
      </c>
      <c r="B84" s="12"/>
      <c r="C84" s="12"/>
      <c r="D84" s="13"/>
      <c r="E84" s="17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9"/>
      <c r="Q84" s="15">
        <f t="shared" si="2"/>
        <v>0</v>
      </c>
    </row>
    <row r="85" ht="15.75" customHeight="1">
      <c r="A85" s="12" t="str">
        <f t="shared" si="1"/>
        <v>(02) Comercial</v>
      </c>
      <c r="B85" s="12"/>
      <c r="C85" s="12"/>
      <c r="D85" s="13"/>
      <c r="E85" s="17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9"/>
      <c r="Q85" s="15">
        <f t="shared" si="2"/>
        <v>0</v>
      </c>
    </row>
    <row r="86" ht="15.75" customHeight="1">
      <c r="A86" s="12" t="str">
        <f t="shared" si="1"/>
        <v>(02) Comercial</v>
      </c>
      <c r="B86" s="12"/>
      <c r="C86" s="12"/>
      <c r="D86" s="13"/>
      <c r="E86" s="17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9"/>
      <c r="Q86" s="15">
        <f t="shared" si="2"/>
        <v>0</v>
      </c>
    </row>
    <row r="87" ht="15.75" customHeight="1">
      <c r="A87" s="12" t="str">
        <f t="shared" si="1"/>
        <v>(02) Comercial</v>
      </c>
      <c r="B87" s="12"/>
      <c r="C87" s="12"/>
      <c r="D87" s="13"/>
      <c r="E87" s="17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9"/>
      <c r="Q87" s="15">
        <f t="shared" si="2"/>
        <v>0</v>
      </c>
    </row>
    <row r="88" ht="15.75" customHeight="1">
      <c r="A88" s="12" t="str">
        <f t="shared" si="1"/>
        <v>(02) Comercial</v>
      </c>
      <c r="B88" s="12"/>
      <c r="C88" s="12"/>
      <c r="D88" s="13"/>
      <c r="E88" s="17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9"/>
      <c r="Q88" s="15">
        <f t="shared" si="2"/>
        <v>0</v>
      </c>
    </row>
    <row r="89" ht="15.75" customHeight="1">
      <c r="A89" s="12" t="str">
        <f t="shared" si="1"/>
        <v>(02) Comercial</v>
      </c>
      <c r="B89" s="12"/>
      <c r="C89" s="12"/>
      <c r="D89" s="13"/>
      <c r="E89" s="17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9"/>
      <c r="Q89" s="15">
        <f t="shared" si="2"/>
        <v>0</v>
      </c>
    </row>
    <row r="90" ht="15.75" customHeight="1">
      <c r="A90" s="12" t="str">
        <f t="shared" si="1"/>
        <v>(02) Comercial</v>
      </c>
      <c r="B90" s="12"/>
      <c r="C90" s="12"/>
      <c r="D90" s="13"/>
      <c r="E90" s="17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9"/>
      <c r="Q90" s="15">
        <f t="shared" si="2"/>
        <v>0</v>
      </c>
    </row>
    <row r="91" ht="15.75" customHeight="1">
      <c r="A91" s="12" t="str">
        <f t="shared" si="1"/>
        <v>(02) Comercial</v>
      </c>
      <c r="B91" s="12"/>
      <c r="C91" s="12"/>
      <c r="D91" s="13"/>
      <c r="E91" s="17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9"/>
      <c r="Q91" s="15">
        <f t="shared" si="2"/>
        <v>0</v>
      </c>
    </row>
    <row r="92" ht="15.75" customHeight="1">
      <c r="A92" s="12" t="str">
        <f t="shared" si="1"/>
        <v>(02) Comercial</v>
      </c>
      <c r="B92" s="12"/>
      <c r="C92" s="12"/>
      <c r="D92" s="13"/>
      <c r="E92" s="17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9"/>
      <c r="Q92" s="15">
        <f t="shared" si="2"/>
        <v>0</v>
      </c>
    </row>
    <row r="93" ht="15.75" customHeight="1">
      <c r="A93" s="12" t="str">
        <f t="shared" si="1"/>
        <v>(02) Comercial</v>
      </c>
      <c r="B93" s="12"/>
      <c r="C93" s="12"/>
      <c r="D93" s="13"/>
      <c r="E93" s="17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9"/>
      <c r="Q93" s="15">
        <f t="shared" si="2"/>
        <v>0</v>
      </c>
    </row>
    <row r="94" ht="15.75" customHeight="1">
      <c r="A94" s="12" t="str">
        <f t="shared" si="1"/>
        <v>(02) Comercial</v>
      </c>
      <c r="B94" s="12"/>
      <c r="C94" s="12"/>
      <c r="D94" s="13"/>
      <c r="E94" s="17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9"/>
      <c r="Q94" s="15">
        <f t="shared" si="2"/>
        <v>0</v>
      </c>
    </row>
    <row r="95" ht="15.75" customHeight="1">
      <c r="A95" s="12" t="str">
        <f t="shared" si="1"/>
        <v>(02) Comercial</v>
      </c>
      <c r="B95" s="12"/>
      <c r="C95" s="12"/>
      <c r="D95" s="13"/>
      <c r="E95" s="17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9"/>
      <c r="Q95" s="15">
        <f t="shared" si="2"/>
        <v>0</v>
      </c>
    </row>
    <row r="96" ht="15.75" customHeight="1">
      <c r="A96" s="12" t="str">
        <f t="shared" si="1"/>
        <v>(02) Comercial</v>
      </c>
      <c r="B96" s="12"/>
      <c r="C96" s="12"/>
      <c r="D96" s="13"/>
      <c r="E96" s="17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9"/>
      <c r="Q96" s="15">
        <f t="shared" si="2"/>
        <v>0</v>
      </c>
    </row>
    <row r="97" ht="15.75" customHeight="1">
      <c r="A97" s="12" t="str">
        <f t="shared" si="1"/>
        <v>(02) Comercial</v>
      </c>
      <c r="B97" s="12"/>
      <c r="C97" s="12"/>
      <c r="D97" s="13"/>
      <c r="E97" s="17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9"/>
      <c r="Q97" s="15">
        <f t="shared" si="2"/>
        <v>0</v>
      </c>
    </row>
    <row r="98" ht="15.75" customHeight="1">
      <c r="A98" s="12" t="str">
        <f t="shared" si="1"/>
        <v>(02) Comercial</v>
      </c>
      <c r="B98" s="12"/>
      <c r="C98" s="12"/>
      <c r="D98" s="13"/>
      <c r="E98" s="17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9"/>
      <c r="Q98" s="15">
        <f t="shared" si="2"/>
        <v>0</v>
      </c>
    </row>
    <row r="99" ht="15.75" customHeight="1">
      <c r="A99" s="12" t="str">
        <f t="shared" si="1"/>
        <v>(02) Comercial</v>
      </c>
      <c r="B99" s="12"/>
      <c r="C99" s="12"/>
      <c r="D99" s="13"/>
      <c r="E99" s="17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9"/>
      <c r="Q99" s="15">
        <f t="shared" si="2"/>
        <v>0</v>
      </c>
    </row>
    <row r="100" ht="15.75" customHeight="1">
      <c r="A100" s="12" t="str">
        <f t="shared" si="1"/>
        <v>(02) Comercial</v>
      </c>
      <c r="B100" s="12"/>
      <c r="C100" s="12"/>
      <c r="D100" s="13"/>
      <c r="E100" s="17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9"/>
      <c r="Q100" s="15">
        <f t="shared" si="2"/>
        <v>0</v>
      </c>
    </row>
    <row r="101" ht="15.75" customHeight="1">
      <c r="A101" s="12" t="str">
        <f t="shared" si="1"/>
        <v>(02) Comercial</v>
      </c>
      <c r="B101" s="12"/>
      <c r="C101" s="12"/>
      <c r="D101" s="13"/>
      <c r="E101" s="17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9"/>
      <c r="Q101" s="15">
        <f t="shared" si="2"/>
        <v>0</v>
      </c>
    </row>
    <row r="102" ht="15.75" customHeight="1">
      <c r="A102" s="12" t="str">
        <f t="shared" si="1"/>
        <v>(02) Comercial</v>
      </c>
      <c r="B102" s="12"/>
      <c r="C102" s="12"/>
      <c r="D102" s="13"/>
      <c r="E102" s="17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9"/>
      <c r="Q102" s="15">
        <f t="shared" si="2"/>
        <v>0</v>
      </c>
    </row>
    <row r="103" ht="15.75" customHeight="1">
      <c r="A103" s="12" t="str">
        <f t="shared" si="1"/>
        <v>(02) Comercial</v>
      </c>
      <c r="B103" s="12"/>
      <c r="C103" s="12"/>
      <c r="D103" s="13"/>
      <c r="E103" s="17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9"/>
      <c r="Q103" s="15">
        <f t="shared" si="2"/>
        <v>0</v>
      </c>
    </row>
    <row r="104" ht="15.75" customHeight="1">
      <c r="A104" s="12" t="str">
        <f t="shared" si="1"/>
        <v>(02) Comercial</v>
      </c>
      <c r="B104" s="12"/>
      <c r="C104" s="12"/>
      <c r="D104" s="13"/>
      <c r="E104" s="17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9"/>
      <c r="Q104" s="15">
        <f t="shared" si="2"/>
        <v>0</v>
      </c>
    </row>
    <row r="105" ht="15.75" customHeight="1">
      <c r="A105" s="12" t="str">
        <f t="shared" si="1"/>
        <v>(02) Comercial</v>
      </c>
      <c r="B105" s="12"/>
      <c r="C105" s="12"/>
      <c r="D105" s="13"/>
      <c r="E105" s="17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9"/>
      <c r="Q105" s="15">
        <f t="shared" si="2"/>
        <v>0</v>
      </c>
    </row>
    <row r="106" ht="15.75" customHeight="1">
      <c r="A106" s="12" t="str">
        <f t="shared" si="1"/>
        <v>(02) Comercial</v>
      </c>
      <c r="B106" s="12"/>
      <c r="C106" s="12"/>
      <c r="D106" s="13"/>
      <c r="E106" s="17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9"/>
      <c r="Q106" s="15">
        <f t="shared" si="2"/>
        <v>0</v>
      </c>
    </row>
    <row r="107" ht="15.75" customHeight="1">
      <c r="A107" s="12" t="str">
        <f t="shared" si="1"/>
        <v>(02) Comercial</v>
      </c>
      <c r="B107" s="12"/>
      <c r="C107" s="12"/>
      <c r="D107" s="13"/>
      <c r="E107" s="17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9"/>
      <c r="Q107" s="15">
        <f t="shared" si="2"/>
        <v>0</v>
      </c>
    </row>
    <row r="108" ht="15.75" customHeight="1">
      <c r="A108" s="12" t="str">
        <f t="shared" si="1"/>
        <v>(02) Comercial</v>
      </c>
      <c r="B108" s="12"/>
      <c r="C108" s="12"/>
      <c r="D108" s="13"/>
      <c r="E108" s="17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9"/>
      <c r="Q108" s="15">
        <f t="shared" si="2"/>
        <v>0</v>
      </c>
    </row>
    <row r="109" ht="15.75" customHeight="1">
      <c r="A109" s="12" t="str">
        <f t="shared" si="1"/>
        <v>(02) Comercial</v>
      </c>
      <c r="B109" s="12"/>
      <c r="C109" s="12"/>
      <c r="D109" s="13"/>
      <c r="E109" s="17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9"/>
      <c r="Q109" s="15">
        <f t="shared" si="2"/>
        <v>0</v>
      </c>
    </row>
    <row r="110" ht="15.75" customHeight="1">
      <c r="A110" s="12" t="str">
        <f t="shared" si="1"/>
        <v>(02) Comercial</v>
      </c>
      <c r="B110" s="12"/>
      <c r="C110" s="12"/>
      <c r="D110" s="13"/>
      <c r="E110" s="17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9"/>
      <c r="Q110" s="15">
        <f t="shared" si="2"/>
        <v>0</v>
      </c>
    </row>
    <row r="111" ht="15.75" customHeight="1">
      <c r="A111" s="12" t="str">
        <f t="shared" si="1"/>
        <v>(02) Comercial</v>
      </c>
      <c r="B111" s="12"/>
      <c r="C111" s="12"/>
      <c r="D111" s="13"/>
      <c r="E111" s="17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9"/>
      <c r="Q111" s="15">
        <f t="shared" si="2"/>
        <v>0</v>
      </c>
    </row>
    <row r="112" ht="15.75" customHeight="1">
      <c r="A112" s="12" t="str">
        <f t="shared" si="1"/>
        <v>(02) Comercial</v>
      </c>
      <c r="B112" s="12"/>
      <c r="C112" s="12"/>
      <c r="D112" s="13"/>
      <c r="E112" s="17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9"/>
      <c r="Q112" s="15">
        <f t="shared" si="2"/>
        <v>0</v>
      </c>
    </row>
    <row r="113" ht="15.75" customHeight="1">
      <c r="A113" s="12" t="str">
        <f t="shared" si="1"/>
        <v>(02) Comercial</v>
      </c>
      <c r="B113" s="12"/>
      <c r="C113" s="12"/>
      <c r="D113" s="13"/>
      <c r="E113" s="17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9"/>
      <c r="Q113" s="15">
        <f t="shared" si="2"/>
        <v>0</v>
      </c>
    </row>
    <row r="114" ht="15.75" customHeight="1">
      <c r="A114" s="12" t="str">
        <f t="shared" si="1"/>
        <v>(02) Comercial</v>
      </c>
      <c r="B114" s="12"/>
      <c r="C114" s="12"/>
      <c r="D114" s="13"/>
      <c r="E114" s="17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9"/>
      <c r="Q114" s="15">
        <f t="shared" si="2"/>
        <v>0</v>
      </c>
    </row>
    <row r="115" ht="15.75" customHeight="1">
      <c r="A115" s="12" t="str">
        <f t="shared" si="1"/>
        <v>(02) Comercial</v>
      </c>
      <c r="B115" s="12"/>
      <c r="C115" s="12"/>
      <c r="D115" s="13"/>
      <c r="E115" s="17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9"/>
      <c r="Q115" s="15">
        <f t="shared" si="2"/>
        <v>0</v>
      </c>
    </row>
    <row r="116" ht="15.75" customHeight="1">
      <c r="A116" s="12" t="str">
        <f t="shared" si="1"/>
        <v>(02) Comercial</v>
      </c>
      <c r="B116" s="12"/>
      <c r="C116" s="12"/>
      <c r="D116" s="13"/>
      <c r="E116" s="17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9"/>
      <c r="Q116" s="15">
        <f t="shared" si="2"/>
        <v>0</v>
      </c>
    </row>
    <row r="117" ht="15.75" customHeight="1">
      <c r="A117" s="12" t="str">
        <f t="shared" si="1"/>
        <v>(02) Comercial</v>
      </c>
      <c r="B117" s="12"/>
      <c r="C117" s="12"/>
      <c r="D117" s="13"/>
      <c r="E117" s="17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9"/>
      <c r="Q117" s="15">
        <f t="shared" si="2"/>
        <v>0</v>
      </c>
    </row>
    <row r="118" ht="15.75" customHeight="1">
      <c r="A118" s="12" t="str">
        <f t="shared" si="1"/>
        <v>(02) Comercial</v>
      </c>
      <c r="B118" s="12"/>
      <c r="C118" s="12"/>
      <c r="D118" s="13"/>
      <c r="E118" s="17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9"/>
      <c r="Q118" s="15">
        <f t="shared" si="2"/>
        <v>0</v>
      </c>
    </row>
    <row r="119" ht="15.75" customHeight="1">
      <c r="A119" s="12" t="str">
        <f t="shared" si="1"/>
        <v>(02) Comercial</v>
      </c>
      <c r="B119" s="12"/>
      <c r="C119" s="12"/>
      <c r="D119" s="13"/>
      <c r="E119" s="17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9"/>
      <c r="Q119" s="15">
        <f t="shared" si="2"/>
        <v>0</v>
      </c>
    </row>
    <row r="120" ht="15.75" customHeight="1">
      <c r="A120" s="12" t="str">
        <f t="shared" si="1"/>
        <v>(02) Comercial</v>
      </c>
      <c r="B120" s="12"/>
      <c r="C120" s="12"/>
      <c r="D120" s="13"/>
      <c r="E120" s="17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9"/>
      <c r="Q120" s="15">
        <f t="shared" si="2"/>
        <v>0</v>
      </c>
    </row>
    <row r="121" ht="15.75" customHeight="1">
      <c r="A121" s="12" t="str">
        <f t="shared" si="1"/>
        <v>(02) Comercial</v>
      </c>
      <c r="B121" s="12"/>
      <c r="C121" s="12"/>
      <c r="D121" s="13"/>
      <c r="E121" s="17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9"/>
      <c r="Q121" s="15">
        <f t="shared" si="2"/>
        <v>0</v>
      </c>
    </row>
    <row r="122" ht="15.75" customHeight="1">
      <c r="A122" s="12" t="str">
        <f t="shared" si="1"/>
        <v>(02) Comercial</v>
      </c>
      <c r="B122" s="12"/>
      <c r="C122" s="12"/>
      <c r="D122" s="13"/>
      <c r="E122" s="17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9"/>
      <c r="Q122" s="15">
        <f t="shared" si="2"/>
        <v>0</v>
      </c>
    </row>
    <row r="123" ht="15.75" customHeight="1">
      <c r="A123" s="12" t="str">
        <f t="shared" si="1"/>
        <v>(02) Comercial</v>
      </c>
      <c r="B123" s="12"/>
      <c r="C123" s="12"/>
      <c r="D123" s="13"/>
      <c r="E123" s="17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9"/>
      <c r="Q123" s="15">
        <f t="shared" si="2"/>
        <v>0</v>
      </c>
    </row>
    <row r="124" ht="15.75" customHeight="1">
      <c r="A124" s="12" t="str">
        <f t="shared" si="1"/>
        <v>(02) Comercial</v>
      </c>
      <c r="B124" s="12"/>
      <c r="C124" s="12"/>
      <c r="D124" s="13"/>
      <c r="E124" s="17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9"/>
      <c r="Q124" s="15">
        <f t="shared" si="2"/>
        <v>0</v>
      </c>
    </row>
    <row r="125" ht="15.75" customHeight="1">
      <c r="A125" s="12" t="str">
        <f t="shared" si="1"/>
        <v>(02) Comercial</v>
      </c>
      <c r="B125" s="12"/>
      <c r="C125" s="12"/>
      <c r="D125" s="13"/>
      <c r="E125" s="17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9"/>
      <c r="Q125" s="15">
        <f t="shared" si="2"/>
        <v>0</v>
      </c>
    </row>
    <row r="126" ht="15.75" customHeight="1">
      <c r="A126" s="12" t="str">
        <f t="shared" si="1"/>
        <v>(02) Comercial</v>
      </c>
      <c r="B126" s="12"/>
      <c r="C126" s="12"/>
      <c r="D126" s="13"/>
      <c r="E126" s="17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9"/>
      <c r="Q126" s="15">
        <f t="shared" si="2"/>
        <v>0</v>
      </c>
    </row>
    <row r="127" ht="15.75" customHeight="1">
      <c r="A127" s="12" t="str">
        <f t="shared" si="1"/>
        <v>(02) Comercial</v>
      </c>
      <c r="B127" s="12"/>
      <c r="C127" s="12"/>
      <c r="D127" s="13"/>
      <c r="E127" s="17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9"/>
      <c r="Q127" s="15">
        <f t="shared" si="2"/>
        <v>0</v>
      </c>
    </row>
    <row r="128" ht="15.75" customHeight="1">
      <c r="A128" s="12" t="str">
        <f t="shared" si="1"/>
        <v>(02) Comercial</v>
      </c>
      <c r="B128" s="12"/>
      <c r="C128" s="12"/>
      <c r="D128" s="13"/>
      <c r="E128" s="1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9"/>
      <c r="Q128" s="15">
        <f t="shared" si="2"/>
        <v>0</v>
      </c>
    </row>
    <row r="129" ht="15.75" customHeight="1">
      <c r="A129" s="12" t="str">
        <f t="shared" si="1"/>
        <v>(02) Comercial</v>
      </c>
      <c r="B129" s="12"/>
      <c r="C129" s="12"/>
      <c r="D129" s="13"/>
      <c r="E129" s="17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9"/>
      <c r="Q129" s="15">
        <f t="shared" si="2"/>
        <v>0</v>
      </c>
    </row>
    <row r="130" ht="15.75" customHeight="1">
      <c r="A130" s="12" t="str">
        <f t="shared" si="1"/>
        <v>(02) Comercial</v>
      </c>
      <c r="B130" s="12"/>
      <c r="C130" s="12"/>
      <c r="D130" s="13"/>
      <c r="E130" s="17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9"/>
      <c r="Q130" s="15">
        <f t="shared" si="2"/>
        <v>0</v>
      </c>
    </row>
    <row r="131" ht="15.75" customHeight="1">
      <c r="A131" s="12" t="str">
        <f t="shared" si="1"/>
        <v>(02) Comercial</v>
      </c>
      <c r="B131" s="12"/>
      <c r="C131" s="12"/>
      <c r="D131" s="13"/>
      <c r="E131" s="17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9"/>
      <c r="Q131" s="15">
        <f t="shared" si="2"/>
        <v>0</v>
      </c>
    </row>
    <row r="132" ht="15.75" customHeight="1">
      <c r="A132" s="12" t="str">
        <f t="shared" si="1"/>
        <v>(02) Comercial</v>
      </c>
      <c r="B132" s="12"/>
      <c r="C132" s="12"/>
      <c r="D132" s="13"/>
      <c r="E132" s="17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9"/>
      <c r="Q132" s="15">
        <f t="shared" si="2"/>
        <v>0</v>
      </c>
    </row>
    <row r="133" ht="15.75" customHeight="1">
      <c r="A133" s="12" t="str">
        <f t="shared" si="1"/>
        <v>(02) Comercial</v>
      </c>
      <c r="B133" s="12"/>
      <c r="C133" s="12"/>
      <c r="D133" s="13"/>
      <c r="E133" s="17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9"/>
      <c r="Q133" s="15">
        <f t="shared" si="2"/>
        <v>0</v>
      </c>
    </row>
    <row r="134" ht="15.75" customHeight="1">
      <c r="A134" s="12" t="str">
        <f t="shared" si="1"/>
        <v>(02) Comercial</v>
      </c>
      <c r="B134" s="12"/>
      <c r="C134" s="12"/>
      <c r="D134" s="13"/>
      <c r="E134" s="17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9"/>
      <c r="Q134" s="15">
        <f t="shared" si="2"/>
        <v>0</v>
      </c>
    </row>
    <row r="135" ht="15.75" customHeight="1">
      <c r="A135" s="12" t="str">
        <f t="shared" si="1"/>
        <v>(02) Comercial</v>
      </c>
      <c r="B135" s="12"/>
      <c r="C135" s="12"/>
      <c r="D135" s="13"/>
      <c r="E135" s="17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9"/>
      <c r="Q135" s="15">
        <f t="shared" si="2"/>
        <v>0</v>
      </c>
    </row>
    <row r="136" ht="15.75" customHeight="1">
      <c r="A136" s="12" t="str">
        <f t="shared" si="1"/>
        <v>(02) Comercial</v>
      </c>
      <c r="B136" s="12"/>
      <c r="C136" s="12"/>
      <c r="D136" s="13"/>
      <c r="E136" s="17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9"/>
      <c r="Q136" s="15">
        <f t="shared" si="2"/>
        <v>0</v>
      </c>
    </row>
    <row r="137" ht="15.75" customHeight="1">
      <c r="A137" s="12" t="str">
        <f t="shared" si="1"/>
        <v>(02) Comercial</v>
      </c>
      <c r="B137" s="12"/>
      <c r="C137" s="12"/>
      <c r="D137" s="13"/>
      <c r="E137" s="17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9"/>
      <c r="Q137" s="15">
        <f t="shared" si="2"/>
        <v>0</v>
      </c>
    </row>
    <row r="138" ht="15.75" customHeight="1">
      <c r="A138" s="12" t="str">
        <f t="shared" si="1"/>
        <v>(02) Comercial</v>
      </c>
      <c r="B138" s="12"/>
      <c r="C138" s="12"/>
      <c r="D138" s="13"/>
      <c r="E138" s="17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9"/>
      <c r="Q138" s="15">
        <f t="shared" si="2"/>
        <v>0</v>
      </c>
    </row>
    <row r="139" ht="15.75" customHeight="1">
      <c r="A139" s="12" t="str">
        <f t="shared" si="1"/>
        <v>(02) Comercial</v>
      </c>
      <c r="B139" s="12"/>
      <c r="C139" s="12"/>
      <c r="D139" s="13"/>
      <c r="E139" s="17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9"/>
      <c r="Q139" s="15">
        <f t="shared" si="2"/>
        <v>0</v>
      </c>
    </row>
    <row r="140" ht="15.75" customHeight="1">
      <c r="A140" s="12" t="str">
        <f t="shared" si="1"/>
        <v>(02) Comercial</v>
      </c>
      <c r="B140" s="12"/>
      <c r="C140" s="12"/>
      <c r="D140" s="13"/>
      <c r="E140" s="17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9"/>
      <c r="Q140" s="15">
        <f t="shared" si="2"/>
        <v>0</v>
      </c>
    </row>
    <row r="141" ht="15.75" customHeight="1">
      <c r="A141" s="12" t="str">
        <f t="shared" si="1"/>
        <v>(02) Comercial</v>
      </c>
      <c r="B141" s="12"/>
      <c r="C141" s="12"/>
      <c r="D141" s="13"/>
      <c r="E141" s="17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9"/>
      <c r="Q141" s="15">
        <f t="shared" si="2"/>
        <v>0</v>
      </c>
    </row>
    <row r="142" ht="15.75" customHeight="1">
      <c r="A142" s="12" t="str">
        <f t="shared" si="1"/>
        <v>(02) Comercial</v>
      </c>
      <c r="B142" s="12"/>
      <c r="C142" s="12"/>
      <c r="D142" s="13"/>
      <c r="E142" s="17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9"/>
      <c r="Q142" s="15">
        <f t="shared" si="2"/>
        <v>0</v>
      </c>
    </row>
    <row r="143" ht="15.75" customHeight="1">
      <c r="A143" s="12" t="str">
        <f t="shared" si="1"/>
        <v>(02) Comercial</v>
      </c>
      <c r="B143" s="12"/>
      <c r="C143" s="12"/>
      <c r="D143" s="13"/>
      <c r="E143" s="17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9"/>
      <c r="Q143" s="15">
        <f t="shared" si="2"/>
        <v>0</v>
      </c>
    </row>
    <row r="144" ht="15.75" customHeight="1">
      <c r="A144" s="12" t="str">
        <f t="shared" si="1"/>
        <v>(02) Comercial</v>
      </c>
      <c r="B144" s="12"/>
      <c r="C144" s="12"/>
      <c r="D144" s="13"/>
      <c r="E144" s="17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9"/>
      <c r="Q144" s="15">
        <f t="shared" si="2"/>
        <v>0</v>
      </c>
    </row>
    <row r="145" ht="15.75" customHeight="1">
      <c r="A145" s="12" t="str">
        <f t="shared" si="1"/>
        <v>(02) Comercial</v>
      </c>
      <c r="B145" s="12"/>
      <c r="C145" s="12"/>
      <c r="D145" s="13"/>
      <c r="E145" s="17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9"/>
      <c r="Q145" s="15">
        <f t="shared" si="2"/>
        <v>0</v>
      </c>
    </row>
    <row r="146" ht="15.75" customHeight="1">
      <c r="A146" s="12" t="str">
        <f t="shared" si="1"/>
        <v>(02) Comercial</v>
      </c>
      <c r="B146" s="12"/>
      <c r="C146" s="12"/>
      <c r="D146" s="13"/>
      <c r="E146" s="17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9"/>
      <c r="Q146" s="15">
        <f t="shared" si="2"/>
        <v>0</v>
      </c>
    </row>
    <row r="147" ht="15.75" customHeight="1">
      <c r="A147" s="12" t="str">
        <f t="shared" si="1"/>
        <v>(02) Comercial</v>
      </c>
      <c r="B147" s="12"/>
      <c r="C147" s="12"/>
      <c r="D147" s="13"/>
      <c r="E147" s="17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9"/>
      <c r="Q147" s="15">
        <f t="shared" si="2"/>
        <v>0</v>
      </c>
    </row>
    <row r="148" ht="15.75" customHeight="1">
      <c r="A148" s="12" t="str">
        <f t="shared" si="1"/>
        <v>(02) Comercial</v>
      </c>
      <c r="B148" s="12"/>
      <c r="C148" s="12"/>
      <c r="D148" s="13"/>
      <c r="E148" s="17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9"/>
      <c r="Q148" s="15">
        <f t="shared" si="2"/>
        <v>0</v>
      </c>
    </row>
    <row r="149" ht="15.75" customHeight="1">
      <c r="A149" s="12" t="str">
        <f t="shared" si="1"/>
        <v>(02) Comercial</v>
      </c>
      <c r="B149" s="12"/>
      <c r="C149" s="12"/>
      <c r="D149" s="13"/>
      <c r="E149" s="17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9"/>
      <c r="Q149" s="15">
        <f t="shared" si="2"/>
        <v>0</v>
      </c>
    </row>
    <row r="150" ht="15.75" customHeight="1">
      <c r="A150" s="12" t="str">
        <f t="shared" si="1"/>
        <v>(02) Comercial</v>
      </c>
      <c r="B150" s="12"/>
      <c r="C150" s="12"/>
      <c r="D150" s="13"/>
      <c r="E150" s="17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9"/>
      <c r="Q150" s="15">
        <f t="shared" si="2"/>
        <v>0</v>
      </c>
    </row>
    <row r="151" ht="15.75" customHeight="1">
      <c r="A151" s="12" t="str">
        <f t="shared" si="1"/>
        <v>(02) Comercial</v>
      </c>
      <c r="B151" s="12"/>
      <c r="C151" s="12"/>
      <c r="D151" s="13"/>
      <c r="E151" s="17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9"/>
      <c r="Q151" s="15">
        <f t="shared" si="2"/>
        <v>0</v>
      </c>
    </row>
    <row r="152" ht="15.75" customHeight="1">
      <c r="A152" s="12" t="str">
        <f t="shared" si="1"/>
        <v>(02) Comercial</v>
      </c>
      <c r="B152" s="12"/>
      <c r="C152" s="12"/>
      <c r="D152" s="13"/>
      <c r="E152" s="1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9"/>
      <c r="Q152" s="15">
        <f t="shared" si="2"/>
        <v>0</v>
      </c>
    </row>
    <row r="153" ht="15.75" customHeight="1">
      <c r="A153" s="12" t="str">
        <f t="shared" si="1"/>
        <v>(02) Comercial</v>
      </c>
      <c r="B153" s="12"/>
      <c r="C153" s="12"/>
      <c r="D153" s="13"/>
      <c r="E153" s="17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9"/>
      <c r="Q153" s="15">
        <f t="shared" si="2"/>
        <v>0</v>
      </c>
    </row>
    <row r="154" ht="15.75" customHeight="1">
      <c r="A154" s="12" t="str">
        <f t="shared" si="1"/>
        <v>(02) Comercial</v>
      </c>
      <c r="B154" s="12"/>
      <c r="C154" s="12"/>
      <c r="D154" s="13"/>
      <c r="E154" s="17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9"/>
      <c r="Q154" s="15">
        <f t="shared" si="2"/>
        <v>0</v>
      </c>
    </row>
    <row r="155" ht="15.75" customHeight="1">
      <c r="A155" s="12" t="str">
        <f t="shared" si="1"/>
        <v>(02) Comercial</v>
      </c>
      <c r="B155" s="12"/>
      <c r="C155" s="12"/>
      <c r="D155" s="13"/>
      <c r="E155" s="17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9"/>
      <c r="Q155" s="15">
        <f t="shared" si="2"/>
        <v>0</v>
      </c>
    </row>
    <row r="156" ht="15.75" customHeight="1">
      <c r="A156" s="12" t="str">
        <f t="shared" si="1"/>
        <v>(02) Comercial</v>
      </c>
      <c r="B156" s="12"/>
      <c r="C156" s="12"/>
      <c r="D156" s="13"/>
      <c r="E156" s="17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9"/>
      <c r="Q156" s="15">
        <f t="shared" si="2"/>
        <v>0</v>
      </c>
    </row>
    <row r="157" ht="15.75" customHeight="1">
      <c r="A157" s="12" t="str">
        <f t="shared" si="1"/>
        <v>(02) Comercial</v>
      </c>
      <c r="B157" s="12"/>
      <c r="C157" s="12"/>
      <c r="D157" s="13"/>
      <c r="E157" s="17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9"/>
      <c r="Q157" s="15">
        <f t="shared" si="2"/>
        <v>0</v>
      </c>
    </row>
    <row r="158" ht="15.75" customHeight="1">
      <c r="A158" s="12" t="str">
        <f t="shared" si="1"/>
        <v>(02) Comercial</v>
      </c>
      <c r="B158" s="12"/>
      <c r="C158" s="12"/>
      <c r="D158" s="13"/>
      <c r="E158" s="17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9"/>
      <c r="Q158" s="15">
        <f t="shared" si="2"/>
        <v>0</v>
      </c>
    </row>
    <row r="159" ht="15.75" customHeight="1">
      <c r="A159" s="12" t="str">
        <f t="shared" si="1"/>
        <v>(02) Comercial</v>
      </c>
      <c r="B159" s="12"/>
      <c r="C159" s="12"/>
      <c r="D159" s="13"/>
      <c r="E159" s="17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9"/>
      <c r="Q159" s="15">
        <f t="shared" si="2"/>
        <v>0</v>
      </c>
    </row>
    <row r="160" ht="15.75" customHeight="1">
      <c r="A160" s="12" t="str">
        <f t="shared" si="1"/>
        <v>(02) Comercial</v>
      </c>
      <c r="B160" s="12"/>
      <c r="C160" s="12"/>
      <c r="D160" s="13"/>
      <c r="E160" s="17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9"/>
      <c r="Q160" s="15">
        <f t="shared" si="2"/>
        <v>0</v>
      </c>
    </row>
    <row r="161" ht="15.75" customHeight="1">
      <c r="A161" s="12" t="str">
        <f t="shared" si="1"/>
        <v>(02) Comercial</v>
      </c>
      <c r="B161" s="12"/>
      <c r="C161" s="12"/>
      <c r="D161" s="13"/>
      <c r="E161" s="17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9"/>
      <c r="Q161" s="15">
        <f t="shared" si="2"/>
        <v>0</v>
      </c>
    </row>
    <row r="162" ht="15.75" customHeight="1">
      <c r="A162" s="12" t="str">
        <f t="shared" si="1"/>
        <v>(02) Comercial</v>
      </c>
      <c r="B162" s="12"/>
      <c r="C162" s="12"/>
      <c r="D162" s="13"/>
      <c r="E162" s="17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9"/>
      <c r="Q162" s="15">
        <f t="shared" si="2"/>
        <v>0</v>
      </c>
    </row>
    <row r="163" ht="15.75" customHeight="1">
      <c r="A163" s="12" t="str">
        <f t="shared" si="1"/>
        <v>(02) Comercial</v>
      </c>
      <c r="B163" s="12"/>
      <c r="C163" s="12"/>
      <c r="D163" s="13"/>
      <c r="E163" s="17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9"/>
      <c r="Q163" s="15">
        <f t="shared" si="2"/>
        <v>0</v>
      </c>
    </row>
    <row r="164" ht="15.75" customHeight="1">
      <c r="A164" s="12" t="str">
        <f t="shared" si="1"/>
        <v>(02) Comercial</v>
      </c>
      <c r="B164" s="12"/>
      <c r="C164" s="12"/>
      <c r="D164" s="13"/>
      <c r="E164" s="17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9"/>
      <c r="Q164" s="15">
        <f t="shared" si="2"/>
        <v>0</v>
      </c>
    </row>
    <row r="165" ht="15.75" customHeight="1">
      <c r="A165" s="12" t="str">
        <f t="shared" si="1"/>
        <v>(02) Comercial</v>
      </c>
      <c r="B165" s="12"/>
      <c r="C165" s="12"/>
      <c r="D165" s="13"/>
      <c r="E165" s="17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9"/>
      <c r="Q165" s="15">
        <f t="shared" si="2"/>
        <v>0</v>
      </c>
    </row>
    <row r="166" ht="15.75" customHeight="1">
      <c r="A166" s="12" t="str">
        <f t="shared" si="1"/>
        <v>(02) Comercial</v>
      </c>
      <c r="B166" s="12"/>
      <c r="C166" s="12"/>
      <c r="D166" s="13"/>
      <c r="E166" s="17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9"/>
      <c r="Q166" s="15">
        <f t="shared" si="2"/>
        <v>0</v>
      </c>
    </row>
    <row r="167" ht="15.75" customHeight="1">
      <c r="A167" s="12" t="str">
        <f t="shared" si="1"/>
        <v>(02) Comercial</v>
      </c>
      <c r="B167" s="12"/>
      <c r="C167" s="12"/>
      <c r="D167" s="13"/>
      <c r="E167" s="17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9"/>
      <c r="Q167" s="15">
        <f t="shared" si="2"/>
        <v>0</v>
      </c>
    </row>
    <row r="168" ht="15.75" customHeight="1">
      <c r="A168" s="12" t="str">
        <f t="shared" si="1"/>
        <v>(02) Comercial</v>
      </c>
      <c r="B168" s="12"/>
      <c r="C168" s="12"/>
      <c r="D168" s="13"/>
      <c r="E168" s="17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9"/>
      <c r="Q168" s="15">
        <f t="shared" si="2"/>
        <v>0</v>
      </c>
    </row>
    <row r="169" ht="15.75" customHeight="1">
      <c r="A169" s="12" t="str">
        <f t="shared" si="1"/>
        <v>(02) Comercial</v>
      </c>
      <c r="B169" s="12"/>
      <c r="C169" s="12"/>
      <c r="D169" s="13"/>
      <c r="E169" s="17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9"/>
      <c r="Q169" s="15">
        <f t="shared" si="2"/>
        <v>0</v>
      </c>
    </row>
    <row r="170" ht="15.75" customHeight="1">
      <c r="A170" s="12" t="str">
        <f t="shared" si="1"/>
        <v>(02) Comercial</v>
      </c>
      <c r="B170" s="12"/>
      <c r="C170" s="12"/>
      <c r="D170" s="13"/>
      <c r="E170" s="17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9"/>
      <c r="Q170" s="15">
        <f t="shared" si="2"/>
        <v>0</v>
      </c>
    </row>
    <row r="171" ht="15.75" customHeight="1">
      <c r="A171" s="12" t="str">
        <f t="shared" si="1"/>
        <v>(02) Comercial</v>
      </c>
      <c r="B171" s="12"/>
      <c r="C171" s="12"/>
      <c r="D171" s="13"/>
      <c r="E171" s="17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9"/>
      <c r="Q171" s="15">
        <f t="shared" si="2"/>
        <v>0</v>
      </c>
    </row>
    <row r="172" ht="15.75" customHeight="1">
      <c r="A172" s="12" t="str">
        <f t="shared" si="1"/>
        <v>(02) Comercial</v>
      </c>
      <c r="B172" s="12"/>
      <c r="C172" s="12"/>
      <c r="D172" s="13"/>
      <c r="E172" s="17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9"/>
      <c r="Q172" s="15">
        <f t="shared" si="2"/>
        <v>0</v>
      </c>
    </row>
    <row r="173" ht="15.75" customHeight="1">
      <c r="A173" s="12" t="str">
        <f t="shared" si="1"/>
        <v>(02) Comercial</v>
      </c>
      <c r="B173" s="12"/>
      <c r="C173" s="12"/>
      <c r="D173" s="13"/>
      <c r="E173" s="17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9"/>
      <c r="Q173" s="15">
        <f t="shared" si="2"/>
        <v>0</v>
      </c>
    </row>
    <row r="174" ht="15.75" customHeight="1">
      <c r="A174" s="12" t="str">
        <f t="shared" si="1"/>
        <v>(02) Comercial</v>
      </c>
      <c r="B174" s="12"/>
      <c r="C174" s="12"/>
      <c r="D174" s="13"/>
      <c r="E174" s="17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9"/>
      <c r="Q174" s="15">
        <f t="shared" si="2"/>
        <v>0</v>
      </c>
    </row>
    <row r="175" ht="15.75" customHeight="1">
      <c r="A175" s="12" t="str">
        <f t="shared" si="1"/>
        <v>(02) Comercial</v>
      </c>
      <c r="B175" s="12"/>
      <c r="C175" s="12"/>
      <c r="D175" s="13"/>
      <c r="E175" s="17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9"/>
      <c r="Q175" s="15">
        <f t="shared" si="2"/>
        <v>0</v>
      </c>
    </row>
    <row r="176" ht="15.75" customHeight="1">
      <c r="A176" s="12" t="str">
        <f t="shared" si="1"/>
        <v>(02) Comercial</v>
      </c>
      <c r="B176" s="12"/>
      <c r="C176" s="12"/>
      <c r="D176" s="13"/>
      <c r="E176" s="17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9"/>
      <c r="Q176" s="15">
        <f t="shared" si="2"/>
        <v>0</v>
      </c>
    </row>
    <row r="177" ht="15.75" customHeight="1">
      <c r="A177" s="12" t="str">
        <f t="shared" si="1"/>
        <v>(02) Comercial</v>
      </c>
      <c r="B177" s="12"/>
      <c r="C177" s="12"/>
      <c r="D177" s="13"/>
      <c r="E177" s="17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9"/>
      <c r="Q177" s="15">
        <f t="shared" si="2"/>
        <v>0</v>
      </c>
    </row>
    <row r="178" ht="15.75" customHeight="1">
      <c r="A178" s="12" t="str">
        <f t="shared" si="1"/>
        <v>(02) Comercial</v>
      </c>
      <c r="B178" s="12"/>
      <c r="C178" s="12"/>
      <c r="D178" s="13"/>
      <c r="E178" s="17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9"/>
      <c r="Q178" s="15">
        <f t="shared" si="2"/>
        <v>0</v>
      </c>
    </row>
    <row r="179" ht="15.75" customHeight="1">
      <c r="A179" s="12" t="str">
        <f t="shared" si="1"/>
        <v>(02) Comercial</v>
      </c>
      <c r="B179" s="12"/>
      <c r="C179" s="12"/>
      <c r="D179" s="13"/>
      <c r="E179" s="17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9"/>
      <c r="Q179" s="15">
        <f t="shared" si="2"/>
        <v>0</v>
      </c>
    </row>
    <row r="180" ht="15.75" customHeight="1">
      <c r="A180" s="12" t="str">
        <f t="shared" si="1"/>
        <v>(02) Comercial</v>
      </c>
      <c r="B180" s="12"/>
      <c r="C180" s="12"/>
      <c r="D180" s="13"/>
      <c r="E180" s="17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9"/>
      <c r="Q180" s="15">
        <f t="shared" si="2"/>
        <v>0</v>
      </c>
    </row>
    <row r="181" ht="15.75" customHeight="1">
      <c r="A181" s="12" t="str">
        <f t="shared" si="1"/>
        <v>(02) Comercial</v>
      </c>
      <c r="B181" s="12"/>
      <c r="C181" s="12"/>
      <c r="D181" s="13"/>
      <c r="E181" s="17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9"/>
      <c r="Q181" s="15">
        <f t="shared" si="2"/>
        <v>0</v>
      </c>
    </row>
    <row r="182" ht="15.75" customHeight="1">
      <c r="A182" s="12" t="str">
        <f t="shared" si="1"/>
        <v>(02) Comercial</v>
      </c>
      <c r="B182" s="12"/>
      <c r="C182" s="12"/>
      <c r="D182" s="13"/>
      <c r="E182" s="17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9"/>
      <c r="Q182" s="15">
        <f t="shared" si="2"/>
        <v>0</v>
      </c>
    </row>
    <row r="183" ht="15.75" customHeight="1">
      <c r="A183" s="12" t="str">
        <f t="shared" si="1"/>
        <v>(02) Comercial</v>
      </c>
      <c r="B183" s="12"/>
      <c r="C183" s="12"/>
      <c r="D183" s="13"/>
      <c r="E183" s="17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9"/>
      <c r="Q183" s="15">
        <f t="shared" si="2"/>
        <v>0</v>
      </c>
    </row>
    <row r="184" ht="15.75" customHeight="1">
      <c r="A184" s="12" t="str">
        <f t="shared" si="1"/>
        <v>(02) Comercial</v>
      </c>
      <c r="B184" s="12"/>
      <c r="C184" s="12"/>
      <c r="D184" s="13"/>
      <c r="E184" s="17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9"/>
      <c r="Q184" s="15">
        <f t="shared" si="2"/>
        <v>0</v>
      </c>
    </row>
    <row r="185" ht="15.75" customHeight="1">
      <c r="A185" s="12" t="str">
        <f t="shared" si="1"/>
        <v>(02) Comercial</v>
      </c>
      <c r="B185" s="12"/>
      <c r="C185" s="12"/>
      <c r="D185" s="13"/>
      <c r="E185" s="17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9"/>
      <c r="Q185" s="15">
        <f t="shared" si="2"/>
        <v>0</v>
      </c>
    </row>
    <row r="186" ht="15.75" customHeight="1">
      <c r="A186" s="12" t="str">
        <f t="shared" si="1"/>
        <v>(02) Comercial</v>
      </c>
      <c r="B186" s="12"/>
      <c r="C186" s="12"/>
      <c r="D186" s="13"/>
      <c r="E186" s="17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9"/>
      <c r="Q186" s="15">
        <f t="shared" si="2"/>
        <v>0</v>
      </c>
    </row>
    <row r="187" ht="15.75" customHeight="1">
      <c r="A187" s="12" t="str">
        <f t="shared" si="1"/>
        <v>(02) Comercial</v>
      </c>
      <c r="B187" s="12"/>
      <c r="C187" s="12"/>
      <c r="D187" s="13"/>
      <c r="E187" s="17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9"/>
      <c r="Q187" s="15">
        <f t="shared" si="2"/>
        <v>0</v>
      </c>
    </row>
    <row r="188" ht="15.75" customHeight="1">
      <c r="A188" s="12" t="str">
        <f t="shared" si="1"/>
        <v>(02) Comercial</v>
      </c>
      <c r="B188" s="12"/>
      <c r="C188" s="12"/>
      <c r="D188" s="13"/>
      <c r="E188" s="17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9"/>
      <c r="Q188" s="15">
        <f t="shared" si="2"/>
        <v>0</v>
      </c>
    </row>
    <row r="189" ht="15.75" customHeight="1">
      <c r="A189" s="12" t="str">
        <f t="shared" si="1"/>
        <v>(02) Comercial</v>
      </c>
      <c r="B189" s="12"/>
      <c r="C189" s="12"/>
      <c r="D189" s="13"/>
      <c r="E189" s="17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9"/>
      <c r="Q189" s="15">
        <f t="shared" si="2"/>
        <v>0</v>
      </c>
    </row>
    <row r="190" ht="15.75" customHeight="1">
      <c r="A190" s="12" t="str">
        <f t="shared" si="1"/>
        <v>(02) Comercial</v>
      </c>
      <c r="B190" s="12"/>
      <c r="C190" s="12"/>
      <c r="D190" s="13"/>
      <c r="E190" s="17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9"/>
      <c r="Q190" s="15">
        <f t="shared" si="2"/>
        <v>0</v>
      </c>
    </row>
    <row r="191" ht="15.75" customHeight="1">
      <c r="A191" s="12" t="str">
        <f t="shared" si="1"/>
        <v>(02) Comercial</v>
      </c>
      <c r="B191" s="12"/>
      <c r="C191" s="12"/>
      <c r="D191" s="13"/>
      <c r="E191" s="17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9"/>
      <c r="Q191" s="15">
        <f t="shared" si="2"/>
        <v>0</v>
      </c>
    </row>
    <row r="192" ht="15.75" customHeight="1">
      <c r="A192" s="12" t="str">
        <f t="shared" si="1"/>
        <v>(02) Comercial</v>
      </c>
      <c r="B192" s="12"/>
      <c r="C192" s="12"/>
      <c r="D192" s="13"/>
      <c r="E192" s="17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9"/>
      <c r="Q192" s="15">
        <f t="shared" si="2"/>
        <v>0</v>
      </c>
    </row>
    <row r="193" ht="15.75" customHeight="1">
      <c r="A193" s="12" t="str">
        <f t="shared" si="1"/>
        <v>(02) Comercial</v>
      </c>
      <c r="B193" s="12"/>
      <c r="C193" s="12"/>
      <c r="D193" s="13"/>
      <c r="E193" s="17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9"/>
      <c r="Q193" s="15">
        <f t="shared" si="2"/>
        <v>0</v>
      </c>
    </row>
    <row r="194" ht="15.75" customHeight="1">
      <c r="A194" s="12" t="str">
        <f t="shared" si="1"/>
        <v>(02) Comercial</v>
      </c>
      <c r="B194" s="12"/>
      <c r="C194" s="12"/>
      <c r="D194" s="13"/>
      <c r="E194" s="17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9"/>
      <c r="Q194" s="15">
        <f t="shared" si="2"/>
        <v>0</v>
      </c>
    </row>
    <row r="195" ht="15.75" customHeight="1">
      <c r="A195" s="12" t="str">
        <f t="shared" si="1"/>
        <v>(02) Comercial</v>
      </c>
      <c r="B195" s="12"/>
      <c r="C195" s="12"/>
      <c r="D195" s="13"/>
      <c r="E195" s="17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9"/>
      <c r="Q195" s="15">
        <f t="shared" si="2"/>
        <v>0</v>
      </c>
    </row>
    <row r="196" ht="15.75" customHeight="1">
      <c r="A196" s="12" t="str">
        <f t="shared" si="1"/>
        <v>(02) Comercial</v>
      </c>
      <c r="B196" s="12"/>
      <c r="C196" s="12"/>
      <c r="D196" s="13"/>
      <c r="E196" s="17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9"/>
      <c r="Q196" s="15">
        <f t="shared" si="2"/>
        <v>0</v>
      </c>
    </row>
    <row r="197" ht="15.75" customHeight="1">
      <c r="A197" s="12" t="str">
        <f t="shared" si="1"/>
        <v>(02) Comercial</v>
      </c>
      <c r="B197" s="12"/>
      <c r="C197" s="12"/>
      <c r="D197" s="13"/>
      <c r="E197" s="17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9"/>
      <c r="Q197" s="15">
        <f t="shared" si="2"/>
        <v>0</v>
      </c>
    </row>
    <row r="198" ht="15.75" customHeight="1">
      <c r="A198" s="12" t="str">
        <f t="shared" si="1"/>
        <v>(02) Comercial</v>
      </c>
      <c r="B198" s="12"/>
      <c r="C198" s="12"/>
      <c r="D198" s="13"/>
      <c r="E198" s="17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9"/>
      <c r="Q198" s="15">
        <f t="shared" si="2"/>
        <v>0</v>
      </c>
    </row>
    <row r="199" ht="15.75" customHeight="1">
      <c r="A199" s="12" t="str">
        <f t="shared" si="1"/>
        <v>(02) Comercial</v>
      </c>
      <c r="B199" s="12"/>
      <c r="C199" s="12"/>
      <c r="D199" s="13"/>
      <c r="E199" s="17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9"/>
      <c r="Q199" s="15">
        <f t="shared" si="2"/>
        <v>0</v>
      </c>
    </row>
    <row r="200" ht="15.75" customHeight="1">
      <c r="A200" s="12" t="str">
        <f t="shared" si="1"/>
        <v>(02) Comercial</v>
      </c>
      <c r="B200" s="12"/>
      <c r="C200" s="12"/>
      <c r="D200" s="13"/>
      <c r="E200" s="17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9"/>
      <c r="Q200" s="15">
        <f t="shared" si="2"/>
        <v>0</v>
      </c>
    </row>
    <row r="201" ht="15.75" customHeight="1">
      <c r="A201" s="12" t="str">
        <f t="shared" si="1"/>
        <v>(02) Comercial</v>
      </c>
      <c r="B201" s="12"/>
      <c r="C201" s="12"/>
      <c r="D201" s="13"/>
      <c r="E201" s="17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9"/>
      <c r="Q201" s="15">
        <f t="shared" si="2"/>
        <v>0</v>
      </c>
    </row>
    <row r="202" ht="15.75" customHeight="1">
      <c r="A202" s="12" t="str">
        <f t="shared" si="1"/>
        <v>(02) Comercial</v>
      </c>
      <c r="B202" s="12"/>
      <c r="C202" s="12"/>
      <c r="D202" s="13"/>
      <c r="E202" s="17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9"/>
      <c r="Q202" s="15">
        <f t="shared" si="2"/>
        <v>0</v>
      </c>
    </row>
    <row r="203" ht="15.75" customHeight="1">
      <c r="A203" s="12" t="str">
        <f t="shared" si="1"/>
        <v>(02) Comercial</v>
      </c>
      <c r="B203" s="12"/>
      <c r="C203" s="12"/>
      <c r="D203" s="13"/>
      <c r="E203" s="17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9"/>
      <c r="Q203" s="15">
        <f t="shared" si="2"/>
        <v>0</v>
      </c>
    </row>
    <row r="204" ht="15.75" customHeight="1">
      <c r="A204" s="12" t="str">
        <f t="shared" si="1"/>
        <v>(02) Comercial</v>
      </c>
      <c r="B204" s="12"/>
      <c r="C204" s="12"/>
      <c r="D204" s="13"/>
      <c r="E204" s="17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9"/>
      <c r="Q204" s="15">
        <f t="shared" si="2"/>
        <v>0</v>
      </c>
    </row>
    <row r="205" ht="15.75" customHeight="1">
      <c r="A205" s="12" t="str">
        <f t="shared" si="1"/>
        <v>(02) Comercial</v>
      </c>
      <c r="B205" s="12"/>
      <c r="C205" s="12"/>
      <c r="D205" s="13"/>
      <c r="E205" s="17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9"/>
      <c r="Q205" s="15">
        <f t="shared" si="2"/>
        <v>0</v>
      </c>
    </row>
    <row r="206" ht="15.75" customHeight="1">
      <c r="A206" s="12" t="str">
        <f t="shared" si="1"/>
        <v>(02) Comercial</v>
      </c>
      <c r="B206" s="12"/>
      <c r="C206" s="12"/>
      <c r="D206" s="13"/>
      <c r="E206" s="17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9"/>
      <c r="Q206" s="15">
        <f t="shared" si="2"/>
        <v>0</v>
      </c>
    </row>
    <row r="207" ht="15.75" customHeight="1">
      <c r="A207" s="12" t="str">
        <f t="shared" si="1"/>
        <v>(02) Comercial</v>
      </c>
      <c r="B207" s="12"/>
      <c r="C207" s="12"/>
      <c r="D207" s="13"/>
      <c r="E207" s="17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9"/>
      <c r="Q207" s="15">
        <f t="shared" si="2"/>
        <v>0</v>
      </c>
    </row>
    <row r="208" ht="15.75" customHeight="1">
      <c r="A208" s="12" t="str">
        <f t="shared" si="1"/>
        <v>(02) Comercial</v>
      </c>
      <c r="B208" s="12"/>
      <c r="C208" s="12"/>
      <c r="D208" s="13"/>
      <c r="E208" s="17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9"/>
      <c r="Q208" s="15">
        <f t="shared" si="2"/>
        <v>0</v>
      </c>
    </row>
    <row r="209" ht="15.75" customHeight="1">
      <c r="A209" s="12" t="str">
        <f t="shared" si="1"/>
        <v>(02) Comercial</v>
      </c>
      <c r="B209" s="12"/>
      <c r="C209" s="12"/>
      <c r="D209" s="13"/>
      <c r="E209" s="17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9"/>
      <c r="Q209" s="15">
        <f t="shared" si="2"/>
        <v>0</v>
      </c>
    </row>
    <row r="210" ht="15.75" customHeight="1">
      <c r="A210" s="12" t="str">
        <f t="shared" si="1"/>
        <v>(02) Comercial</v>
      </c>
      <c r="B210" s="12"/>
      <c r="C210" s="12"/>
      <c r="D210" s="13"/>
      <c r="E210" s="17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9"/>
      <c r="Q210" s="15">
        <f t="shared" si="2"/>
        <v>0</v>
      </c>
    </row>
    <row r="211" ht="15.75" customHeight="1">
      <c r="A211" s="12" t="str">
        <f t="shared" si="1"/>
        <v>(02) Comercial</v>
      </c>
      <c r="B211" s="12"/>
      <c r="C211" s="12"/>
      <c r="D211" s="13"/>
      <c r="E211" s="17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9"/>
      <c r="Q211" s="15">
        <f t="shared" si="2"/>
        <v>0</v>
      </c>
    </row>
    <row r="212" ht="15.75" customHeight="1">
      <c r="A212" s="12" t="str">
        <f t="shared" si="1"/>
        <v>(02) Comercial</v>
      </c>
      <c r="B212" s="12"/>
      <c r="C212" s="12"/>
      <c r="D212" s="13"/>
      <c r="E212" s="17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9"/>
      <c r="Q212" s="15">
        <f t="shared" si="2"/>
        <v>0</v>
      </c>
    </row>
    <row r="213" ht="15.75" customHeight="1">
      <c r="A213" s="12" t="str">
        <f t="shared" si="1"/>
        <v>(02) Comercial</v>
      </c>
      <c r="B213" s="12"/>
      <c r="C213" s="12"/>
      <c r="D213" s="13"/>
      <c r="E213" s="17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9"/>
      <c r="Q213" s="15">
        <f t="shared" si="2"/>
        <v>0</v>
      </c>
    </row>
    <row r="214" ht="15.75" customHeight="1">
      <c r="A214" s="12" t="str">
        <f t="shared" si="1"/>
        <v>(02) Comercial</v>
      </c>
      <c r="B214" s="12"/>
      <c r="C214" s="12"/>
      <c r="D214" s="13"/>
      <c r="E214" s="17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9"/>
      <c r="Q214" s="15">
        <f t="shared" si="2"/>
        <v>0</v>
      </c>
    </row>
    <row r="215" ht="15.75" customHeight="1">
      <c r="A215" s="12" t="str">
        <f t="shared" si="1"/>
        <v>(02) Comercial</v>
      </c>
      <c r="B215" s="12"/>
      <c r="C215" s="12"/>
      <c r="D215" s="13"/>
      <c r="E215" s="17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9"/>
      <c r="Q215" s="15">
        <f t="shared" si="2"/>
        <v>0</v>
      </c>
    </row>
    <row r="216" ht="15.75" customHeight="1">
      <c r="A216" s="12" t="str">
        <f t="shared" si="1"/>
        <v>(02) Comercial</v>
      </c>
      <c r="B216" s="12"/>
      <c r="C216" s="12"/>
      <c r="D216" s="13"/>
      <c r="E216" s="17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9"/>
      <c r="Q216" s="15">
        <f t="shared" si="2"/>
        <v>0</v>
      </c>
    </row>
    <row r="217" ht="15.75" customHeight="1">
      <c r="A217" s="12" t="str">
        <f t="shared" si="1"/>
        <v>(02) Comercial</v>
      </c>
      <c r="B217" s="12"/>
      <c r="C217" s="12"/>
      <c r="D217" s="13"/>
      <c r="E217" s="17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9"/>
      <c r="Q217" s="15">
        <f t="shared" si="2"/>
        <v>0</v>
      </c>
    </row>
    <row r="218" ht="15.75" customHeight="1">
      <c r="A218" s="12" t="str">
        <f t="shared" si="1"/>
        <v>(02) Comercial</v>
      </c>
      <c r="B218" s="12"/>
      <c r="C218" s="12"/>
      <c r="D218" s="13"/>
      <c r="E218" s="17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9"/>
      <c r="Q218" s="15">
        <f t="shared" si="2"/>
        <v>0</v>
      </c>
    </row>
    <row r="219" ht="15.75" customHeight="1">
      <c r="A219" s="12" t="str">
        <f t="shared" si="1"/>
        <v>(02) Comercial</v>
      </c>
      <c r="B219" s="12"/>
      <c r="C219" s="12"/>
      <c r="D219" s="13"/>
      <c r="E219" s="17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9"/>
      <c r="Q219" s="15">
        <f t="shared" si="2"/>
        <v>0</v>
      </c>
    </row>
    <row r="220" ht="15.75" customHeight="1">
      <c r="A220" s="12" t="str">
        <f t="shared" si="1"/>
        <v>(02) Comercial</v>
      </c>
      <c r="B220" s="12"/>
      <c r="C220" s="12"/>
      <c r="D220" s="13"/>
      <c r="E220" s="17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9"/>
      <c r="Q220" s="15">
        <f t="shared" si="2"/>
        <v>0</v>
      </c>
    </row>
    <row r="221" ht="15.75" customHeight="1">
      <c r="A221" s="12" t="str">
        <f t="shared" si="1"/>
        <v>(02) Comercial</v>
      </c>
      <c r="B221" s="12"/>
      <c r="C221" s="12"/>
      <c r="D221" s="13"/>
      <c r="E221" s="17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9"/>
      <c r="Q221" s="15">
        <f t="shared" si="2"/>
        <v>0</v>
      </c>
    </row>
    <row r="222" ht="15.75" customHeight="1">
      <c r="A222" s="12" t="str">
        <f t="shared" si="1"/>
        <v>(02) Comercial</v>
      </c>
      <c r="B222" s="12"/>
      <c r="C222" s="12"/>
      <c r="D222" s="13"/>
      <c r="E222" s="17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9"/>
      <c r="Q222" s="15">
        <f t="shared" si="2"/>
        <v>0</v>
      </c>
    </row>
    <row r="223" ht="15.75" customHeight="1">
      <c r="A223" s="12" t="str">
        <f t="shared" si="1"/>
        <v>(02) Comercial</v>
      </c>
      <c r="B223" s="12"/>
      <c r="C223" s="12"/>
      <c r="D223" s="13"/>
      <c r="E223" s="17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9"/>
      <c r="Q223" s="15">
        <f t="shared" si="2"/>
        <v>0</v>
      </c>
    </row>
    <row r="224" ht="15.75" customHeight="1">
      <c r="A224" s="12" t="str">
        <f t="shared" si="1"/>
        <v>(02) Comercial</v>
      </c>
      <c r="B224" s="12"/>
      <c r="C224" s="12"/>
      <c r="D224" s="13"/>
      <c r="E224" s="17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9"/>
      <c r="Q224" s="15">
        <f t="shared" si="2"/>
        <v>0</v>
      </c>
    </row>
    <row r="225" ht="15.75" customHeight="1">
      <c r="A225" s="12" t="str">
        <f t="shared" si="1"/>
        <v>(02) Comercial</v>
      </c>
      <c r="B225" s="12"/>
      <c r="C225" s="12"/>
      <c r="D225" s="13"/>
      <c r="E225" s="17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9"/>
      <c r="Q225" s="15">
        <f t="shared" si="2"/>
        <v>0</v>
      </c>
    </row>
    <row r="226" ht="15.75" customHeight="1">
      <c r="A226" s="12" t="str">
        <f t="shared" si="1"/>
        <v>(02) Comercial</v>
      </c>
      <c r="B226" s="12"/>
      <c r="C226" s="12"/>
      <c r="D226" s="13"/>
      <c r="E226" s="17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9"/>
      <c r="Q226" s="15">
        <f t="shared" si="2"/>
        <v>0</v>
      </c>
    </row>
    <row r="227" ht="15.75" customHeight="1">
      <c r="A227" s="12" t="str">
        <f t="shared" si="1"/>
        <v>(02) Comercial</v>
      </c>
      <c r="B227" s="12"/>
      <c r="C227" s="12"/>
      <c r="D227" s="13"/>
      <c r="E227" s="17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9"/>
      <c r="Q227" s="15">
        <f t="shared" si="2"/>
        <v>0</v>
      </c>
    </row>
    <row r="228" ht="15.75" customHeight="1">
      <c r="A228" s="12" t="str">
        <f t="shared" si="1"/>
        <v>(02) Comercial</v>
      </c>
      <c r="B228" s="12"/>
      <c r="C228" s="12"/>
      <c r="D228" s="13"/>
      <c r="E228" s="17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9"/>
      <c r="Q228" s="15">
        <f t="shared" si="2"/>
        <v>0</v>
      </c>
    </row>
    <row r="229" ht="15.75" customHeight="1">
      <c r="A229" s="12" t="str">
        <f t="shared" si="1"/>
        <v>(02) Comercial</v>
      </c>
      <c r="B229" s="12"/>
      <c r="C229" s="12"/>
      <c r="D229" s="13"/>
      <c r="E229" s="17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9"/>
      <c r="Q229" s="15">
        <f t="shared" si="2"/>
        <v>0</v>
      </c>
    </row>
    <row r="230" ht="15.75" customHeight="1">
      <c r="A230" s="12" t="str">
        <f t="shared" si="1"/>
        <v>(02) Comercial</v>
      </c>
      <c r="B230" s="12"/>
      <c r="C230" s="12"/>
      <c r="D230" s="13"/>
      <c r="E230" s="17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9"/>
      <c r="Q230" s="15">
        <f t="shared" si="2"/>
        <v>0</v>
      </c>
    </row>
    <row r="231" ht="15.75" customHeight="1">
      <c r="A231" s="12" t="str">
        <f t="shared" si="1"/>
        <v>(02) Comercial</v>
      </c>
      <c r="B231" s="12"/>
      <c r="C231" s="12"/>
      <c r="D231" s="13"/>
      <c r="E231" s="17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9"/>
      <c r="Q231" s="15">
        <f t="shared" si="2"/>
        <v>0</v>
      </c>
    </row>
    <row r="232" ht="15.75" customHeight="1">
      <c r="A232" s="12" t="str">
        <f t="shared" si="1"/>
        <v>(02) Comercial</v>
      </c>
      <c r="B232" s="12"/>
      <c r="C232" s="12"/>
      <c r="D232" s="13"/>
      <c r="E232" s="17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9"/>
      <c r="Q232" s="15">
        <f t="shared" si="2"/>
        <v>0</v>
      </c>
    </row>
    <row r="233" ht="15.75" customHeight="1">
      <c r="A233" s="12" t="str">
        <f t="shared" si="1"/>
        <v>(02) Comercial</v>
      </c>
      <c r="B233" s="12"/>
      <c r="C233" s="12"/>
      <c r="D233" s="13"/>
      <c r="E233" s="17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9"/>
      <c r="Q233" s="15">
        <f t="shared" si="2"/>
        <v>0</v>
      </c>
    </row>
    <row r="234" ht="15.75" customHeight="1">
      <c r="A234" s="12" t="str">
        <f t="shared" si="1"/>
        <v>(02) Comercial</v>
      </c>
      <c r="B234" s="12"/>
      <c r="C234" s="12"/>
      <c r="D234" s="13"/>
      <c r="E234" s="17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9"/>
      <c r="Q234" s="15">
        <f t="shared" si="2"/>
        <v>0</v>
      </c>
    </row>
    <row r="235" ht="15.75" customHeight="1">
      <c r="A235" s="12" t="str">
        <f t="shared" si="1"/>
        <v>(02) Comercial</v>
      </c>
      <c r="B235" s="12"/>
      <c r="C235" s="12"/>
      <c r="D235" s="13"/>
      <c r="E235" s="17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9"/>
      <c r="Q235" s="15">
        <f t="shared" si="2"/>
        <v>0</v>
      </c>
    </row>
    <row r="236" ht="15.75" customHeight="1">
      <c r="A236" s="12" t="str">
        <f t="shared" si="1"/>
        <v>(02) Comercial</v>
      </c>
      <c r="B236" s="12"/>
      <c r="C236" s="12"/>
      <c r="D236" s="13"/>
      <c r="E236" s="17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9"/>
      <c r="Q236" s="15">
        <f t="shared" si="2"/>
        <v>0</v>
      </c>
    </row>
    <row r="237" ht="15.75" customHeight="1">
      <c r="A237" s="12" t="str">
        <f t="shared" si="1"/>
        <v>(02) Comercial</v>
      </c>
      <c r="B237" s="12"/>
      <c r="C237" s="12"/>
      <c r="D237" s="13"/>
      <c r="E237" s="17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9"/>
      <c r="Q237" s="15">
        <f t="shared" si="2"/>
        <v>0</v>
      </c>
    </row>
    <row r="238" ht="15.75" customHeight="1">
      <c r="A238" s="12" t="str">
        <f t="shared" si="1"/>
        <v>(02) Comercial</v>
      </c>
      <c r="B238" s="12"/>
      <c r="C238" s="12"/>
      <c r="D238" s="13"/>
      <c r="E238" s="17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9"/>
      <c r="Q238" s="15">
        <f t="shared" si="2"/>
        <v>0</v>
      </c>
    </row>
    <row r="239" ht="15.75" customHeight="1">
      <c r="A239" s="12" t="str">
        <f t="shared" si="1"/>
        <v>(02) Comercial</v>
      </c>
      <c r="B239" s="12"/>
      <c r="C239" s="12"/>
      <c r="D239" s="13"/>
      <c r="E239" s="17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9"/>
      <c r="Q239" s="15">
        <f t="shared" si="2"/>
        <v>0</v>
      </c>
    </row>
    <row r="240" ht="15.75" customHeight="1">
      <c r="A240" s="12" t="str">
        <f t="shared" si="1"/>
        <v>(02) Comercial</v>
      </c>
      <c r="B240" s="12"/>
      <c r="C240" s="12"/>
      <c r="D240" s="13"/>
      <c r="E240" s="17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9"/>
      <c r="Q240" s="15">
        <f t="shared" si="2"/>
        <v>0</v>
      </c>
    </row>
    <row r="241" ht="15.75" customHeight="1">
      <c r="A241" s="12" t="str">
        <f t="shared" si="1"/>
        <v>(02) Comercial</v>
      </c>
      <c r="B241" s="12"/>
      <c r="C241" s="12"/>
      <c r="D241" s="13"/>
      <c r="E241" s="17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9"/>
      <c r="Q241" s="15">
        <f t="shared" si="2"/>
        <v>0</v>
      </c>
    </row>
    <row r="242" ht="15.75" customHeight="1">
      <c r="A242" s="12" t="str">
        <f t="shared" si="1"/>
        <v>(02) Comercial</v>
      </c>
      <c r="B242" s="12"/>
      <c r="C242" s="12"/>
      <c r="D242" s="13"/>
      <c r="E242" s="17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9"/>
      <c r="Q242" s="15">
        <f t="shared" si="2"/>
        <v>0</v>
      </c>
    </row>
    <row r="243" ht="15.75" customHeight="1">
      <c r="A243" s="12" t="str">
        <f t="shared" si="1"/>
        <v>(02) Comercial</v>
      </c>
      <c r="B243" s="12"/>
      <c r="C243" s="12"/>
      <c r="D243" s="13"/>
      <c r="E243" s="17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9"/>
      <c r="Q243" s="15">
        <f t="shared" si="2"/>
        <v>0</v>
      </c>
    </row>
    <row r="244" ht="15.75" customHeight="1">
      <c r="A244" s="12" t="str">
        <f t="shared" si="1"/>
        <v>(02) Comercial</v>
      </c>
      <c r="B244" s="12"/>
      <c r="C244" s="12"/>
      <c r="D244" s="13"/>
      <c r="E244" s="17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9"/>
      <c r="Q244" s="15">
        <f t="shared" si="2"/>
        <v>0</v>
      </c>
    </row>
    <row r="245" ht="15.75" customHeight="1">
      <c r="A245" s="12" t="str">
        <f t="shared" si="1"/>
        <v>(02) Comercial</v>
      </c>
      <c r="B245" s="12"/>
      <c r="C245" s="12"/>
      <c r="D245" s="13"/>
      <c r="E245" s="17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9"/>
      <c r="Q245" s="15">
        <f t="shared" si="2"/>
        <v>0</v>
      </c>
    </row>
    <row r="246" ht="15.75" customHeight="1">
      <c r="A246" s="12" t="str">
        <f t="shared" si="1"/>
        <v>(02) Comercial</v>
      </c>
      <c r="B246" s="12"/>
      <c r="C246" s="12"/>
      <c r="D246" s="13"/>
      <c r="E246" s="17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9"/>
      <c r="Q246" s="15">
        <f t="shared" si="2"/>
        <v>0</v>
      </c>
    </row>
    <row r="247" ht="15.75" customHeight="1">
      <c r="A247" s="12" t="str">
        <f t="shared" si="1"/>
        <v>(02) Comercial</v>
      </c>
      <c r="B247" s="12"/>
      <c r="C247" s="12"/>
      <c r="D247" s="13"/>
      <c r="E247" s="17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9"/>
      <c r="Q247" s="15">
        <f t="shared" si="2"/>
        <v>0</v>
      </c>
    </row>
    <row r="248" ht="15.75" customHeight="1">
      <c r="A248" s="12" t="str">
        <f t="shared" si="1"/>
        <v>(02) Comercial</v>
      </c>
      <c r="B248" s="12"/>
      <c r="C248" s="12"/>
      <c r="D248" s="13"/>
      <c r="E248" s="17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9"/>
      <c r="Q248" s="15">
        <f t="shared" si="2"/>
        <v>0</v>
      </c>
    </row>
    <row r="249" ht="15.75" customHeight="1">
      <c r="A249" s="12" t="str">
        <f t="shared" si="1"/>
        <v>(02) Comercial</v>
      </c>
      <c r="B249" s="12"/>
      <c r="C249" s="12"/>
      <c r="D249" s="13"/>
      <c r="E249" s="17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9"/>
      <c r="Q249" s="15">
        <f t="shared" si="2"/>
        <v>0</v>
      </c>
    </row>
    <row r="250" ht="15.75" customHeight="1">
      <c r="A250" s="12" t="str">
        <f t="shared" si="1"/>
        <v>(02) Comercial</v>
      </c>
      <c r="B250" s="12"/>
      <c r="C250" s="12"/>
      <c r="D250" s="13"/>
      <c r="E250" s="17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9"/>
      <c r="Q250" s="15">
        <f t="shared" si="2"/>
        <v>0</v>
      </c>
    </row>
    <row r="251" ht="15.75" customHeight="1">
      <c r="A251" s="12" t="str">
        <f t="shared" si="1"/>
        <v>(02) Comercial</v>
      </c>
      <c r="B251" s="12"/>
      <c r="C251" s="12"/>
      <c r="D251" s="13"/>
      <c r="E251" s="17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9"/>
      <c r="Q251" s="15">
        <f t="shared" si="2"/>
        <v>0</v>
      </c>
    </row>
    <row r="252" ht="15.75" customHeight="1">
      <c r="A252" s="12" t="str">
        <f t="shared" si="1"/>
        <v>(02) Comercial</v>
      </c>
      <c r="B252" s="12"/>
      <c r="C252" s="12"/>
      <c r="D252" s="13"/>
      <c r="E252" s="17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9"/>
      <c r="Q252" s="15">
        <f t="shared" si="2"/>
        <v>0</v>
      </c>
    </row>
    <row r="253" ht="15.75" customHeight="1">
      <c r="A253" s="12" t="str">
        <f t="shared" si="1"/>
        <v>(02) Comercial</v>
      </c>
      <c r="B253" s="12"/>
      <c r="C253" s="12"/>
      <c r="D253" s="13"/>
      <c r="E253" s="17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9"/>
      <c r="Q253" s="15">
        <f t="shared" si="2"/>
        <v>0</v>
      </c>
    </row>
    <row r="254" ht="15.75" customHeight="1">
      <c r="A254" s="12" t="str">
        <f t="shared" si="1"/>
        <v>(02) Comercial</v>
      </c>
      <c r="B254" s="12"/>
      <c r="C254" s="12"/>
      <c r="D254" s="13"/>
      <c r="E254" s="17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9"/>
      <c r="Q254" s="15">
        <f t="shared" si="2"/>
        <v>0</v>
      </c>
    </row>
    <row r="255" ht="15.75" customHeight="1">
      <c r="A255" s="12" t="str">
        <f t="shared" si="1"/>
        <v>(02) Comercial</v>
      </c>
      <c r="B255" s="12"/>
      <c r="C255" s="12"/>
      <c r="D255" s="13"/>
      <c r="E255" s="17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9"/>
      <c r="Q255" s="15">
        <f t="shared" si="2"/>
        <v>0</v>
      </c>
    </row>
    <row r="256" ht="15.75" customHeight="1">
      <c r="A256" s="12" t="str">
        <f t="shared" si="1"/>
        <v>(02) Comercial</v>
      </c>
      <c r="B256" s="12"/>
      <c r="C256" s="12"/>
      <c r="D256" s="13"/>
      <c r="E256" s="17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9"/>
      <c r="Q256" s="15">
        <f t="shared" si="2"/>
        <v>0</v>
      </c>
    </row>
    <row r="257" ht="15.75" customHeight="1">
      <c r="A257" s="12" t="str">
        <f t="shared" si="1"/>
        <v>(02) Comercial</v>
      </c>
      <c r="B257" s="12"/>
      <c r="C257" s="12"/>
      <c r="D257" s="13"/>
      <c r="E257" s="17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9"/>
      <c r="Q257" s="15">
        <f t="shared" si="2"/>
        <v>0</v>
      </c>
    </row>
    <row r="258" ht="15.75" customHeight="1">
      <c r="A258" s="12" t="str">
        <f t="shared" si="1"/>
        <v>(02) Comercial</v>
      </c>
      <c r="B258" s="12"/>
      <c r="C258" s="12"/>
      <c r="D258" s="13"/>
      <c r="E258" s="17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9"/>
      <c r="Q258" s="15">
        <f t="shared" si="2"/>
        <v>0</v>
      </c>
    </row>
    <row r="259" ht="15.75" customHeight="1">
      <c r="A259" s="12" t="str">
        <f t="shared" si="1"/>
        <v>(02) Comercial</v>
      </c>
      <c r="B259" s="12"/>
      <c r="C259" s="12"/>
      <c r="D259" s="13"/>
      <c r="E259" s="17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9"/>
      <c r="Q259" s="15">
        <f t="shared" si="2"/>
        <v>0</v>
      </c>
    </row>
    <row r="260" ht="15.75" customHeight="1">
      <c r="A260" s="12" t="str">
        <f t="shared" si="1"/>
        <v>(02) Comercial</v>
      </c>
      <c r="B260" s="12"/>
      <c r="C260" s="12"/>
      <c r="D260" s="13"/>
      <c r="E260" s="17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9"/>
      <c r="Q260" s="15">
        <f t="shared" si="2"/>
        <v>0</v>
      </c>
    </row>
    <row r="261" ht="15.75" customHeight="1">
      <c r="A261" s="12" t="str">
        <f t="shared" si="1"/>
        <v>(02) Comercial</v>
      </c>
      <c r="B261" s="12"/>
      <c r="C261" s="12"/>
      <c r="D261" s="13"/>
      <c r="E261" s="17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9"/>
      <c r="Q261" s="15">
        <f t="shared" si="2"/>
        <v>0</v>
      </c>
    </row>
    <row r="262" ht="15.75" customHeight="1">
      <c r="A262" s="12" t="str">
        <f t="shared" si="1"/>
        <v>(02) Comercial</v>
      </c>
      <c r="B262" s="12"/>
      <c r="C262" s="12"/>
      <c r="D262" s="13"/>
      <c r="E262" s="17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9"/>
      <c r="Q262" s="15">
        <f t="shared" si="2"/>
        <v>0</v>
      </c>
    </row>
    <row r="263" ht="15.75" customHeight="1">
      <c r="A263" s="12" t="str">
        <f t="shared" si="1"/>
        <v>(02) Comercial</v>
      </c>
      <c r="B263" s="12"/>
      <c r="C263" s="12"/>
      <c r="D263" s="13"/>
      <c r="E263" s="17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9"/>
      <c r="Q263" s="15">
        <f t="shared" si="2"/>
        <v>0</v>
      </c>
    </row>
    <row r="264" ht="15.75" customHeight="1">
      <c r="A264" s="12" t="str">
        <f t="shared" si="1"/>
        <v>(02) Comercial</v>
      </c>
      <c r="B264" s="12"/>
      <c r="C264" s="12"/>
      <c r="D264" s="13"/>
      <c r="E264" s="17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9"/>
      <c r="Q264" s="15">
        <f t="shared" si="2"/>
        <v>0</v>
      </c>
    </row>
    <row r="265" ht="15.75" customHeight="1">
      <c r="A265" s="12" t="str">
        <f t="shared" si="1"/>
        <v>(02) Comercial</v>
      </c>
      <c r="B265" s="12"/>
      <c r="C265" s="12"/>
      <c r="D265" s="13"/>
      <c r="E265" s="17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9"/>
      <c r="Q265" s="15">
        <f t="shared" si="2"/>
        <v>0</v>
      </c>
    </row>
    <row r="266" ht="15.75" customHeight="1">
      <c r="A266" s="12" t="str">
        <f t="shared" si="1"/>
        <v>(02) Comercial</v>
      </c>
      <c r="B266" s="12"/>
      <c r="C266" s="12"/>
      <c r="D266" s="13"/>
      <c r="E266" s="17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9"/>
      <c r="Q266" s="15">
        <f t="shared" si="2"/>
        <v>0</v>
      </c>
    </row>
    <row r="267" ht="15.75" customHeight="1">
      <c r="A267" s="12" t="str">
        <f t="shared" si="1"/>
        <v>(02) Comercial</v>
      </c>
      <c r="B267" s="12"/>
      <c r="C267" s="12"/>
      <c r="D267" s="13"/>
      <c r="E267" s="17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9"/>
      <c r="Q267" s="15">
        <f t="shared" si="2"/>
        <v>0</v>
      </c>
    </row>
    <row r="268" ht="15.75" customHeight="1">
      <c r="A268" s="12" t="str">
        <f t="shared" si="1"/>
        <v>(02) Comercial</v>
      </c>
      <c r="B268" s="12"/>
      <c r="C268" s="12"/>
      <c r="D268" s="13"/>
      <c r="E268" s="17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9"/>
      <c r="Q268" s="15">
        <f t="shared" si="2"/>
        <v>0</v>
      </c>
    </row>
    <row r="269" ht="15.75" customHeight="1">
      <c r="A269" s="12" t="str">
        <f t="shared" si="1"/>
        <v>(02) Comercial</v>
      </c>
      <c r="B269" s="12"/>
      <c r="C269" s="12"/>
      <c r="D269" s="13"/>
      <c r="E269" s="17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9"/>
      <c r="Q269" s="15">
        <f t="shared" si="2"/>
        <v>0</v>
      </c>
    </row>
    <row r="270" ht="15.75" customHeight="1">
      <c r="A270" s="12" t="str">
        <f t="shared" si="1"/>
        <v>(02) Comercial</v>
      </c>
      <c r="B270" s="12"/>
      <c r="C270" s="12"/>
      <c r="D270" s="13"/>
      <c r="E270" s="17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9"/>
      <c r="Q270" s="15">
        <f t="shared" si="2"/>
        <v>0</v>
      </c>
    </row>
    <row r="271" ht="15.75" customHeight="1">
      <c r="A271" s="12" t="str">
        <f t="shared" si="1"/>
        <v>(02) Comercial</v>
      </c>
      <c r="B271" s="12"/>
      <c r="C271" s="12"/>
      <c r="D271" s="13"/>
      <c r="E271" s="17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9"/>
      <c r="Q271" s="15">
        <f t="shared" si="2"/>
        <v>0</v>
      </c>
    </row>
    <row r="272" ht="15.75" customHeight="1">
      <c r="A272" s="12" t="str">
        <f t="shared" si="1"/>
        <v>(02) Comercial</v>
      </c>
      <c r="B272" s="12"/>
      <c r="C272" s="12"/>
      <c r="D272" s="13"/>
      <c r="E272" s="17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9"/>
      <c r="Q272" s="15">
        <f t="shared" si="2"/>
        <v>0</v>
      </c>
    </row>
    <row r="273" ht="15.75" customHeight="1">
      <c r="A273" s="12" t="str">
        <f t="shared" si="1"/>
        <v>(02) Comercial</v>
      </c>
      <c r="B273" s="12"/>
      <c r="C273" s="12"/>
      <c r="D273" s="13"/>
      <c r="E273" s="17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9"/>
      <c r="Q273" s="15">
        <f t="shared" si="2"/>
        <v>0</v>
      </c>
    </row>
    <row r="274" ht="15.75" customHeight="1">
      <c r="A274" s="12" t="str">
        <f t="shared" si="1"/>
        <v>(02) Comercial</v>
      </c>
      <c r="B274" s="12"/>
      <c r="C274" s="12"/>
      <c r="D274" s="13"/>
      <c r="E274" s="17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9"/>
      <c r="Q274" s="15">
        <f t="shared" si="2"/>
        <v>0</v>
      </c>
    </row>
    <row r="275" ht="15.75" customHeight="1">
      <c r="A275" s="12" t="str">
        <f t="shared" si="1"/>
        <v>(02) Comercial</v>
      </c>
      <c r="B275" s="12"/>
      <c r="C275" s="12"/>
      <c r="D275" s="13"/>
      <c r="E275" s="17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9"/>
      <c r="Q275" s="15">
        <f t="shared" si="2"/>
        <v>0</v>
      </c>
    </row>
    <row r="276" ht="15.75" customHeight="1">
      <c r="A276" s="12" t="str">
        <f t="shared" si="1"/>
        <v>(02) Comercial</v>
      </c>
      <c r="B276" s="12"/>
      <c r="C276" s="12"/>
      <c r="D276" s="13"/>
      <c r="E276" s="17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9"/>
      <c r="Q276" s="15">
        <f t="shared" si="2"/>
        <v>0</v>
      </c>
    </row>
    <row r="277" ht="15.75" customHeight="1">
      <c r="A277" s="12" t="str">
        <f t="shared" si="1"/>
        <v>(02) Comercial</v>
      </c>
      <c r="B277" s="12"/>
      <c r="C277" s="12"/>
      <c r="D277" s="13"/>
      <c r="E277" s="17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9"/>
      <c r="Q277" s="15">
        <f t="shared" si="2"/>
        <v>0</v>
      </c>
    </row>
    <row r="278" ht="15.75" customHeight="1">
      <c r="A278" s="12" t="str">
        <f t="shared" si="1"/>
        <v>(02) Comercial</v>
      </c>
      <c r="B278" s="12"/>
      <c r="C278" s="12"/>
      <c r="D278" s="13"/>
      <c r="E278" s="17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9"/>
      <c r="Q278" s="15">
        <f t="shared" si="2"/>
        <v>0</v>
      </c>
    </row>
    <row r="279" ht="15.75" customHeight="1">
      <c r="A279" s="12" t="str">
        <f t="shared" si="1"/>
        <v>(02) Comercial</v>
      </c>
      <c r="B279" s="12"/>
      <c r="C279" s="12"/>
      <c r="D279" s="13"/>
      <c r="E279" s="17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9"/>
      <c r="Q279" s="15">
        <f t="shared" si="2"/>
        <v>0</v>
      </c>
    </row>
    <row r="280" ht="15.75" customHeight="1">
      <c r="A280" s="12" t="str">
        <f t="shared" si="1"/>
        <v>(02) Comercial</v>
      </c>
      <c r="B280" s="12"/>
      <c r="C280" s="12"/>
      <c r="D280" s="13"/>
      <c r="E280" s="17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9"/>
      <c r="Q280" s="15">
        <f t="shared" si="2"/>
        <v>0</v>
      </c>
    </row>
    <row r="281" ht="15.75" customHeight="1">
      <c r="A281" s="12" t="str">
        <f t="shared" si="1"/>
        <v>(02) Comercial</v>
      </c>
      <c r="B281" s="12"/>
      <c r="C281" s="12"/>
      <c r="D281" s="13"/>
      <c r="E281" s="17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9"/>
      <c r="Q281" s="15">
        <f t="shared" si="2"/>
        <v>0</v>
      </c>
    </row>
    <row r="282" ht="15.75" customHeight="1">
      <c r="A282" s="12" t="str">
        <f t="shared" si="1"/>
        <v>(02) Comercial</v>
      </c>
      <c r="B282" s="12"/>
      <c r="C282" s="12"/>
      <c r="D282" s="13"/>
      <c r="E282" s="17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9"/>
      <c r="Q282" s="15">
        <f t="shared" si="2"/>
        <v>0</v>
      </c>
    </row>
    <row r="283" ht="15.75" customHeight="1">
      <c r="A283" s="12" t="str">
        <f t="shared" si="1"/>
        <v>(02) Comercial</v>
      </c>
      <c r="B283" s="12"/>
      <c r="C283" s="12"/>
      <c r="D283" s="13"/>
      <c r="E283" s="17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9"/>
      <c r="Q283" s="15">
        <f t="shared" si="2"/>
        <v>0</v>
      </c>
    </row>
    <row r="284" ht="15.75" customHeight="1">
      <c r="A284" s="12" t="str">
        <f t="shared" si="1"/>
        <v>(02) Comercial</v>
      </c>
      <c r="B284" s="12"/>
      <c r="C284" s="12"/>
      <c r="D284" s="13"/>
      <c r="E284" s="17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9"/>
      <c r="Q284" s="15">
        <f t="shared" si="2"/>
        <v>0</v>
      </c>
    </row>
    <row r="285" ht="15.75" customHeight="1">
      <c r="A285" s="12" t="str">
        <f t="shared" si="1"/>
        <v>(02) Comercial</v>
      </c>
      <c r="B285" s="12"/>
      <c r="C285" s="12"/>
      <c r="D285" s="13"/>
      <c r="E285" s="17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9"/>
      <c r="Q285" s="15">
        <f t="shared" si="2"/>
        <v>0</v>
      </c>
    </row>
    <row r="286" ht="15.75" customHeight="1">
      <c r="A286" s="12" t="str">
        <f t="shared" si="1"/>
        <v>(02) Comercial</v>
      </c>
      <c r="B286" s="12"/>
      <c r="C286" s="12"/>
      <c r="D286" s="13"/>
      <c r="E286" s="17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9"/>
      <c r="Q286" s="15">
        <f t="shared" si="2"/>
        <v>0</v>
      </c>
    </row>
    <row r="287" ht="15.75" customHeight="1">
      <c r="A287" s="12" t="str">
        <f t="shared" si="1"/>
        <v>(02) Comercial</v>
      </c>
      <c r="B287" s="12"/>
      <c r="C287" s="12"/>
      <c r="D287" s="13"/>
      <c r="E287" s="17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9"/>
      <c r="Q287" s="15">
        <f t="shared" si="2"/>
        <v>0</v>
      </c>
    </row>
    <row r="288" ht="15.75" customHeight="1">
      <c r="A288" s="12" t="str">
        <f t="shared" si="1"/>
        <v>(02) Comercial</v>
      </c>
      <c r="B288" s="12"/>
      <c r="C288" s="12"/>
      <c r="D288" s="13"/>
      <c r="E288" s="17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9"/>
      <c r="Q288" s="15">
        <f t="shared" si="2"/>
        <v>0</v>
      </c>
    </row>
    <row r="289" ht="15.75" customHeight="1">
      <c r="A289" s="12" t="str">
        <f t="shared" si="1"/>
        <v>(02) Comercial</v>
      </c>
      <c r="B289" s="12"/>
      <c r="C289" s="12"/>
      <c r="D289" s="13"/>
      <c r="E289" s="17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9"/>
      <c r="Q289" s="15">
        <f t="shared" si="2"/>
        <v>0</v>
      </c>
    </row>
    <row r="290" ht="15.75" customHeight="1">
      <c r="A290" s="12" t="str">
        <f t="shared" si="1"/>
        <v>(02) Comercial</v>
      </c>
      <c r="B290" s="12"/>
      <c r="C290" s="12"/>
      <c r="D290" s="13"/>
      <c r="E290" s="17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9"/>
      <c r="Q290" s="15">
        <f t="shared" si="2"/>
        <v>0</v>
      </c>
    </row>
    <row r="291" ht="15.75" customHeight="1">
      <c r="A291" s="12" t="str">
        <f t="shared" si="1"/>
        <v>(02) Comercial</v>
      </c>
      <c r="B291" s="12"/>
      <c r="C291" s="12"/>
      <c r="D291" s="13"/>
      <c r="E291" s="17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9"/>
      <c r="Q291" s="15">
        <f t="shared" si="2"/>
        <v>0</v>
      </c>
    </row>
    <row r="292" ht="15.75" customHeight="1">
      <c r="A292" s="12" t="str">
        <f t="shared" si="1"/>
        <v>(02) Comercial</v>
      </c>
      <c r="B292" s="12"/>
      <c r="C292" s="12"/>
      <c r="D292" s="13"/>
      <c r="E292" s="17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9"/>
      <c r="Q292" s="15">
        <f t="shared" si="2"/>
        <v>0</v>
      </c>
    </row>
    <row r="293" ht="15.75" customHeight="1">
      <c r="A293" s="12" t="str">
        <f t="shared" si="1"/>
        <v>(02) Comercial</v>
      </c>
      <c r="B293" s="12"/>
      <c r="C293" s="12"/>
      <c r="D293" s="13"/>
      <c r="E293" s="17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9"/>
      <c r="Q293" s="15">
        <f t="shared" si="2"/>
        <v>0</v>
      </c>
    </row>
    <row r="294" ht="15.75" customHeight="1">
      <c r="A294" s="12" t="str">
        <f t="shared" si="1"/>
        <v>(02) Comercial</v>
      </c>
      <c r="B294" s="12"/>
      <c r="C294" s="12"/>
      <c r="D294" s="13"/>
      <c r="E294" s="17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9"/>
      <c r="Q294" s="15">
        <f t="shared" si="2"/>
        <v>0</v>
      </c>
    </row>
    <row r="295" ht="15.75" customHeight="1">
      <c r="A295" s="12" t="str">
        <f t="shared" si="1"/>
        <v>(02) Comercial</v>
      </c>
      <c r="B295" s="12"/>
      <c r="C295" s="12"/>
      <c r="D295" s="13"/>
      <c r="E295" s="17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9"/>
      <c r="Q295" s="15">
        <f t="shared" si="2"/>
        <v>0</v>
      </c>
    </row>
    <row r="296" ht="15.75" customHeight="1">
      <c r="A296" s="12" t="str">
        <f t="shared" si="1"/>
        <v>(02) Comercial</v>
      </c>
      <c r="B296" s="12"/>
      <c r="C296" s="12"/>
      <c r="D296" s="13"/>
      <c r="E296" s="17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9"/>
      <c r="Q296" s="15">
        <f t="shared" si="2"/>
        <v>0</v>
      </c>
    </row>
    <row r="297" ht="15.75" customHeight="1">
      <c r="A297" s="12" t="str">
        <f t="shared" si="1"/>
        <v>(02) Comercial</v>
      </c>
      <c r="B297" s="12"/>
      <c r="C297" s="12"/>
      <c r="D297" s="13"/>
      <c r="E297" s="17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9"/>
      <c r="Q297" s="15">
        <f t="shared" si="2"/>
        <v>0</v>
      </c>
    </row>
    <row r="298" ht="15.75" customHeight="1">
      <c r="A298" s="12" t="str">
        <f t="shared" si="1"/>
        <v>(02) Comercial</v>
      </c>
      <c r="B298" s="12"/>
      <c r="C298" s="12"/>
      <c r="D298" s="13"/>
      <c r="E298" s="17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9"/>
      <c r="Q298" s="15">
        <f t="shared" si="2"/>
        <v>0</v>
      </c>
    </row>
    <row r="299" ht="15.75" customHeight="1">
      <c r="A299" s="12" t="str">
        <f t="shared" si="1"/>
        <v>(02) Comercial</v>
      </c>
      <c r="B299" s="12"/>
      <c r="C299" s="12"/>
      <c r="D299" s="13"/>
      <c r="E299" s="17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9"/>
      <c r="Q299" s="15">
        <f t="shared" si="2"/>
        <v>0</v>
      </c>
    </row>
    <row r="300" ht="15.75" customHeight="1">
      <c r="A300" s="12" t="str">
        <f t="shared" si="1"/>
        <v>(02) Comercial</v>
      </c>
      <c r="B300" s="12"/>
      <c r="C300" s="12"/>
      <c r="D300" s="13"/>
      <c r="E300" s="17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9"/>
      <c r="Q300" s="15">
        <f t="shared" si="2"/>
        <v>0</v>
      </c>
    </row>
    <row r="301" ht="15.75" customHeight="1">
      <c r="A301" s="12" t="str">
        <f t="shared" si="1"/>
        <v>(02) Comercial</v>
      </c>
      <c r="B301" s="12"/>
      <c r="C301" s="12"/>
      <c r="D301" s="13"/>
      <c r="E301" s="17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9"/>
      <c r="Q301" s="15">
        <f t="shared" si="2"/>
        <v>0</v>
      </c>
    </row>
    <row r="302" ht="15.75" customHeight="1">
      <c r="A302" s="12" t="str">
        <f t="shared" si="1"/>
        <v>(02) Comercial</v>
      </c>
      <c r="B302" s="12"/>
      <c r="C302" s="12"/>
      <c r="D302" s="13"/>
      <c r="E302" s="17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9"/>
      <c r="Q302" s="15">
        <f t="shared" si="2"/>
        <v>0</v>
      </c>
    </row>
    <row r="303" ht="15.75" customHeight="1">
      <c r="A303" s="12" t="str">
        <f t="shared" si="1"/>
        <v>(02) Comercial</v>
      </c>
      <c r="B303" s="12"/>
      <c r="C303" s="12"/>
      <c r="D303" s="13"/>
      <c r="E303" s="17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9"/>
      <c r="Q303" s="15">
        <f t="shared" si="2"/>
        <v>0</v>
      </c>
    </row>
    <row r="304" ht="15.75" customHeight="1">
      <c r="A304" s="12" t="str">
        <f t="shared" si="1"/>
        <v>(02) Comercial</v>
      </c>
      <c r="B304" s="12"/>
      <c r="C304" s="12"/>
      <c r="D304" s="13"/>
      <c r="E304" s="17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9"/>
      <c r="Q304" s="15">
        <f t="shared" si="2"/>
        <v>0</v>
      </c>
    </row>
    <row r="305" ht="15.75" customHeight="1">
      <c r="A305" s="12" t="str">
        <f t="shared" si="1"/>
        <v>(02) Comercial</v>
      </c>
      <c r="B305" s="12"/>
      <c r="C305" s="12"/>
      <c r="D305" s="13"/>
      <c r="E305" s="17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9"/>
      <c r="Q305" s="15">
        <f t="shared" si="2"/>
        <v>0</v>
      </c>
    </row>
    <row r="306" ht="15.75" customHeight="1">
      <c r="A306" s="12" t="str">
        <f t="shared" si="1"/>
        <v>(02) Comercial</v>
      </c>
      <c r="B306" s="12"/>
      <c r="C306" s="12"/>
      <c r="D306" s="13"/>
      <c r="E306" s="17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9"/>
      <c r="Q306" s="15">
        <f t="shared" si="2"/>
        <v>0</v>
      </c>
    </row>
    <row r="307" ht="15.75" customHeight="1">
      <c r="A307" s="12" t="str">
        <f t="shared" si="1"/>
        <v>(02) Comercial</v>
      </c>
      <c r="B307" s="12"/>
      <c r="C307" s="12"/>
      <c r="D307" s="13"/>
      <c r="E307" s="17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9"/>
      <c r="Q307" s="15">
        <f t="shared" si="2"/>
        <v>0</v>
      </c>
    </row>
    <row r="308" ht="15.75" customHeight="1">
      <c r="A308" s="12" t="str">
        <f t="shared" si="1"/>
        <v>(02) Comercial</v>
      </c>
      <c r="B308" s="12"/>
      <c r="C308" s="12"/>
      <c r="D308" s="13"/>
      <c r="E308" s="17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9"/>
      <c r="Q308" s="15">
        <f t="shared" si="2"/>
        <v>0</v>
      </c>
    </row>
    <row r="309" ht="15.75" customHeight="1">
      <c r="A309" s="12" t="str">
        <f t="shared" si="1"/>
        <v>(02) Comercial</v>
      </c>
      <c r="B309" s="12"/>
      <c r="C309" s="12"/>
      <c r="D309" s="13"/>
      <c r="E309" s="17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9"/>
      <c r="Q309" s="15">
        <f t="shared" si="2"/>
        <v>0</v>
      </c>
    </row>
    <row r="310" ht="15.75" customHeight="1">
      <c r="A310" s="12" t="str">
        <f t="shared" si="1"/>
        <v>(02) Comercial</v>
      </c>
      <c r="B310" s="12"/>
      <c r="C310" s="12"/>
      <c r="D310" s="13"/>
      <c r="E310" s="17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9"/>
      <c r="Q310" s="15">
        <f t="shared" si="2"/>
        <v>0</v>
      </c>
    </row>
    <row r="311" ht="15.75" customHeight="1">
      <c r="A311" s="12" t="str">
        <f t="shared" si="1"/>
        <v>(02) Comercial</v>
      </c>
      <c r="B311" s="12"/>
      <c r="C311" s="12"/>
      <c r="D311" s="13"/>
      <c r="E311" s="17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9"/>
      <c r="Q311" s="15">
        <f t="shared" si="2"/>
        <v>0</v>
      </c>
    </row>
    <row r="312" ht="15.75" customHeight="1">
      <c r="A312" s="12" t="str">
        <f t="shared" si="1"/>
        <v>(02) Comercial</v>
      </c>
      <c r="B312" s="12"/>
      <c r="C312" s="12"/>
      <c r="D312" s="13"/>
      <c r="E312" s="17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9"/>
      <c r="Q312" s="15">
        <f t="shared" si="2"/>
        <v>0</v>
      </c>
    </row>
    <row r="313" ht="15.75" customHeight="1">
      <c r="A313" s="12" t="str">
        <f t="shared" si="1"/>
        <v>(02) Comercial</v>
      </c>
      <c r="B313" s="12"/>
      <c r="C313" s="12"/>
      <c r="D313" s="13"/>
      <c r="E313" s="17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9"/>
      <c r="Q313" s="15">
        <f t="shared" si="2"/>
        <v>0</v>
      </c>
    </row>
    <row r="314" ht="15.75" customHeight="1">
      <c r="A314" s="12" t="str">
        <f t="shared" si="1"/>
        <v>(02) Comercial</v>
      </c>
      <c r="B314" s="12"/>
      <c r="C314" s="12"/>
      <c r="D314" s="13"/>
      <c r="E314" s="17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9"/>
      <c r="Q314" s="15">
        <f t="shared" si="2"/>
        <v>0</v>
      </c>
    </row>
    <row r="315" ht="15.75" customHeight="1">
      <c r="A315" s="12" t="str">
        <f t="shared" si="1"/>
        <v>(02) Comercial</v>
      </c>
      <c r="B315" s="12"/>
      <c r="C315" s="12"/>
      <c r="D315" s="13"/>
      <c r="E315" s="17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9"/>
      <c r="Q315" s="15">
        <f t="shared" si="2"/>
        <v>0</v>
      </c>
    </row>
    <row r="316" ht="15.75" customHeight="1">
      <c r="A316" s="12" t="str">
        <f t="shared" si="1"/>
        <v>(02) Comercial</v>
      </c>
      <c r="B316" s="12"/>
      <c r="C316" s="12"/>
      <c r="D316" s="13"/>
      <c r="E316" s="17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9"/>
      <c r="Q316" s="15">
        <f t="shared" si="2"/>
        <v>0</v>
      </c>
    </row>
    <row r="317" ht="15.75" customHeight="1">
      <c r="A317" s="12" t="str">
        <f t="shared" si="1"/>
        <v>(02) Comercial</v>
      </c>
      <c r="B317" s="12"/>
      <c r="C317" s="12"/>
      <c r="D317" s="13"/>
      <c r="E317" s="17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9"/>
      <c r="Q317" s="15">
        <f t="shared" si="2"/>
        <v>0</v>
      </c>
    </row>
    <row r="318" ht="15.75" customHeight="1">
      <c r="A318" s="12" t="str">
        <f t="shared" si="1"/>
        <v>(02) Comercial</v>
      </c>
      <c r="B318" s="12"/>
      <c r="C318" s="12"/>
      <c r="D318" s="13"/>
      <c r="E318" s="17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9"/>
      <c r="Q318" s="15">
        <f t="shared" si="2"/>
        <v>0</v>
      </c>
    </row>
    <row r="319" ht="15.75" customHeight="1">
      <c r="A319" s="12" t="str">
        <f t="shared" si="1"/>
        <v>(02) Comercial</v>
      </c>
      <c r="B319" s="12"/>
      <c r="C319" s="12"/>
      <c r="D319" s="13"/>
      <c r="E319" s="17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9"/>
      <c r="Q319" s="15">
        <f t="shared" si="2"/>
        <v>0</v>
      </c>
    </row>
    <row r="320" ht="15.75" customHeight="1">
      <c r="A320" s="12" t="str">
        <f t="shared" si="1"/>
        <v>(02) Comercial</v>
      </c>
      <c r="B320" s="12"/>
      <c r="C320" s="12"/>
      <c r="D320" s="13"/>
      <c r="E320" s="17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9"/>
      <c r="Q320" s="15">
        <f t="shared" si="2"/>
        <v>0</v>
      </c>
    </row>
    <row r="321" ht="15.75" customHeight="1">
      <c r="A321" s="12" t="str">
        <f t="shared" si="1"/>
        <v>(02) Comercial</v>
      </c>
      <c r="B321" s="12"/>
      <c r="C321" s="12"/>
      <c r="D321" s="13"/>
      <c r="E321" s="17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9"/>
      <c r="Q321" s="15">
        <f t="shared" si="2"/>
        <v>0</v>
      </c>
    </row>
    <row r="322" ht="15.75" customHeight="1">
      <c r="A322" s="12" t="str">
        <f t="shared" si="1"/>
        <v>(02) Comercial</v>
      </c>
      <c r="B322" s="12"/>
      <c r="C322" s="12"/>
      <c r="D322" s="13"/>
      <c r="E322" s="17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9"/>
      <c r="Q322" s="15">
        <f t="shared" si="2"/>
        <v>0</v>
      </c>
    </row>
    <row r="323" ht="15.75" customHeight="1">
      <c r="A323" s="12" t="str">
        <f t="shared" si="1"/>
        <v>(02) Comercial</v>
      </c>
      <c r="B323" s="12"/>
      <c r="C323" s="12"/>
      <c r="D323" s="13"/>
      <c r="E323" s="17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9"/>
      <c r="Q323" s="15">
        <f t="shared" si="2"/>
        <v>0</v>
      </c>
    </row>
    <row r="324" ht="15.75" customHeight="1">
      <c r="A324" s="12" t="str">
        <f t="shared" si="1"/>
        <v>(02) Comercial</v>
      </c>
      <c r="B324" s="12"/>
      <c r="C324" s="12"/>
      <c r="D324" s="13"/>
      <c r="E324" s="17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9"/>
      <c r="Q324" s="15">
        <f t="shared" si="2"/>
        <v>0</v>
      </c>
    </row>
    <row r="325" ht="15.75" customHeight="1">
      <c r="A325" s="12" t="str">
        <f t="shared" si="1"/>
        <v>(02) Comercial</v>
      </c>
      <c r="B325" s="12"/>
      <c r="C325" s="12"/>
      <c r="D325" s="13"/>
      <c r="E325" s="17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9"/>
      <c r="Q325" s="15">
        <f t="shared" si="2"/>
        <v>0</v>
      </c>
    </row>
    <row r="326" ht="15.75" customHeight="1">
      <c r="A326" s="12" t="str">
        <f t="shared" si="1"/>
        <v>(02) Comercial</v>
      </c>
      <c r="B326" s="12"/>
      <c r="C326" s="12"/>
      <c r="D326" s="13"/>
      <c r="E326" s="17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9"/>
      <c r="Q326" s="15">
        <f t="shared" si="2"/>
        <v>0</v>
      </c>
    </row>
    <row r="327" ht="15.75" customHeight="1">
      <c r="A327" s="12" t="str">
        <f t="shared" si="1"/>
        <v>(02) Comercial</v>
      </c>
      <c r="B327" s="12"/>
      <c r="C327" s="12"/>
      <c r="D327" s="13"/>
      <c r="E327" s="17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9"/>
      <c r="Q327" s="15">
        <f t="shared" si="2"/>
        <v>0</v>
      </c>
    </row>
    <row r="328" ht="15.75" customHeight="1">
      <c r="A328" s="12" t="str">
        <f t="shared" si="1"/>
        <v>(02) Comercial</v>
      </c>
      <c r="B328" s="12"/>
      <c r="C328" s="12"/>
      <c r="D328" s="13"/>
      <c r="E328" s="17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9"/>
      <c r="Q328" s="15">
        <f t="shared" si="2"/>
        <v>0</v>
      </c>
    </row>
    <row r="329" ht="15.75" customHeight="1">
      <c r="A329" s="12" t="str">
        <f t="shared" si="1"/>
        <v>(02) Comercial</v>
      </c>
      <c r="B329" s="12"/>
      <c r="C329" s="12"/>
      <c r="D329" s="13"/>
      <c r="E329" s="17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9"/>
      <c r="Q329" s="15">
        <f t="shared" si="2"/>
        <v>0</v>
      </c>
    </row>
    <row r="330" ht="15.75" customHeight="1">
      <c r="A330" s="12" t="str">
        <f t="shared" si="1"/>
        <v>(02) Comercial</v>
      </c>
      <c r="B330" s="12"/>
      <c r="C330" s="12"/>
      <c r="D330" s="13"/>
      <c r="E330" s="17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9"/>
      <c r="Q330" s="15">
        <f t="shared" si="2"/>
        <v>0</v>
      </c>
    </row>
    <row r="331" ht="15.75" customHeight="1">
      <c r="A331" s="12" t="str">
        <f t="shared" si="1"/>
        <v>(02) Comercial</v>
      </c>
      <c r="B331" s="12"/>
      <c r="C331" s="12"/>
      <c r="D331" s="13"/>
      <c r="E331" s="17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9"/>
      <c r="Q331" s="15">
        <f t="shared" si="2"/>
        <v>0</v>
      </c>
    </row>
    <row r="332" ht="15.75" customHeight="1">
      <c r="A332" s="12" t="str">
        <f t="shared" si="1"/>
        <v>(02) Comercial</v>
      </c>
      <c r="B332" s="12"/>
      <c r="C332" s="12"/>
      <c r="D332" s="13"/>
      <c r="E332" s="17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9"/>
      <c r="Q332" s="15">
        <f t="shared" si="2"/>
        <v>0</v>
      </c>
    </row>
    <row r="333" ht="15.75" customHeight="1">
      <c r="A333" s="12" t="str">
        <f t="shared" si="1"/>
        <v>(02) Comercial</v>
      </c>
      <c r="B333" s="12"/>
      <c r="C333" s="12"/>
      <c r="D333" s="13"/>
      <c r="E333" s="17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9"/>
      <c r="Q333" s="15">
        <f t="shared" si="2"/>
        <v>0</v>
      </c>
    </row>
    <row r="334" ht="15.75" customHeight="1">
      <c r="A334" s="12" t="str">
        <f t="shared" si="1"/>
        <v>(02) Comercial</v>
      </c>
      <c r="B334" s="12"/>
      <c r="C334" s="12"/>
      <c r="D334" s="13"/>
      <c r="E334" s="17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9"/>
      <c r="Q334" s="15">
        <f t="shared" si="2"/>
        <v>0</v>
      </c>
    </row>
    <row r="335" ht="15.75" customHeight="1">
      <c r="A335" s="12" t="str">
        <f t="shared" si="1"/>
        <v>(02) Comercial</v>
      </c>
      <c r="B335" s="12"/>
      <c r="C335" s="12"/>
      <c r="D335" s="13"/>
      <c r="E335" s="17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9"/>
      <c r="Q335" s="15">
        <f t="shared" si="2"/>
        <v>0</v>
      </c>
    </row>
    <row r="336" ht="15.75" customHeight="1">
      <c r="A336" s="12" t="str">
        <f t="shared" si="1"/>
        <v>(02) Comercial</v>
      </c>
      <c r="B336" s="12"/>
      <c r="C336" s="12"/>
      <c r="D336" s="13"/>
      <c r="E336" s="17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9"/>
      <c r="Q336" s="15">
        <f t="shared" si="2"/>
        <v>0</v>
      </c>
    </row>
    <row r="337" ht="15.75" customHeight="1">
      <c r="A337" s="12" t="str">
        <f t="shared" si="1"/>
        <v>(02) Comercial</v>
      </c>
      <c r="B337" s="12"/>
      <c r="C337" s="12"/>
      <c r="D337" s="13"/>
      <c r="E337" s="17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9"/>
      <c r="Q337" s="15">
        <f t="shared" si="2"/>
        <v>0</v>
      </c>
    </row>
    <row r="338" ht="15.75" customHeight="1">
      <c r="A338" s="12" t="str">
        <f t="shared" si="1"/>
        <v>(02) Comercial</v>
      </c>
      <c r="B338" s="12"/>
      <c r="C338" s="12"/>
      <c r="D338" s="13"/>
      <c r="E338" s="17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9"/>
      <c r="Q338" s="15">
        <f t="shared" si="2"/>
        <v>0</v>
      </c>
    </row>
    <row r="339" ht="15.75" customHeight="1">
      <c r="A339" s="12" t="str">
        <f t="shared" si="1"/>
        <v>(02) Comercial</v>
      </c>
      <c r="B339" s="12"/>
      <c r="C339" s="12"/>
      <c r="D339" s="13"/>
      <c r="E339" s="17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9"/>
      <c r="Q339" s="15">
        <f t="shared" si="2"/>
        <v>0</v>
      </c>
    </row>
    <row r="340" ht="15.75" customHeight="1">
      <c r="A340" s="12" t="str">
        <f t="shared" si="1"/>
        <v>(02) Comercial</v>
      </c>
      <c r="B340" s="12"/>
      <c r="C340" s="12"/>
      <c r="D340" s="13"/>
      <c r="E340" s="17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9"/>
      <c r="Q340" s="15">
        <f t="shared" si="2"/>
        <v>0</v>
      </c>
    </row>
    <row r="341" ht="15.75" customHeight="1">
      <c r="A341" s="12" t="str">
        <f t="shared" si="1"/>
        <v>(02) Comercial</v>
      </c>
      <c r="B341" s="12"/>
      <c r="C341" s="12"/>
      <c r="D341" s="13"/>
      <c r="E341" s="17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9"/>
      <c r="Q341" s="15">
        <f t="shared" si="2"/>
        <v>0</v>
      </c>
    </row>
    <row r="342" ht="15.75" customHeight="1">
      <c r="A342" s="12" t="str">
        <f t="shared" si="1"/>
        <v>(02) Comercial</v>
      </c>
      <c r="B342" s="12"/>
      <c r="C342" s="12"/>
      <c r="D342" s="13"/>
      <c r="E342" s="17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9"/>
      <c r="Q342" s="15">
        <f t="shared" si="2"/>
        <v>0</v>
      </c>
    </row>
    <row r="343" ht="15.75" customHeight="1">
      <c r="A343" s="12" t="str">
        <f t="shared" si="1"/>
        <v>(02) Comercial</v>
      </c>
      <c r="B343" s="12"/>
      <c r="C343" s="12"/>
      <c r="D343" s="13"/>
      <c r="E343" s="17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9"/>
      <c r="Q343" s="15">
        <f t="shared" si="2"/>
        <v>0</v>
      </c>
    </row>
    <row r="344" ht="15.75" customHeight="1">
      <c r="A344" s="12" t="str">
        <f t="shared" si="1"/>
        <v>(02) Comercial</v>
      </c>
      <c r="B344" s="12"/>
      <c r="C344" s="12"/>
      <c r="D344" s="13"/>
      <c r="E344" s="17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9"/>
      <c r="Q344" s="15">
        <f t="shared" si="2"/>
        <v>0</v>
      </c>
    </row>
    <row r="345" ht="15.75" customHeight="1">
      <c r="A345" s="12" t="str">
        <f t="shared" si="1"/>
        <v>(02) Comercial</v>
      </c>
      <c r="B345" s="12"/>
      <c r="C345" s="12"/>
      <c r="D345" s="13"/>
      <c r="E345" s="17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9"/>
      <c r="Q345" s="15">
        <f t="shared" si="2"/>
        <v>0</v>
      </c>
    </row>
    <row r="346" ht="15.75" customHeight="1">
      <c r="A346" s="12" t="str">
        <f t="shared" si="1"/>
        <v>(02) Comercial</v>
      </c>
      <c r="B346" s="12"/>
      <c r="C346" s="12"/>
      <c r="D346" s="13"/>
      <c r="E346" s="17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9"/>
      <c r="Q346" s="15">
        <f t="shared" si="2"/>
        <v>0</v>
      </c>
    </row>
    <row r="347" ht="15.75" customHeight="1">
      <c r="A347" s="12" t="str">
        <f t="shared" si="1"/>
        <v>(02) Comercial</v>
      </c>
      <c r="B347" s="12"/>
      <c r="C347" s="12"/>
      <c r="D347" s="13"/>
      <c r="E347" s="17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9"/>
      <c r="Q347" s="15">
        <f t="shared" si="2"/>
        <v>0</v>
      </c>
    </row>
    <row r="348" ht="15.75" customHeight="1">
      <c r="A348" s="12" t="str">
        <f t="shared" si="1"/>
        <v>(02) Comercial</v>
      </c>
      <c r="B348" s="12"/>
      <c r="C348" s="12"/>
      <c r="D348" s="13"/>
      <c r="E348" s="17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9"/>
      <c r="Q348" s="15">
        <f t="shared" si="2"/>
        <v>0</v>
      </c>
    </row>
    <row r="349" ht="15.75" customHeight="1">
      <c r="A349" s="12" t="str">
        <f t="shared" si="1"/>
        <v>(02) Comercial</v>
      </c>
      <c r="B349" s="12"/>
      <c r="C349" s="12"/>
      <c r="D349" s="13"/>
      <c r="E349" s="17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9"/>
      <c r="Q349" s="15">
        <f t="shared" si="2"/>
        <v>0</v>
      </c>
    </row>
    <row r="350" ht="15.75" customHeight="1">
      <c r="A350" s="12" t="str">
        <f t="shared" si="1"/>
        <v>(02) Comercial</v>
      </c>
      <c r="B350" s="12"/>
      <c r="C350" s="12"/>
      <c r="D350" s="13"/>
      <c r="E350" s="17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9"/>
      <c r="Q350" s="15">
        <f t="shared" si="2"/>
        <v>0</v>
      </c>
    </row>
    <row r="351" ht="15.75" customHeight="1">
      <c r="A351" s="12" t="str">
        <f t="shared" si="1"/>
        <v>(02) Comercial</v>
      </c>
      <c r="B351" s="12"/>
      <c r="C351" s="12"/>
      <c r="D351" s="13"/>
      <c r="E351" s="17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9"/>
      <c r="Q351" s="15">
        <f t="shared" si="2"/>
        <v>0</v>
      </c>
    </row>
    <row r="352" ht="15.75" customHeight="1">
      <c r="A352" s="12" t="str">
        <f t="shared" si="1"/>
        <v>(02) Comercial</v>
      </c>
      <c r="B352" s="12"/>
      <c r="C352" s="12"/>
      <c r="D352" s="13"/>
      <c r="E352" s="17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9"/>
      <c r="Q352" s="15">
        <f t="shared" si="2"/>
        <v>0</v>
      </c>
    </row>
    <row r="353" ht="15.75" customHeight="1">
      <c r="A353" s="12" t="str">
        <f t="shared" si="1"/>
        <v>(02) Comercial</v>
      </c>
      <c r="B353" s="12"/>
      <c r="C353" s="12"/>
      <c r="D353" s="13"/>
      <c r="E353" s="17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9"/>
      <c r="Q353" s="15">
        <f t="shared" si="2"/>
        <v>0</v>
      </c>
    </row>
    <row r="354" ht="15.75" customHeight="1">
      <c r="A354" s="12" t="str">
        <f t="shared" si="1"/>
        <v>(02) Comercial</v>
      </c>
      <c r="B354" s="12"/>
      <c r="C354" s="12"/>
      <c r="D354" s="13"/>
      <c r="E354" s="17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9"/>
      <c r="Q354" s="15">
        <f t="shared" si="2"/>
        <v>0</v>
      </c>
    </row>
    <row r="355" ht="15.75" customHeight="1">
      <c r="A355" s="12" t="str">
        <f t="shared" si="1"/>
        <v>(02) Comercial</v>
      </c>
      <c r="B355" s="12"/>
      <c r="C355" s="12"/>
      <c r="D355" s="13"/>
      <c r="E355" s="17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9"/>
      <c r="Q355" s="15">
        <f t="shared" si="2"/>
        <v>0</v>
      </c>
    </row>
    <row r="356" ht="15.75" customHeight="1">
      <c r="A356" s="12" t="str">
        <f t="shared" si="1"/>
        <v>(02) Comercial</v>
      </c>
      <c r="B356" s="12"/>
      <c r="C356" s="12"/>
      <c r="D356" s="13"/>
      <c r="E356" s="17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9"/>
      <c r="Q356" s="15">
        <f t="shared" si="2"/>
        <v>0</v>
      </c>
    </row>
    <row r="357" ht="15.75" customHeight="1">
      <c r="A357" s="12" t="str">
        <f t="shared" si="1"/>
        <v>(02) Comercial</v>
      </c>
      <c r="B357" s="12"/>
      <c r="C357" s="12"/>
      <c r="D357" s="13"/>
      <c r="E357" s="17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9"/>
      <c r="Q357" s="15">
        <f t="shared" si="2"/>
        <v>0</v>
      </c>
    </row>
    <row r="358" ht="15.75" customHeight="1">
      <c r="A358" s="12" t="str">
        <f t="shared" si="1"/>
        <v>(02) Comercial</v>
      </c>
      <c r="B358" s="12"/>
      <c r="C358" s="12"/>
      <c r="D358" s="13"/>
      <c r="E358" s="17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9"/>
      <c r="Q358" s="15">
        <f t="shared" si="2"/>
        <v>0</v>
      </c>
    </row>
    <row r="359" ht="15.75" customHeight="1">
      <c r="A359" s="12" t="str">
        <f t="shared" si="1"/>
        <v>(02) Comercial</v>
      </c>
      <c r="B359" s="12"/>
      <c r="C359" s="12"/>
      <c r="D359" s="13"/>
      <c r="E359" s="17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9"/>
      <c r="Q359" s="15">
        <f t="shared" si="2"/>
        <v>0</v>
      </c>
    </row>
    <row r="360" ht="15.75" customHeight="1">
      <c r="A360" s="12" t="str">
        <f t="shared" si="1"/>
        <v>(02) Comercial</v>
      </c>
      <c r="B360" s="12"/>
      <c r="C360" s="12"/>
      <c r="D360" s="13"/>
      <c r="E360" s="17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9"/>
      <c r="Q360" s="15">
        <f t="shared" si="2"/>
        <v>0</v>
      </c>
    </row>
    <row r="361" ht="15.75" customHeight="1">
      <c r="A361" s="12" t="str">
        <f t="shared" si="1"/>
        <v>(02) Comercial</v>
      </c>
      <c r="B361" s="12"/>
      <c r="C361" s="12"/>
      <c r="D361" s="13"/>
      <c r="E361" s="17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9"/>
      <c r="Q361" s="15">
        <f t="shared" si="2"/>
        <v>0</v>
      </c>
    </row>
    <row r="362" ht="15.75" customHeight="1">
      <c r="A362" s="12" t="str">
        <f t="shared" si="1"/>
        <v>(02) Comercial</v>
      </c>
      <c r="B362" s="12"/>
      <c r="C362" s="12"/>
      <c r="D362" s="13"/>
      <c r="E362" s="17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9"/>
      <c r="Q362" s="15">
        <f t="shared" si="2"/>
        <v>0</v>
      </c>
    </row>
    <row r="363" ht="15.75" customHeight="1">
      <c r="A363" s="12" t="str">
        <f t="shared" si="1"/>
        <v>(02) Comercial</v>
      </c>
      <c r="B363" s="12"/>
      <c r="C363" s="12"/>
      <c r="D363" s="13"/>
      <c r="E363" s="17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9"/>
      <c r="Q363" s="15">
        <f t="shared" si="2"/>
        <v>0</v>
      </c>
    </row>
    <row r="364" ht="15.75" customHeight="1">
      <c r="A364" s="12" t="str">
        <f t="shared" si="1"/>
        <v>(02) Comercial</v>
      </c>
      <c r="B364" s="12"/>
      <c r="C364" s="12"/>
      <c r="D364" s="13"/>
      <c r="E364" s="17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9"/>
      <c r="Q364" s="15">
        <f t="shared" si="2"/>
        <v>0</v>
      </c>
    </row>
    <row r="365" ht="15.75" customHeight="1">
      <c r="A365" s="12" t="str">
        <f t="shared" si="1"/>
        <v>(02) Comercial</v>
      </c>
      <c r="B365" s="12"/>
      <c r="C365" s="12"/>
      <c r="D365" s="13"/>
      <c r="E365" s="17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9"/>
      <c r="Q365" s="15">
        <f t="shared" si="2"/>
        <v>0</v>
      </c>
    </row>
    <row r="366" ht="15.75" customHeight="1">
      <c r="A366" s="12" t="str">
        <f t="shared" si="1"/>
        <v>(02) Comercial</v>
      </c>
      <c r="B366" s="12"/>
      <c r="C366" s="12"/>
      <c r="D366" s="13"/>
      <c r="E366" s="17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9"/>
      <c r="Q366" s="15">
        <f t="shared" si="2"/>
        <v>0</v>
      </c>
    </row>
    <row r="367" ht="15.75" customHeight="1">
      <c r="A367" s="12" t="str">
        <f t="shared" si="1"/>
        <v>(02) Comercial</v>
      </c>
      <c r="B367" s="12"/>
      <c r="C367" s="12"/>
      <c r="D367" s="13"/>
      <c r="E367" s="17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9"/>
      <c r="Q367" s="15">
        <f t="shared" si="2"/>
        <v>0</v>
      </c>
    </row>
    <row r="368" ht="15.75" customHeight="1">
      <c r="A368" s="12" t="str">
        <f t="shared" si="1"/>
        <v>(02) Comercial</v>
      </c>
      <c r="B368" s="12"/>
      <c r="C368" s="12"/>
      <c r="D368" s="13"/>
      <c r="E368" s="17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9"/>
      <c r="Q368" s="15">
        <f t="shared" si="2"/>
        <v>0</v>
      </c>
    </row>
    <row r="369" ht="15.75" customHeight="1">
      <c r="A369" s="12" t="str">
        <f t="shared" si="1"/>
        <v>(02) Comercial</v>
      </c>
      <c r="B369" s="12"/>
      <c r="C369" s="12"/>
      <c r="D369" s="13"/>
      <c r="E369" s="17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9"/>
      <c r="Q369" s="15">
        <f t="shared" si="2"/>
        <v>0</v>
      </c>
    </row>
    <row r="370" ht="15.75" customHeight="1">
      <c r="A370" s="12" t="str">
        <f t="shared" si="1"/>
        <v>(02) Comercial</v>
      </c>
      <c r="B370" s="12"/>
      <c r="C370" s="12"/>
      <c r="D370" s="13"/>
      <c r="E370" s="17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9"/>
      <c r="Q370" s="15">
        <f t="shared" si="2"/>
        <v>0</v>
      </c>
    </row>
    <row r="371" ht="15.75" customHeight="1">
      <c r="A371" s="12" t="str">
        <f t="shared" si="1"/>
        <v>(02) Comercial</v>
      </c>
      <c r="B371" s="12"/>
      <c r="C371" s="12"/>
      <c r="D371" s="13"/>
      <c r="E371" s="17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9"/>
      <c r="Q371" s="15">
        <f t="shared" si="2"/>
        <v>0</v>
      </c>
    </row>
    <row r="372" ht="15.75" customHeight="1">
      <c r="A372" s="12" t="str">
        <f t="shared" si="1"/>
        <v>(02) Comercial</v>
      </c>
      <c r="B372" s="12"/>
      <c r="C372" s="12"/>
      <c r="D372" s="13"/>
      <c r="E372" s="17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9"/>
      <c r="Q372" s="15">
        <f t="shared" si="2"/>
        <v>0</v>
      </c>
    </row>
    <row r="373" ht="15.75" customHeight="1">
      <c r="A373" s="12" t="str">
        <f t="shared" si="1"/>
        <v>(02) Comercial</v>
      </c>
      <c r="B373" s="12"/>
      <c r="C373" s="12"/>
      <c r="D373" s="13"/>
      <c r="E373" s="17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9"/>
      <c r="Q373" s="15">
        <f t="shared" si="2"/>
        <v>0</v>
      </c>
    </row>
    <row r="374" ht="15.75" customHeight="1">
      <c r="A374" s="12" t="str">
        <f t="shared" si="1"/>
        <v>(02) Comercial</v>
      </c>
      <c r="B374" s="12"/>
      <c r="C374" s="12"/>
      <c r="D374" s="13"/>
      <c r="E374" s="17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9"/>
      <c r="Q374" s="15">
        <f t="shared" si="2"/>
        <v>0</v>
      </c>
    </row>
    <row r="375" ht="15.75" customHeight="1">
      <c r="A375" s="12" t="str">
        <f t="shared" si="1"/>
        <v>(02) Comercial</v>
      </c>
      <c r="B375" s="12"/>
      <c r="C375" s="12"/>
      <c r="D375" s="13"/>
      <c r="E375" s="17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9"/>
      <c r="Q375" s="15">
        <f t="shared" si="2"/>
        <v>0</v>
      </c>
    </row>
    <row r="376" ht="15.75" customHeight="1">
      <c r="A376" s="12" t="str">
        <f t="shared" si="1"/>
        <v>(02) Comercial</v>
      </c>
      <c r="B376" s="12"/>
      <c r="C376" s="12"/>
      <c r="D376" s="13"/>
      <c r="E376" s="17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9"/>
      <c r="Q376" s="15">
        <f t="shared" si="2"/>
        <v>0</v>
      </c>
    </row>
    <row r="377" ht="15.75" customHeight="1">
      <c r="A377" s="12" t="str">
        <f t="shared" si="1"/>
        <v>(02) Comercial</v>
      </c>
      <c r="B377" s="12"/>
      <c r="C377" s="12"/>
      <c r="D377" s="13"/>
      <c r="E377" s="17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9"/>
      <c r="Q377" s="15">
        <f t="shared" si="2"/>
        <v>0</v>
      </c>
    </row>
    <row r="378" ht="15.75" customHeight="1">
      <c r="A378" s="12" t="str">
        <f t="shared" si="1"/>
        <v>(02) Comercial</v>
      </c>
      <c r="B378" s="12"/>
      <c r="C378" s="12"/>
      <c r="D378" s="13"/>
      <c r="E378" s="17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9"/>
      <c r="Q378" s="15">
        <f t="shared" si="2"/>
        <v>0</v>
      </c>
    </row>
    <row r="379" ht="15.75" customHeight="1">
      <c r="A379" s="12" t="str">
        <f t="shared" si="1"/>
        <v>(02) Comercial</v>
      </c>
      <c r="B379" s="12"/>
      <c r="C379" s="12"/>
      <c r="D379" s="13"/>
      <c r="E379" s="17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9"/>
      <c r="Q379" s="15">
        <f t="shared" si="2"/>
        <v>0</v>
      </c>
    </row>
    <row r="380" ht="15.75" customHeight="1">
      <c r="A380" s="12" t="str">
        <f t="shared" si="1"/>
        <v>(02) Comercial</v>
      </c>
      <c r="B380" s="12"/>
      <c r="C380" s="12"/>
      <c r="D380" s="13"/>
      <c r="E380" s="17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9"/>
      <c r="Q380" s="15">
        <f t="shared" si="2"/>
        <v>0</v>
      </c>
    </row>
    <row r="381" ht="15.75" customHeight="1">
      <c r="A381" s="12" t="str">
        <f t="shared" si="1"/>
        <v>(02) Comercial</v>
      </c>
      <c r="B381" s="12"/>
      <c r="C381" s="12"/>
      <c r="D381" s="13"/>
      <c r="E381" s="17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9"/>
      <c r="Q381" s="15">
        <f t="shared" si="2"/>
        <v>0</v>
      </c>
    </row>
    <row r="382" ht="15.75" customHeight="1">
      <c r="A382" s="12" t="str">
        <f t="shared" si="1"/>
        <v>(02) Comercial</v>
      </c>
      <c r="B382" s="12"/>
      <c r="C382" s="12"/>
      <c r="D382" s="13"/>
      <c r="E382" s="17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9"/>
      <c r="Q382" s="15">
        <f t="shared" si="2"/>
        <v>0</v>
      </c>
    </row>
    <row r="383" ht="15.75" customHeight="1">
      <c r="A383" s="12" t="str">
        <f t="shared" si="1"/>
        <v>(02) Comercial</v>
      </c>
      <c r="B383" s="12"/>
      <c r="C383" s="12"/>
      <c r="D383" s="13"/>
      <c r="E383" s="17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9"/>
      <c r="Q383" s="15">
        <f t="shared" si="2"/>
        <v>0</v>
      </c>
    </row>
    <row r="384" ht="15.75" customHeight="1">
      <c r="A384" s="12" t="str">
        <f t="shared" si="1"/>
        <v>(02) Comercial</v>
      </c>
      <c r="B384" s="12"/>
      <c r="C384" s="12"/>
      <c r="D384" s="13"/>
      <c r="E384" s="17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9"/>
      <c r="Q384" s="15">
        <f t="shared" si="2"/>
        <v>0</v>
      </c>
    </row>
    <row r="385" ht="15.75" customHeight="1">
      <c r="A385" s="12" t="str">
        <f t="shared" si="1"/>
        <v>(02) Comercial</v>
      </c>
      <c r="B385" s="12"/>
      <c r="C385" s="12"/>
      <c r="D385" s="13"/>
      <c r="E385" s="17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9"/>
      <c r="Q385" s="15">
        <f t="shared" si="2"/>
        <v>0</v>
      </c>
    </row>
    <row r="386" ht="15.75" customHeight="1">
      <c r="A386" s="12" t="str">
        <f t="shared" si="1"/>
        <v>(02) Comercial</v>
      </c>
      <c r="B386" s="12"/>
      <c r="C386" s="12"/>
      <c r="D386" s="13"/>
      <c r="E386" s="17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9"/>
      <c r="Q386" s="15">
        <f t="shared" si="2"/>
        <v>0</v>
      </c>
    </row>
    <row r="387" ht="15.75" customHeight="1">
      <c r="A387" s="12" t="str">
        <f t="shared" si="1"/>
        <v>(02) Comercial</v>
      </c>
      <c r="B387" s="12"/>
      <c r="C387" s="12"/>
      <c r="D387" s="13"/>
      <c r="E387" s="17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9"/>
      <c r="Q387" s="15">
        <f t="shared" si="2"/>
        <v>0</v>
      </c>
    </row>
    <row r="388" ht="15.75" customHeight="1">
      <c r="A388" s="12" t="str">
        <f t="shared" si="1"/>
        <v>(02) Comercial</v>
      </c>
      <c r="B388" s="12"/>
      <c r="C388" s="12"/>
      <c r="D388" s="13"/>
      <c r="E388" s="17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9"/>
      <c r="Q388" s="15">
        <f t="shared" si="2"/>
        <v>0</v>
      </c>
    </row>
    <row r="389" ht="15.75" customHeight="1">
      <c r="A389" s="12" t="str">
        <f t="shared" si="1"/>
        <v>(02) Comercial</v>
      </c>
      <c r="B389" s="12"/>
      <c r="C389" s="12"/>
      <c r="D389" s="13"/>
      <c r="E389" s="17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9"/>
      <c r="Q389" s="15">
        <f t="shared" si="2"/>
        <v>0</v>
      </c>
    </row>
    <row r="390" ht="15.75" customHeight="1">
      <c r="A390" s="12" t="str">
        <f t="shared" si="1"/>
        <v>(02) Comercial</v>
      </c>
      <c r="B390" s="12"/>
      <c r="C390" s="12"/>
      <c r="D390" s="13"/>
      <c r="E390" s="17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9"/>
      <c r="Q390" s="15">
        <f t="shared" si="2"/>
        <v>0</v>
      </c>
    </row>
    <row r="391" ht="15.75" customHeight="1">
      <c r="A391" s="12" t="str">
        <f t="shared" si="1"/>
        <v>(02) Comercial</v>
      </c>
      <c r="B391" s="12"/>
      <c r="C391" s="12"/>
      <c r="D391" s="13"/>
      <c r="E391" s="17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9"/>
      <c r="Q391" s="15">
        <f t="shared" si="2"/>
        <v>0</v>
      </c>
    </row>
    <row r="392" ht="15.75" customHeight="1">
      <c r="A392" s="12" t="str">
        <f t="shared" si="1"/>
        <v>(02) Comercial</v>
      </c>
      <c r="B392" s="12"/>
      <c r="C392" s="12"/>
      <c r="D392" s="13"/>
      <c r="E392" s="17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9"/>
      <c r="Q392" s="15">
        <f t="shared" si="2"/>
        <v>0</v>
      </c>
    </row>
    <row r="393" ht="15.75" customHeight="1">
      <c r="A393" s="12" t="str">
        <f t="shared" si="1"/>
        <v>(02) Comercial</v>
      </c>
      <c r="B393" s="12"/>
      <c r="C393" s="12"/>
      <c r="D393" s="13"/>
      <c r="E393" s="17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9"/>
      <c r="Q393" s="15">
        <f t="shared" si="2"/>
        <v>0</v>
      </c>
    </row>
    <row r="394" ht="15.75" customHeight="1">
      <c r="A394" s="12" t="str">
        <f t="shared" si="1"/>
        <v>(02) Comercial</v>
      </c>
      <c r="B394" s="12"/>
      <c r="C394" s="12"/>
      <c r="D394" s="13"/>
      <c r="E394" s="17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9"/>
      <c r="Q394" s="15">
        <f t="shared" si="2"/>
        <v>0</v>
      </c>
    </row>
    <row r="395" ht="15.75" customHeight="1">
      <c r="A395" s="12" t="str">
        <f t="shared" si="1"/>
        <v>(02) Comercial</v>
      </c>
      <c r="B395" s="12"/>
      <c r="C395" s="12"/>
      <c r="D395" s="13"/>
      <c r="E395" s="17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9"/>
      <c r="Q395" s="15">
        <f t="shared" si="2"/>
        <v>0</v>
      </c>
    </row>
    <row r="396" ht="15.75" customHeight="1">
      <c r="A396" s="12" t="str">
        <f t="shared" si="1"/>
        <v>(02) Comercial</v>
      </c>
      <c r="B396" s="12"/>
      <c r="C396" s="12"/>
      <c r="D396" s="13"/>
      <c r="E396" s="17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9"/>
      <c r="Q396" s="15">
        <f t="shared" si="2"/>
        <v>0</v>
      </c>
    </row>
    <row r="397" ht="15.75" customHeight="1">
      <c r="A397" s="12" t="str">
        <f t="shared" si="1"/>
        <v>(02) Comercial</v>
      </c>
      <c r="B397" s="12"/>
      <c r="C397" s="12"/>
      <c r="D397" s="13"/>
      <c r="E397" s="17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9"/>
      <c r="Q397" s="15">
        <f t="shared" si="2"/>
        <v>0</v>
      </c>
    </row>
    <row r="398" ht="15.75" customHeight="1">
      <c r="A398" s="12" t="str">
        <f t="shared" si="1"/>
        <v>(02) Comercial</v>
      </c>
      <c r="B398" s="12"/>
      <c r="C398" s="12"/>
      <c r="D398" s="13"/>
      <c r="E398" s="17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9"/>
      <c r="Q398" s="15">
        <f t="shared" si="2"/>
        <v>0</v>
      </c>
    </row>
    <row r="399" ht="15.75" customHeight="1">
      <c r="A399" s="12" t="str">
        <f t="shared" si="1"/>
        <v>(02) Comercial</v>
      </c>
      <c r="B399" s="12"/>
      <c r="C399" s="12"/>
      <c r="D399" s="13"/>
      <c r="E399" s="17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9"/>
      <c r="Q399" s="15">
        <f t="shared" si="2"/>
        <v>0</v>
      </c>
    </row>
    <row r="400" ht="15.75" customHeight="1">
      <c r="A400" s="12" t="str">
        <f t="shared" si="1"/>
        <v>(02) Comercial</v>
      </c>
      <c r="B400" s="12"/>
      <c r="C400" s="12"/>
      <c r="D400" s="13"/>
      <c r="E400" s="17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9"/>
      <c r="Q400" s="15">
        <f t="shared" si="2"/>
        <v>0</v>
      </c>
    </row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3:C400">
      <formula1>Config!$A$2:$B400</formula1>
    </dataValidation>
    <dataValidation type="list" allowBlank="1" showErrorMessage="1" sqref="B3:B400">
      <formula1>Menus!$A$2:$A400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25.63"/>
    <col customWidth="1" min="3" max="6" width="12.63"/>
  </cols>
  <sheetData>
    <row r="1" ht="15.75" customHeight="1">
      <c r="A1" s="7" t="str">
        <f>IFERROR(__xludf.DUMMYFUNCTION("IMPORTRANGE(""1lUMxYVcEVNKpOa1tumnMmCE101pUTdKVkp0E_m8xIqk"",""Menus!A1:Z"")"),"Proyecto")</f>
        <v>Proyecto</v>
      </c>
      <c r="B1" s="7" t="str">
        <f>IFERROR(__xludf.DUMMYFUNCTION("""COMPUTED_VALUE"""),"Cuenta")</f>
        <v>Cuenta</v>
      </c>
      <c r="C1" s="7" t="str">
        <f>IFERROR(__xludf.DUMMYFUNCTION("""COMPUTED_VALUE"""),"Area")</f>
        <v>Area</v>
      </c>
      <c r="D1" s="7"/>
      <c r="E1" s="7" t="str">
        <f>IFERROR(__xludf.DUMMYFUNCTION("""COMPUTED_VALUE"""),"Mes")</f>
        <v>Mes</v>
      </c>
      <c r="F1" s="7"/>
      <c r="G1" s="7"/>
      <c r="H1" s="7"/>
      <c r="I1" s="7"/>
      <c r="J1" s="7"/>
      <c r="K1" s="7"/>
      <c r="L1" s="7"/>
      <c r="M1" s="7"/>
      <c r="N1" s="7"/>
      <c r="O1" s="7" t="str">
        <f>IFERROR(__xludf.DUMMYFUNCTION("""COMPUTED_VALUE"""),"Proveedores")</f>
        <v>Proveedores</v>
      </c>
      <c r="P1" s="7" t="str">
        <f>IFERROR(__xludf.DUMMYFUNCTION("""COMPUTED_VALUE"""),"Forma de Pago")</f>
        <v>Forma de Pago</v>
      </c>
      <c r="Q1" s="7" t="str">
        <f>IFERROR(__xludf.DUMMYFUNCTION("""COMPUTED_VALUE"""),"Cuenta O")</f>
        <v>Cuenta O</v>
      </c>
      <c r="R1" s="7" t="str">
        <f>IFERROR(__xludf.DUMMYFUNCTION("""COMPUTED_VALUE"""),"Cuenta Ingresos")</f>
        <v>Cuenta Ingresos</v>
      </c>
      <c r="S1" s="7"/>
      <c r="T1" s="7"/>
      <c r="U1" s="7"/>
      <c r="V1" s="7"/>
      <c r="W1" s="7"/>
      <c r="X1" s="7"/>
      <c r="Y1" s="7"/>
      <c r="Z1" s="20"/>
    </row>
    <row r="2" ht="15.75" customHeight="1">
      <c r="A2" s="12" t="str">
        <f>IFERROR(__xludf.DUMMYFUNCTION("""COMPUTED_VALUE"""),"Administración")</f>
        <v>Administración</v>
      </c>
      <c r="B2" s="12" t="str">
        <f>IFERROR(__xludf.DUMMYFUNCTION("""COMPUTED_VALUE"""),"Nomina operativa")</f>
        <v>Nomina operativa</v>
      </c>
      <c r="C2" s="12" t="str">
        <f>IFERROR(__xludf.DUMMYFUNCTION("""COMPUTED_VALUE"""),"(01) Compras")</f>
        <v>(01) Compras</v>
      </c>
      <c r="D2" s="12"/>
      <c r="E2" s="12" t="str">
        <f>IFERROR(__xludf.DUMMYFUNCTION("""COMPUTED_VALUE"""),"(01) Enero")</f>
        <v>(01) Enero</v>
      </c>
      <c r="F2" s="12" t="str">
        <f>IFERROR(__xludf.DUMMYFUNCTION("""COMPUTED_VALUE"""),"Ene P")</f>
        <v>Ene P</v>
      </c>
      <c r="G2" s="12" t="str">
        <f>IFERROR(__xludf.DUMMYFUNCTION("""COMPUTED_VALUE"""),"Ene R")</f>
        <v>Ene R</v>
      </c>
      <c r="H2" s="12" t="str">
        <f>IFERROR(__xludf.DUMMYFUNCTION("""COMPUTED_VALUE"""),"Ene D")</f>
        <v>Ene D</v>
      </c>
      <c r="I2" s="12" t="str">
        <f>IFERROR(__xludf.DUMMYFUNCTION("""COMPUTED_VALUE"""),"Consolidado!$E$3:$E")</f>
        <v>Consolidado!$E$3:$E</v>
      </c>
      <c r="J2" s="12" t="str">
        <f>IFERROR(__xludf.DUMMYFUNCTION("""COMPUTED_VALUE"""),"EneR!A:AT")</f>
        <v>EneR!A:AT</v>
      </c>
      <c r="K2" s="12" t="str">
        <f>IFERROR(__xludf.DUMMYFUNCTION("""COMPUTED_VALUE"""),"EneR!$A$1:$A")</f>
        <v>EneR!$A$1:$A</v>
      </c>
      <c r="L2" s="12" t="str">
        <f>IFERROR(__xludf.DUMMYFUNCTION("""COMPUTED_VALUE"""),"EneR!$A$6:$6")</f>
        <v>EneR!$A$6:$6</v>
      </c>
      <c r="M2" s="12" t="str">
        <f>IFERROR(__xludf.DUMMYFUNCTION("""COMPUTED_VALUE"""),"EneR")</f>
        <v>EneR</v>
      </c>
      <c r="N2" s="12"/>
      <c r="O2" s="12" t="str">
        <f>IFERROR(__xludf.DUMMYFUNCTION("""COMPUTED_VALUE"""),"(000) Traspaso de Cta 901")</f>
        <v>(000) Traspaso de Cta 901</v>
      </c>
      <c r="P2" s="12" t="str">
        <f>IFERROR(__xludf.DUMMYFUNCTION("""COMPUTED_VALUE"""),"(01) Cheque")</f>
        <v>(01) Cheque</v>
      </c>
      <c r="Q2" s="12" t="str">
        <f>IFERROR(__xludf.DUMMYFUNCTION("""COMPUTED_VALUE"""),"(01) Otros ingresos")</f>
        <v>(01) Otros ingresos</v>
      </c>
      <c r="R2" s="12" t="str">
        <f>IFERROR(__xludf.DUMMYFUNCTION("""COMPUTED_VALUE"""),"Tarifa horaria")</f>
        <v>Tarifa horaria</v>
      </c>
      <c r="S2" s="12"/>
      <c r="T2" s="12"/>
      <c r="U2" s="12"/>
      <c r="V2" s="12"/>
      <c r="W2" s="12"/>
      <c r="X2" s="12"/>
      <c r="Y2" s="12"/>
      <c r="Z2" s="20"/>
    </row>
    <row r="3" ht="15.75" customHeight="1">
      <c r="A3" s="12" t="str">
        <f>IFERROR(__xludf.DUMMYFUNCTION("""COMPUTED_VALUE"""),"Corporativo Polanco")</f>
        <v>Corporativo Polanco</v>
      </c>
      <c r="B3" s="12" t="str">
        <f>IFERROR(__xludf.DUMMYFUNCTION("""COMPUTED_VALUE"""),"Nomina gerencial")</f>
        <v>Nomina gerencial</v>
      </c>
      <c r="C3" s="12" t="str">
        <f>IFERROR(__xludf.DUMMYFUNCTION("""COMPUTED_VALUE"""),"(02) Comercial")</f>
        <v>(02) Comercial</v>
      </c>
      <c r="D3" s="12"/>
      <c r="E3" s="12" t="str">
        <f>IFERROR(__xludf.DUMMYFUNCTION("""COMPUTED_VALUE"""),"(02) Febrero")</f>
        <v>(02) Febrero</v>
      </c>
      <c r="F3" s="12" t="str">
        <f>IFERROR(__xludf.DUMMYFUNCTION("""COMPUTED_VALUE"""),"Feb P")</f>
        <v>Feb P</v>
      </c>
      <c r="G3" s="12" t="str">
        <f>IFERROR(__xludf.DUMMYFUNCTION("""COMPUTED_VALUE"""),"Feb R")</f>
        <v>Feb R</v>
      </c>
      <c r="H3" s="12" t="str">
        <f>IFERROR(__xludf.DUMMYFUNCTION("""COMPUTED_VALUE"""),"Feb D")</f>
        <v>Feb D</v>
      </c>
      <c r="I3" s="12" t="str">
        <f>IFERROR(__xludf.DUMMYFUNCTION("""COMPUTED_VALUE"""),"Consolidado!$F$3:$F")</f>
        <v>Consolidado!$F$3:$F</v>
      </c>
      <c r="J3" s="12" t="str">
        <f>IFERROR(__xludf.DUMMYFUNCTION("""COMPUTED_VALUE"""),"FebR!A:AT")</f>
        <v>FebR!A:AT</v>
      </c>
      <c r="K3" s="12" t="str">
        <f>IFERROR(__xludf.DUMMYFUNCTION("""COMPUTED_VALUE"""),"FebR!$A$1:$A")</f>
        <v>FebR!$A$1:$A</v>
      </c>
      <c r="L3" s="12" t="str">
        <f>IFERROR(__xludf.DUMMYFUNCTION("""COMPUTED_VALUE"""),"FebR!$A$6:$6")</f>
        <v>FebR!$A$6:$6</v>
      </c>
      <c r="M3" s="12" t="str">
        <f>IFERROR(__xludf.DUMMYFUNCTION("""COMPUTED_VALUE"""),"FebR")</f>
        <v>FebR</v>
      </c>
      <c r="N3" s="12"/>
      <c r="O3" s="12" t="str">
        <f>IFERROR(__xludf.DUMMYFUNCTION("""COMPUTED_VALUE"""),"(001) Wepark Sa De Cv")</f>
        <v>(001) Wepark Sa De Cv</v>
      </c>
      <c r="P3" s="12" t="str">
        <f>IFERROR(__xludf.DUMMYFUNCTION("""COMPUTED_VALUE"""),"(02) Efectivo")</f>
        <v>(02) Efectivo</v>
      </c>
      <c r="Q3" s="12" t="str">
        <f>IFERROR(__xludf.DUMMYFUNCTION("""COMPUTED_VALUE"""),"(02) Otros gastos")</f>
        <v>(02) Otros gastos</v>
      </c>
      <c r="R3" s="12" t="str">
        <f>IFERROR(__xludf.DUMMYFUNCTION("""COMPUTED_VALUE"""),"Pensiones")</f>
        <v>Pensiones</v>
      </c>
      <c r="S3" s="12"/>
      <c r="T3" s="12"/>
      <c r="U3" s="12"/>
      <c r="V3" s="12"/>
      <c r="W3" s="12"/>
      <c r="X3" s="12"/>
      <c r="Y3" s="12"/>
      <c r="Z3" s="20"/>
    </row>
    <row r="4" ht="15.75" customHeight="1">
      <c r="A4" s="12" t="str">
        <f>IFERROR(__xludf.DUMMYFUNCTION("""COMPUTED_VALUE"""),"The ROOM")</f>
        <v>The ROOM</v>
      </c>
      <c r="B4" s="12" t="str">
        <f>IFERROR(__xludf.DUMMYFUNCTION("""COMPUTED_VALUE"""),"Asesoría contable")</f>
        <v>Asesoría contable</v>
      </c>
      <c r="C4" s="12" t="str">
        <f>IFERROR(__xludf.DUMMYFUNCTION("""COMPUTED_VALUE"""),"(03) RH")</f>
        <v>(03) RH</v>
      </c>
      <c r="D4" s="12"/>
      <c r="E4" s="12" t="str">
        <f>IFERROR(__xludf.DUMMYFUNCTION("""COMPUTED_VALUE"""),"(03) Marzo")</f>
        <v>(03) Marzo</v>
      </c>
      <c r="F4" s="12" t="str">
        <f>IFERROR(__xludf.DUMMYFUNCTION("""COMPUTED_VALUE"""),"Mar P")</f>
        <v>Mar P</v>
      </c>
      <c r="G4" s="12" t="str">
        <f>IFERROR(__xludf.DUMMYFUNCTION("""COMPUTED_VALUE"""),"Mar R")</f>
        <v>Mar R</v>
      </c>
      <c r="H4" s="12" t="str">
        <f>IFERROR(__xludf.DUMMYFUNCTION("""COMPUTED_VALUE"""),"Mar D")</f>
        <v>Mar D</v>
      </c>
      <c r="I4" s="12" t="str">
        <f>IFERROR(__xludf.DUMMYFUNCTION("""COMPUTED_VALUE"""),"Consolidado!$G$3:$G")</f>
        <v>Consolidado!$G$3:$G</v>
      </c>
      <c r="J4" s="12" t="str">
        <f>IFERROR(__xludf.DUMMYFUNCTION("""COMPUTED_VALUE"""),"MarR!A:AT")</f>
        <v>MarR!A:AT</v>
      </c>
      <c r="K4" s="12" t="str">
        <f>IFERROR(__xludf.DUMMYFUNCTION("""COMPUTED_VALUE"""),"MarR!$A$1:$A")</f>
        <v>MarR!$A$1:$A</v>
      </c>
      <c r="L4" s="12" t="str">
        <f>IFERROR(__xludf.DUMMYFUNCTION("""COMPUTED_VALUE"""),"MarR!$A$6:$6")</f>
        <v>MarR!$A$6:$6</v>
      </c>
      <c r="M4" s="12" t="str">
        <f>IFERROR(__xludf.DUMMYFUNCTION("""COMPUTED_VALUE"""),"MarR")</f>
        <v>MarR</v>
      </c>
      <c r="N4" s="12"/>
      <c r="O4" s="12" t="str">
        <f>IFERROR(__xludf.DUMMYFUNCTION("""COMPUTED_VALUE"""),"(002) Artes Graficas En Periodico")</f>
        <v>(002) Artes Graficas En Periodico</v>
      </c>
      <c r="P4" s="12" t="str">
        <f>IFERROR(__xludf.DUMMYFUNCTION("""COMPUTED_VALUE"""),"(03) Transferencia")</f>
        <v>(03) Transferencia</v>
      </c>
      <c r="Q4" s="12" t="str">
        <f>IFERROR(__xludf.DUMMYFUNCTION("""COMPUTED_VALUE"""),"(03) Comisiones")</f>
        <v>(03) Comisiones</v>
      </c>
      <c r="R4" s="12" t="str">
        <f>IFERROR(__xludf.DUMMYFUNCTION("""COMPUTED_VALUE"""),"Etiquetas")</f>
        <v>Etiquetas</v>
      </c>
      <c r="S4" s="12"/>
      <c r="T4" s="12"/>
      <c r="U4" s="12"/>
      <c r="V4" s="12"/>
      <c r="W4" s="12"/>
      <c r="X4" s="12"/>
      <c r="Y4" s="12"/>
      <c r="Z4" s="20"/>
    </row>
    <row r="5" ht="15.75" customHeight="1">
      <c r="A5" s="12" t="str">
        <f>IFERROR(__xludf.DUMMYFUNCTION("""COMPUTED_VALUE"""),"Torre Prisma")</f>
        <v>Torre Prisma</v>
      </c>
      <c r="B5" s="12" t="str">
        <f>IFERROR(__xludf.DUMMYFUNCTION("""COMPUTED_VALUE"""),"Renta fija")</f>
        <v>Renta fija</v>
      </c>
      <c r="C5" s="12" t="str">
        <f>IFERROR(__xludf.DUMMYFUNCTION("""COMPUTED_VALUE"""),"(04) Operacion")</f>
        <v>(04) Operacion</v>
      </c>
      <c r="D5" s="12"/>
      <c r="E5" s="12" t="str">
        <f>IFERROR(__xludf.DUMMYFUNCTION("""COMPUTED_VALUE"""),"(04) Abril")</f>
        <v>(04) Abril</v>
      </c>
      <c r="F5" s="12" t="str">
        <f>IFERROR(__xludf.DUMMYFUNCTION("""COMPUTED_VALUE"""),"Abr P")</f>
        <v>Abr P</v>
      </c>
      <c r="G5" s="12" t="str">
        <f>IFERROR(__xludf.DUMMYFUNCTION("""COMPUTED_VALUE"""),"Abr R")</f>
        <v>Abr R</v>
      </c>
      <c r="H5" s="12" t="str">
        <f>IFERROR(__xludf.DUMMYFUNCTION("""COMPUTED_VALUE"""),"Abr D")</f>
        <v>Abr D</v>
      </c>
      <c r="I5" s="12" t="str">
        <f>IFERROR(__xludf.DUMMYFUNCTION("""COMPUTED_VALUE"""),"Consolidado!$H$3:$H")</f>
        <v>Consolidado!$H$3:$H</v>
      </c>
      <c r="J5" s="12" t="str">
        <f>IFERROR(__xludf.DUMMYFUNCTION("""COMPUTED_VALUE"""),"AbrR!A:AT")</f>
        <v>AbrR!A:AT</v>
      </c>
      <c r="K5" s="12" t="str">
        <f>IFERROR(__xludf.DUMMYFUNCTION("""COMPUTED_VALUE"""),"AbrR!$A$1:$A")</f>
        <v>AbrR!$A$1:$A</v>
      </c>
      <c r="L5" s="12" t="str">
        <f>IFERROR(__xludf.DUMMYFUNCTION("""COMPUTED_VALUE"""),"AbrR!$A$6:$6")</f>
        <v>AbrR!$A$6:$6</v>
      </c>
      <c r="M5" s="12" t="str">
        <f>IFERROR(__xludf.DUMMYFUNCTION("""COMPUTED_VALUE"""),"AbrR")</f>
        <v>AbrR</v>
      </c>
      <c r="N5" s="12"/>
      <c r="O5" s="12" t="str">
        <f>IFERROR(__xludf.DUMMYFUNCTION("""COMPUTED_VALUE"""),"(003) Raul A Tapia Sanchez")</f>
        <v>(003) Raul A Tapia Sanchez</v>
      </c>
      <c r="P5" s="12" t="str">
        <f>IFERROR(__xludf.DUMMYFUNCTION("""COMPUTED_VALUE"""),"(04) Tarjeta de Credito")</f>
        <v>(04) Tarjeta de Credito</v>
      </c>
      <c r="Q5" s="12" t="str">
        <f>IFERROR(__xludf.DUMMYFUNCTION("""COMPUTED_VALUE"""),"(04) Reembolsos Clientes")</f>
        <v>(04) Reembolsos Clientes</v>
      </c>
      <c r="R5" s="12" t="str">
        <f>IFERROR(__xludf.DUMMYFUNCTION("""COMPUTED_VALUE"""),"Boletos sellados")</f>
        <v>Boletos sellados</v>
      </c>
      <c r="S5" s="12"/>
      <c r="T5" s="12"/>
      <c r="U5" s="12"/>
      <c r="V5" s="12"/>
      <c r="W5" s="12"/>
      <c r="X5" s="12"/>
      <c r="Y5" s="12"/>
      <c r="Z5" s="20"/>
    </row>
    <row r="6" ht="15.75" customHeight="1">
      <c r="A6" s="12" t="str">
        <f>IFERROR(__xludf.DUMMYFUNCTION("""COMPUTED_VALUE"""),"BETEL")</f>
        <v>BETEL</v>
      </c>
      <c r="B6" s="21" t="str">
        <f>IFERROR(__xludf.DUMMYFUNCTION("""COMPUTED_VALUE"""),"Renta variable")</f>
        <v>Renta variable</v>
      </c>
      <c r="C6" s="12" t="str">
        <f>IFERROR(__xludf.DUMMYFUNCTION("""COMPUTED_VALUE"""),"(05) Licencias")</f>
        <v>(05) Licencias</v>
      </c>
      <c r="D6" s="12"/>
      <c r="E6" s="12" t="str">
        <f>IFERROR(__xludf.DUMMYFUNCTION("""COMPUTED_VALUE"""),"(05) Mayo")</f>
        <v>(05) Mayo</v>
      </c>
      <c r="F6" s="12" t="str">
        <f>IFERROR(__xludf.DUMMYFUNCTION("""COMPUTED_VALUE"""),"May P")</f>
        <v>May P</v>
      </c>
      <c r="G6" s="12" t="str">
        <f>IFERROR(__xludf.DUMMYFUNCTION("""COMPUTED_VALUE"""),"May R")</f>
        <v>May R</v>
      </c>
      <c r="H6" s="12" t="str">
        <f>IFERROR(__xludf.DUMMYFUNCTION("""COMPUTED_VALUE"""),"May D")</f>
        <v>May D</v>
      </c>
      <c r="I6" s="12" t="str">
        <f>IFERROR(__xludf.DUMMYFUNCTION("""COMPUTED_VALUE"""),"Consolidado!$I$3:$I")</f>
        <v>Consolidado!$I$3:$I</v>
      </c>
      <c r="J6" s="12" t="str">
        <f>IFERROR(__xludf.DUMMYFUNCTION("""COMPUTED_VALUE"""),"MayR!A:AT")</f>
        <v>MayR!A:AT</v>
      </c>
      <c r="K6" s="12" t="str">
        <f>IFERROR(__xludf.DUMMYFUNCTION("""COMPUTED_VALUE"""),"MayR!$A$1:$A")</f>
        <v>MayR!$A$1:$A</v>
      </c>
      <c r="L6" s="12" t="str">
        <f>IFERROR(__xludf.DUMMYFUNCTION("""COMPUTED_VALUE"""),"MayR!$A$6:$6")</f>
        <v>MayR!$A$6:$6</v>
      </c>
      <c r="M6" s="12" t="str">
        <f>IFERROR(__xludf.DUMMYFUNCTION("""COMPUTED_VALUE"""),"MayR")</f>
        <v>MayR</v>
      </c>
      <c r="N6" s="12"/>
      <c r="O6" s="12" t="str">
        <f>IFERROR(__xludf.DUMMYFUNCTION("""COMPUTED_VALUE"""),"(004) Jashmal Sa De Cv")</f>
        <v>(004) Jashmal Sa De Cv</v>
      </c>
      <c r="P6" s="12" t="str">
        <f>IFERROR(__xludf.DUMMYFUNCTION("""COMPUTED_VALUE"""),"(05) Anticipo")</f>
        <v>(05) Anticipo</v>
      </c>
      <c r="Q6" s="12" t="str">
        <f>IFERROR(__xludf.DUMMYFUNCTION("""COMPUTED_VALUE"""),"(05) Comisiones Rafa")</f>
        <v>(05) Comisiones Rafa</v>
      </c>
      <c r="R6" s="12" t="str">
        <f>IFERROR(__xludf.DUMMYFUNCTION("""COMPUTED_VALUE"""),"Eventos")</f>
        <v>Eventos</v>
      </c>
      <c r="S6" s="12"/>
      <c r="T6" s="12"/>
      <c r="U6" s="12"/>
      <c r="V6" s="12"/>
      <c r="W6" s="12"/>
      <c r="X6" s="12"/>
      <c r="Y6" s="12"/>
      <c r="Z6" s="20"/>
    </row>
    <row r="7" ht="15.75" customHeight="1">
      <c r="A7" s="12" t="str">
        <f>IFERROR(__xludf.DUMMYFUNCTION("""COMPUTED_VALUE"""),"Interlomas")</f>
        <v>Interlomas</v>
      </c>
      <c r="B7" s="12" t="str">
        <f>IFERROR(__xludf.DUMMYFUNCTION("""COMPUTED_VALUE"""),"Mantenimiento plaza")</f>
        <v>Mantenimiento plaza</v>
      </c>
      <c r="C7" s="12" t="str">
        <f>IFERROR(__xludf.DUMMYFUNCTION("""COMPUTED_VALUE"""),"(06) Finanzas")</f>
        <v>(06) Finanzas</v>
      </c>
      <c r="D7" s="12"/>
      <c r="E7" s="12" t="str">
        <f>IFERROR(__xludf.DUMMYFUNCTION("""COMPUTED_VALUE"""),"(06) Junio")</f>
        <v>(06) Junio</v>
      </c>
      <c r="F7" s="12" t="str">
        <f>IFERROR(__xludf.DUMMYFUNCTION("""COMPUTED_VALUE"""),"Jun P")</f>
        <v>Jun P</v>
      </c>
      <c r="G7" s="12" t="str">
        <f>IFERROR(__xludf.DUMMYFUNCTION("""COMPUTED_VALUE"""),"Jun R")</f>
        <v>Jun R</v>
      </c>
      <c r="H7" s="12" t="str">
        <f>IFERROR(__xludf.DUMMYFUNCTION("""COMPUTED_VALUE"""),"Jun D")</f>
        <v>Jun D</v>
      </c>
      <c r="I7" s="12" t="str">
        <f>IFERROR(__xludf.DUMMYFUNCTION("""COMPUTED_VALUE"""),"Consolidado!$J$3:$J")</f>
        <v>Consolidado!$J$3:$J</v>
      </c>
      <c r="J7" s="12" t="str">
        <f>IFERROR(__xludf.DUMMYFUNCTION("""COMPUTED_VALUE"""),"JunR!A:AT")</f>
        <v>JunR!A:AT</v>
      </c>
      <c r="K7" s="12" t="str">
        <f>IFERROR(__xludf.DUMMYFUNCTION("""COMPUTED_VALUE"""),"JunR!$A$1:$A")</f>
        <v>JunR!$A$1:$A</v>
      </c>
      <c r="L7" s="12" t="str">
        <f>IFERROR(__xludf.DUMMYFUNCTION("""COMPUTED_VALUE"""),"JunR!$A$6:$6")</f>
        <v>JunR!$A$6:$6</v>
      </c>
      <c r="M7" s="12" t="str">
        <f>IFERROR(__xludf.DUMMYFUNCTION("""COMPUTED_VALUE"""),"JunR")</f>
        <v>JunR</v>
      </c>
      <c r="N7" s="12"/>
      <c r="O7" s="12" t="str">
        <f>IFERROR(__xludf.DUMMYFUNCTION("""COMPUTED_VALUE"""),"(005) Tecnosinergia S De Rl De Cv")</f>
        <v>(005) Tecnosinergia S De Rl De Cv</v>
      </c>
      <c r="P7" s="12"/>
      <c r="Q7" s="12" t="str">
        <f>IFERROR(__xludf.DUMMYFUNCTION("""COMPUTED_VALUE"""),"(06) Honorario Wepark")</f>
        <v>(06) Honorario Wepark</v>
      </c>
      <c r="R7" s="12" t="str">
        <f>IFERROR(__xludf.DUMMYFUNCTION("""COMPUTED_VALUE"""),"Activación tarjeta")</f>
        <v>Activación tarjeta</v>
      </c>
      <c r="S7" s="12"/>
      <c r="T7" s="12"/>
      <c r="U7" s="12"/>
      <c r="V7" s="12"/>
      <c r="W7" s="12"/>
      <c r="X7" s="12"/>
      <c r="Y7" s="12"/>
      <c r="Z7" s="20"/>
    </row>
    <row r="8" ht="15.75" customHeight="1">
      <c r="A8" s="12" t="str">
        <f>IFERROR(__xludf.DUMMYFUNCTION("""COMPUTED_VALUE"""),"Santa Fe")</f>
        <v>Santa Fe</v>
      </c>
      <c r="B8" s="12" t="str">
        <f>IFERROR(__xludf.DUMMYFUNCTION("""COMPUTED_VALUE"""),"Luz")</f>
        <v>Luz</v>
      </c>
      <c r="C8" s="12" t="str">
        <f>IFERROR(__xludf.DUMMYFUNCTION("""COMPUTED_VALUE"""),"(07) Otros")</f>
        <v>(07) Otros</v>
      </c>
      <c r="D8" s="12"/>
      <c r="E8" s="12" t="str">
        <f>IFERROR(__xludf.DUMMYFUNCTION("""COMPUTED_VALUE"""),"(07) Julio")</f>
        <v>(07) Julio</v>
      </c>
      <c r="F8" s="12" t="str">
        <f>IFERROR(__xludf.DUMMYFUNCTION("""COMPUTED_VALUE"""),"Jul P")</f>
        <v>Jul P</v>
      </c>
      <c r="G8" s="12" t="str">
        <f>IFERROR(__xludf.DUMMYFUNCTION("""COMPUTED_VALUE"""),"Jul R")</f>
        <v>Jul R</v>
      </c>
      <c r="H8" s="12" t="str">
        <f>IFERROR(__xludf.DUMMYFUNCTION("""COMPUTED_VALUE"""),"Jul D")</f>
        <v>Jul D</v>
      </c>
      <c r="I8" s="12" t="str">
        <f>IFERROR(__xludf.DUMMYFUNCTION("""COMPUTED_VALUE"""),"Consolidado!$K$3:$K")</f>
        <v>Consolidado!$K$3:$K</v>
      </c>
      <c r="J8" s="12" t="str">
        <f>IFERROR(__xludf.DUMMYFUNCTION("""COMPUTED_VALUE"""),"JulR!A:AT")</f>
        <v>JulR!A:AT</v>
      </c>
      <c r="K8" s="12" t="str">
        <f>IFERROR(__xludf.DUMMYFUNCTION("""COMPUTED_VALUE"""),"JulR!$A$1:$A")</f>
        <v>JulR!$A$1:$A</v>
      </c>
      <c r="L8" s="12" t="str">
        <f>IFERROR(__xludf.DUMMYFUNCTION("""COMPUTED_VALUE"""),"JulR!$A$6:$6")</f>
        <v>JulR!$A$6:$6</v>
      </c>
      <c r="M8" s="12" t="str">
        <f>IFERROR(__xludf.DUMMYFUNCTION("""COMPUTED_VALUE"""),"JulR")</f>
        <v>JulR</v>
      </c>
      <c r="N8" s="12"/>
      <c r="O8" s="12" t="str">
        <f>IFERROR(__xludf.DUMMYFUNCTION("""COMPUTED_VALUE"""),"(006) Lp Comunicaciones Sa De Cv")</f>
        <v>(006) Lp Comunicaciones Sa De Cv</v>
      </c>
      <c r="P8" s="12"/>
      <c r="Q8" s="12"/>
      <c r="R8" s="12" t="str">
        <f>IFERROR(__xludf.DUMMYFUNCTION("""COMPUTED_VALUE"""),"Reposición tarjeta")</f>
        <v>Reposición tarjeta</v>
      </c>
      <c r="S8" s="12"/>
      <c r="T8" s="12"/>
      <c r="U8" s="12"/>
      <c r="V8" s="12"/>
      <c r="W8" s="12"/>
      <c r="X8" s="12"/>
      <c r="Y8" s="12"/>
      <c r="Z8" s="20"/>
    </row>
    <row r="9" ht="15.75" customHeight="1">
      <c r="A9" s="12" t="str">
        <f>IFERROR(__xludf.DUMMYFUNCTION("""COMPUTED_VALUE"""),"Leibnitz")</f>
        <v>Leibnitz</v>
      </c>
      <c r="B9" s="12" t="str">
        <f>IFERROR(__xludf.DUMMYFUNCTION("""COMPUTED_VALUE"""),"Teléfono")</f>
        <v>Teléfono</v>
      </c>
      <c r="C9" s="12"/>
      <c r="D9" s="12"/>
      <c r="E9" s="12" t="str">
        <f>IFERROR(__xludf.DUMMYFUNCTION("""COMPUTED_VALUE"""),"(08) Agosto")</f>
        <v>(08) Agosto</v>
      </c>
      <c r="F9" s="12" t="str">
        <f>IFERROR(__xludf.DUMMYFUNCTION("""COMPUTED_VALUE"""),"Ago P")</f>
        <v>Ago P</v>
      </c>
      <c r="G9" s="12" t="str">
        <f>IFERROR(__xludf.DUMMYFUNCTION("""COMPUTED_VALUE"""),"Ago R")</f>
        <v>Ago R</v>
      </c>
      <c r="H9" s="12" t="str">
        <f>IFERROR(__xludf.DUMMYFUNCTION("""COMPUTED_VALUE"""),"Ago D")</f>
        <v>Ago D</v>
      </c>
      <c r="I9" s="12" t="str">
        <f>IFERROR(__xludf.DUMMYFUNCTION("""COMPUTED_VALUE"""),"Consolidado!$L$3:$L")</f>
        <v>Consolidado!$L$3:$L</v>
      </c>
      <c r="J9" s="12" t="str">
        <f>IFERROR(__xludf.DUMMYFUNCTION("""COMPUTED_VALUE"""),"AgoR!A:AT")</f>
        <v>AgoR!A:AT</v>
      </c>
      <c r="K9" s="12" t="str">
        <f>IFERROR(__xludf.DUMMYFUNCTION("""COMPUTED_VALUE"""),"AgoR!$A$1:$A")</f>
        <v>AgoR!$A$1:$A</v>
      </c>
      <c r="L9" s="12" t="str">
        <f>IFERROR(__xludf.DUMMYFUNCTION("""COMPUTED_VALUE"""),"AgoR!$A$6:$6")</f>
        <v>AgoR!$A$6:$6</v>
      </c>
      <c r="M9" s="12" t="str">
        <f>IFERROR(__xludf.DUMMYFUNCTION("""COMPUTED_VALUE"""),"AgoR")</f>
        <v>AgoR</v>
      </c>
      <c r="N9" s="12"/>
      <c r="O9" s="12" t="str">
        <f>IFERROR(__xludf.DUMMYFUNCTION("""COMPUTED_VALUE"""),"(007) Pruebas De Deteccion Sa De Cv")</f>
        <v>(007) Pruebas De Deteccion Sa De Cv</v>
      </c>
      <c r="P9" s="12"/>
      <c r="Q9" s="12"/>
      <c r="R9" s="12" t="str">
        <f>IFERROR(__xludf.DUMMYFUNCTION("""COMPUTED_VALUE"""),"Tarifa horaria valet parking")</f>
        <v>Tarifa horaria valet parking</v>
      </c>
      <c r="S9" s="12"/>
      <c r="T9" s="12"/>
      <c r="U9" s="12"/>
      <c r="V9" s="12"/>
      <c r="W9" s="12"/>
      <c r="X9" s="12"/>
      <c r="Y9" s="12"/>
      <c r="Z9" s="20"/>
    </row>
    <row r="10" ht="15.75" customHeight="1">
      <c r="A10" s="12" t="str">
        <f>IFERROR(__xludf.DUMMYFUNCTION("""COMPUTED_VALUE"""),"Cuadrata")</f>
        <v>Cuadrata</v>
      </c>
      <c r="B10" s="12" t="str">
        <f>IFERROR(__xludf.DUMMYFUNCTION("""COMPUTED_VALUE"""),"Seguridad")</f>
        <v>Seguridad</v>
      </c>
      <c r="C10" s="12"/>
      <c r="D10" s="12"/>
      <c r="E10" s="12" t="str">
        <f>IFERROR(__xludf.DUMMYFUNCTION("""COMPUTED_VALUE"""),"(09) Septiembre")</f>
        <v>(09) Septiembre</v>
      </c>
      <c r="F10" s="12" t="str">
        <f>IFERROR(__xludf.DUMMYFUNCTION("""COMPUTED_VALUE"""),"Sep P")</f>
        <v>Sep P</v>
      </c>
      <c r="G10" s="12" t="str">
        <f>IFERROR(__xludf.DUMMYFUNCTION("""COMPUTED_VALUE"""),"Sep R")</f>
        <v>Sep R</v>
      </c>
      <c r="H10" s="12" t="str">
        <f>IFERROR(__xludf.DUMMYFUNCTION("""COMPUTED_VALUE"""),"Sep D")</f>
        <v>Sep D</v>
      </c>
      <c r="I10" s="12" t="str">
        <f>IFERROR(__xludf.DUMMYFUNCTION("""COMPUTED_VALUE"""),"Consolidado!$M$3:$M")</f>
        <v>Consolidado!$M$3:$M</v>
      </c>
      <c r="J10" s="12" t="str">
        <f>IFERROR(__xludf.DUMMYFUNCTION("""COMPUTED_VALUE"""),"SepR!A:AT")</f>
        <v>SepR!A:AT</v>
      </c>
      <c r="K10" s="12" t="str">
        <f>IFERROR(__xludf.DUMMYFUNCTION("""COMPUTED_VALUE"""),"SepR!$A$1:$A")</f>
        <v>SepR!$A$1:$A</v>
      </c>
      <c r="L10" s="12" t="str">
        <f>IFERROR(__xludf.DUMMYFUNCTION("""COMPUTED_VALUE"""),"SepR!$A$6:$6")</f>
        <v>SepR!$A$6:$6</v>
      </c>
      <c r="M10" s="12" t="str">
        <f>IFERROR(__xludf.DUMMYFUNCTION("""COMPUTED_VALUE"""),"SepR")</f>
        <v>SepR</v>
      </c>
      <c r="N10" s="12"/>
      <c r="O10" s="12" t="str">
        <f>IFERROR(__xludf.DUMMYFUNCTION("""COMPUTED_VALUE"""),"(008) Ruizgu Sa De Cv")</f>
        <v>(008) Ruizgu Sa De Cv</v>
      </c>
      <c r="P10" s="12"/>
      <c r="Q10" s="12"/>
      <c r="R10" s="12" t="str">
        <f>IFERROR(__xludf.DUMMYFUNCTION("""COMPUTED_VALUE"""),"Recargos")</f>
        <v>Recargos</v>
      </c>
      <c r="S10" s="12"/>
      <c r="T10" s="12"/>
      <c r="U10" s="12"/>
      <c r="V10" s="12"/>
      <c r="W10" s="12"/>
      <c r="X10" s="12"/>
      <c r="Y10" s="12"/>
      <c r="Z10" s="20"/>
    </row>
    <row r="11" ht="15.75" customHeight="1">
      <c r="A11" s="12" t="str">
        <f>IFERROR(__xludf.DUMMYFUNCTION("""COMPUTED_VALUE"""),"Monte Pelvoux")</f>
        <v>Monte Pelvoux</v>
      </c>
      <c r="B11" s="12" t="str">
        <f>IFERROR(__xludf.DUMMYFUNCTION("""COMPUTED_VALUE"""),"Seguros y fianzas")</f>
        <v>Seguros y fianzas</v>
      </c>
      <c r="C11" s="12"/>
      <c r="D11" s="12"/>
      <c r="E11" s="12" t="str">
        <f>IFERROR(__xludf.DUMMYFUNCTION("""COMPUTED_VALUE"""),"(10) Octubre")</f>
        <v>(10) Octubre</v>
      </c>
      <c r="F11" s="12" t="str">
        <f>IFERROR(__xludf.DUMMYFUNCTION("""COMPUTED_VALUE"""),"Oct P")</f>
        <v>Oct P</v>
      </c>
      <c r="G11" s="12" t="str">
        <f>IFERROR(__xludf.DUMMYFUNCTION("""COMPUTED_VALUE"""),"Oct R")</f>
        <v>Oct R</v>
      </c>
      <c r="H11" s="12" t="str">
        <f>IFERROR(__xludf.DUMMYFUNCTION("""COMPUTED_VALUE"""),"Oct D")</f>
        <v>Oct D</v>
      </c>
      <c r="I11" s="12" t="str">
        <f>IFERROR(__xludf.DUMMYFUNCTION("""COMPUTED_VALUE"""),"Consolidado!$N$3:$N")</f>
        <v>Consolidado!$N$3:$N</v>
      </c>
      <c r="J11" s="12" t="str">
        <f>IFERROR(__xludf.DUMMYFUNCTION("""COMPUTED_VALUE"""),"OctR!A:AT")</f>
        <v>OctR!A:AT</v>
      </c>
      <c r="K11" s="12" t="str">
        <f>IFERROR(__xludf.DUMMYFUNCTION("""COMPUTED_VALUE"""),"OctR!$A$1:$A")</f>
        <v>OctR!$A$1:$A</v>
      </c>
      <c r="L11" s="12" t="str">
        <f>IFERROR(__xludf.DUMMYFUNCTION("""COMPUTED_VALUE"""),"OctR!$A$6:$6")</f>
        <v>OctR!$A$6:$6</v>
      </c>
      <c r="M11" s="12" t="str">
        <f>IFERROR(__xludf.DUMMYFUNCTION("""COMPUTED_VALUE"""),"OctR")</f>
        <v>OctR</v>
      </c>
      <c r="N11" s="12"/>
      <c r="O11" s="12" t="str">
        <f>IFERROR(__xludf.DUMMYFUNCTION("""COMPUTED_VALUE"""),"(009) Juan Armando Sosa Lezama")</f>
        <v>(009) Juan Armando Sosa Lezama</v>
      </c>
      <c r="P11" s="12"/>
      <c r="Q11" s="12"/>
      <c r="R11" s="12" t="str">
        <f>IFERROR(__xludf.DUMMYFUNCTION("""COMPUTED_VALUE"""),"Igualas")</f>
        <v>Igualas</v>
      </c>
      <c r="S11" s="12"/>
      <c r="T11" s="12"/>
      <c r="U11" s="12"/>
      <c r="V11" s="12"/>
      <c r="W11" s="12"/>
      <c r="X11" s="12"/>
      <c r="Y11" s="12"/>
      <c r="Z11" s="20"/>
    </row>
    <row r="12" ht="15.75" customHeight="1">
      <c r="A12" s="12" t="str">
        <f>IFERROR(__xludf.DUMMYFUNCTION("""COMPUTED_VALUE"""),"P. Panorama")</f>
        <v>P. Panorama</v>
      </c>
      <c r="B12" s="12" t="str">
        <f>IFERROR(__xludf.DUMMYFUNCTION("""COMPUTED_VALUE"""),"Boletos")</f>
        <v>Boletos</v>
      </c>
      <c r="C12" s="12"/>
      <c r="D12" s="12"/>
      <c r="E12" s="12" t="str">
        <f>IFERROR(__xludf.DUMMYFUNCTION("""COMPUTED_VALUE"""),"(11) Noviembre")</f>
        <v>(11) Noviembre</v>
      </c>
      <c r="F12" s="12" t="str">
        <f>IFERROR(__xludf.DUMMYFUNCTION("""COMPUTED_VALUE"""),"Nov P")</f>
        <v>Nov P</v>
      </c>
      <c r="G12" s="12" t="str">
        <f>IFERROR(__xludf.DUMMYFUNCTION("""COMPUTED_VALUE"""),"Nov R")</f>
        <v>Nov R</v>
      </c>
      <c r="H12" s="12" t="str">
        <f>IFERROR(__xludf.DUMMYFUNCTION("""COMPUTED_VALUE"""),"Nov D")</f>
        <v>Nov D</v>
      </c>
      <c r="I12" s="12" t="str">
        <f>IFERROR(__xludf.DUMMYFUNCTION("""COMPUTED_VALUE"""),"Consolidado!$O$3:$O")</f>
        <v>Consolidado!$O$3:$O</v>
      </c>
      <c r="J12" s="12" t="str">
        <f>IFERROR(__xludf.DUMMYFUNCTION("""COMPUTED_VALUE"""),"NovR!A:AT")</f>
        <v>NovR!A:AT</v>
      </c>
      <c r="K12" s="12" t="str">
        <f>IFERROR(__xludf.DUMMYFUNCTION("""COMPUTED_VALUE"""),"NovR!$A$1:$A")</f>
        <v>NovR!$A$1:$A</v>
      </c>
      <c r="L12" s="12" t="str">
        <f>IFERROR(__xludf.DUMMYFUNCTION("""COMPUTED_VALUE"""),"NovR!$A$6:$6")</f>
        <v>NovR!$A$6:$6</v>
      </c>
      <c r="M12" s="12" t="str">
        <f>IFERROR(__xludf.DUMMYFUNCTION("""COMPUTED_VALUE"""),"NovR")</f>
        <v>NovR</v>
      </c>
      <c r="N12" s="12"/>
      <c r="O12" s="12" t="str">
        <f>IFERROR(__xludf.DUMMYFUNCTION("""COMPUTED_VALUE"""),"(010) Asesoria En Copisistemas Y Com")</f>
        <v>(010) Asesoria En Copisistemas Y Com</v>
      </c>
      <c r="P12" s="12"/>
      <c r="Q12" s="12"/>
      <c r="R12" s="12" t="str">
        <f>IFERROR(__xludf.DUMMYFUNCTION("""COMPUTED_VALUE"""),"Bicicleta")</f>
        <v>Bicicleta</v>
      </c>
      <c r="S12" s="12"/>
      <c r="T12" s="12"/>
      <c r="U12" s="12"/>
      <c r="V12" s="12"/>
      <c r="W12" s="12"/>
      <c r="X12" s="12"/>
      <c r="Y12" s="12"/>
      <c r="Z12" s="20"/>
    </row>
    <row r="13" ht="15.75" customHeight="1">
      <c r="A13" s="12" t="str">
        <f>IFERROR(__xludf.DUMMYFUNCTION("""COMPUTED_VALUE"""),"Puerto Paraíso")</f>
        <v>Puerto Paraíso</v>
      </c>
      <c r="B13" s="12" t="str">
        <f>IFERROR(__xludf.DUMMYFUNCTION("""COMPUTED_VALUE"""),"Etiquetas")</f>
        <v>Etiquetas</v>
      </c>
      <c r="C13" s="12"/>
      <c r="D13" s="12"/>
      <c r="E13" s="12" t="str">
        <f>IFERROR(__xludf.DUMMYFUNCTION("""COMPUTED_VALUE"""),"(12) Diciembre")</f>
        <v>(12) Diciembre</v>
      </c>
      <c r="F13" s="12" t="str">
        <f>IFERROR(__xludf.DUMMYFUNCTION("""COMPUTED_VALUE"""),"Dic P")</f>
        <v>Dic P</v>
      </c>
      <c r="G13" s="12" t="str">
        <f>IFERROR(__xludf.DUMMYFUNCTION("""COMPUTED_VALUE"""),"Dic R")</f>
        <v>Dic R</v>
      </c>
      <c r="H13" s="12" t="str">
        <f>IFERROR(__xludf.DUMMYFUNCTION("""COMPUTED_VALUE"""),"Dic D")</f>
        <v>Dic D</v>
      </c>
      <c r="I13" s="12" t="str">
        <f>IFERROR(__xludf.DUMMYFUNCTION("""COMPUTED_VALUE"""),"Consolidado!$P$3:$P")</f>
        <v>Consolidado!$P$3:$P</v>
      </c>
      <c r="J13" s="12" t="str">
        <f>IFERROR(__xludf.DUMMYFUNCTION("""COMPUTED_VALUE"""),"DicR!A:AT")</f>
        <v>DicR!A:AT</v>
      </c>
      <c r="K13" s="12" t="str">
        <f>IFERROR(__xludf.DUMMYFUNCTION("""COMPUTED_VALUE"""),"DicR!$A$1:$A")</f>
        <v>DicR!$A$1:$A</v>
      </c>
      <c r="L13" s="12" t="str">
        <f>IFERROR(__xludf.DUMMYFUNCTION("""COMPUTED_VALUE"""),"DicR!$A$6:$6")</f>
        <v>DicR!$A$6:$6</v>
      </c>
      <c r="M13" s="12" t="str">
        <f>IFERROR(__xludf.DUMMYFUNCTION("""COMPUTED_VALUE"""),"DicR")</f>
        <v>DicR</v>
      </c>
      <c r="N13" s="12"/>
      <c r="O13" s="12" t="str">
        <f>IFERROR(__xludf.DUMMYFUNCTION("""COMPUTED_VALUE"""),"(011) Avisetecnologias Sa De Cv")</f>
        <v>(011) Avisetecnologias Sa De Cv</v>
      </c>
      <c r="P13" s="12"/>
      <c r="Q13" s="12"/>
      <c r="R13" s="12" t="str">
        <f>IFERROR(__xludf.DUMMYFUNCTION("""COMPUTED_VALUE"""),"Venta de equipo")</f>
        <v>Venta de equipo</v>
      </c>
      <c r="S13" s="12"/>
      <c r="T13" s="12"/>
      <c r="U13" s="12"/>
      <c r="V13" s="12"/>
      <c r="W13" s="12"/>
      <c r="X13" s="12"/>
      <c r="Y13" s="12"/>
      <c r="Z13" s="20"/>
    </row>
    <row r="14" ht="15.75" customHeight="1">
      <c r="A14" s="12" t="str">
        <f>IFERROR(__xludf.DUMMYFUNCTION("""COMPUTED_VALUE"""),"Andes")</f>
        <v>Andes</v>
      </c>
      <c r="B14" s="12" t="str">
        <f>IFERROR(__xludf.DUMMYFUNCTION("""COMPUTED_VALUE"""),"Uniformes")</f>
        <v>Uniformes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 t="str">
        <f>IFERROR(__xludf.DUMMYFUNCTION("""COMPUTED_VALUE"""),"(012) Avendaño Y Asociados Sc")</f>
        <v>(012) Avendaño Y Asociados Sc</v>
      </c>
      <c r="P14" s="12"/>
      <c r="Q14" s="12"/>
      <c r="R14" s="12" t="str">
        <f>IFERROR(__xludf.DUMMYFUNCTION("""COMPUTED_VALUE"""),"Vales magneticos")</f>
        <v>Vales magneticos</v>
      </c>
      <c r="S14" s="12"/>
      <c r="T14" s="12"/>
      <c r="U14" s="12"/>
      <c r="V14" s="12"/>
      <c r="W14" s="12"/>
      <c r="X14" s="12"/>
      <c r="Y14" s="12"/>
      <c r="Z14" s="20"/>
    </row>
    <row r="15" ht="15.75" customHeight="1">
      <c r="A15" s="12" t="str">
        <f>IFERROR(__xludf.DUMMYFUNCTION("""COMPUTED_VALUE"""),"Xochimilco")</f>
        <v>Xochimilco</v>
      </c>
      <c r="B15" s="12" t="str">
        <f>IFERROR(__xludf.DUMMYFUNCTION("""COMPUTED_VALUE"""),"Impresiones")</f>
        <v>Impresiones</v>
      </c>
      <c r="C15" s="12"/>
      <c r="D15" s="12"/>
      <c r="E15" s="12" t="str">
        <f>IFERROR(__xludf.DUMMYFUNCTION("""COMPUTED_VALUE"""),"(01) Enero")</f>
        <v>(01) Enero</v>
      </c>
      <c r="F15" s="12" t="str">
        <f>IFERROR(__xludf.DUMMYFUNCTION("""COMPUTED_VALUE"""),"Enero")</f>
        <v>Enero</v>
      </c>
      <c r="G15" s="12" t="str">
        <f>IFERROR(__xludf.DUMMYFUNCTION("""COMPUTED_VALUE"""),"Ene R")</f>
        <v>Ene R</v>
      </c>
      <c r="H15" s="12" t="str">
        <f>IFERROR(__xludf.DUMMYFUNCTION("""COMPUTED_VALUE"""),"Ene D")</f>
        <v>Ene D</v>
      </c>
      <c r="I15" s="12" t="str">
        <f>IFERROR(__xludf.DUMMYFUNCTION("""COMPUTED_VALUE"""),"Otros!$E$3:$E")</f>
        <v>Otros!$E$3:$E</v>
      </c>
      <c r="J15" s="12" t="str">
        <f>IFERROR(__xludf.DUMMYFUNCTION("""COMPUTED_VALUE"""),"OtrosR!A:Q")</f>
        <v>OtrosR!A:Q</v>
      </c>
      <c r="K15" s="12" t="str">
        <f>IFERROR(__xludf.DUMMYFUNCTION("""COMPUTED_VALUE"""),"OtrosR!$C$1:$C")</f>
        <v>OtrosR!$C$1:$C</v>
      </c>
      <c r="L15" s="12" t="str">
        <f>IFERROR(__xludf.DUMMYFUNCTION("""COMPUTED_VALUE"""),"OtrosR!$B$1:$B")</f>
        <v>OtrosR!$B$1:$B</v>
      </c>
      <c r="M15" s="12" t="str">
        <f>IFERROR(__xludf.DUMMYFUNCTION("""COMPUTED_VALUE"""),"EneR")</f>
        <v>EneR</v>
      </c>
      <c r="N15" s="12"/>
      <c r="O15" s="12" t="str">
        <f>IFERROR(__xludf.DUMMYFUNCTION("""COMPUTED_VALUE"""),"(013) Gerardo Marcial Ramirez")</f>
        <v>(013) Gerardo Marcial Ramirez</v>
      </c>
      <c r="P15" s="12"/>
      <c r="Q15" s="12"/>
      <c r="R15" s="12" t="str">
        <f>IFERROR(__xludf.DUMMYFUNCTION("""COMPUTED_VALUE"""),"Facturas canceladas")</f>
        <v>Facturas canceladas</v>
      </c>
      <c r="S15" s="12"/>
      <c r="T15" s="12"/>
      <c r="U15" s="12"/>
      <c r="V15" s="12"/>
      <c r="W15" s="12"/>
      <c r="X15" s="12"/>
      <c r="Y15" s="12"/>
      <c r="Z15" s="20"/>
    </row>
    <row r="16" ht="15.75" customHeight="1">
      <c r="A16" s="12" t="str">
        <f>IFERROR(__xludf.DUMMYFUNCTION("""COMPUTED_VALUE"""),"Reforma 115")</f>
        <v>Reforma 115</v>
      </c>
      <c r="B16" s="12" t="str">
        <f>IFERROR(__xludf.DUMMYFUNCTION("""COMPUTED_VALUE"""),"Equipo de estacionamiento")</f>
        <v>Equipo de estacionamiento</v>
      </c>
      <c r="C16" s="12"/>
      <c r="D16" s="12"/>
      <c r="E16" s="12" t="str">
        <f>IFERROR(__xludf.DUMMYFUNCTION("""COMPUTED_VALUE"""),"(02) Febrero")</f>
        <v>(02) Febrero</v>
      </c>
      <c r="F16" s="12" t="str">
        <f>IFERROR(__xludf.DUMMYFUNCTION("""COMPUTED_VALUE"""),"Febrero")</f>
        <v>Febrero</v>
      </c>
      <c r="G16" s="12" t="str">
        <f>IFERROR(__xludf.DUMMYFUNCTION("""COMPUTED_VALUE"""),"Feb R")</f>
        <v>Feb R</v>
      </c>
      <c r="H16" s="12" t="str">
        <f>IFERROR(__xludf.DUMMYFUNCTION("""COMPUTED_VALUE"""),"Feb D")</f>
        <v>Feb D</v>
      </c>
      <c r="I16" s="12" t="str">
        <f>IFERROR(__xludf.DUMMYFUNCTION("""COMPUTED_VALUE"""),"Otros!$F$3:$F")</f>
        <v>Otros!$F$3:$F</v>
      </c>
      <c r="J16" s="12" t="str">
        <f>IFERROR(__xludf.DUMMYFUNCTION("""COMPUTED_VALUE"""),"FebR!A:AT")</f>
        <v>FebR!A:AT</v>
      </c>
      <c r="K16" s="12" t="str">
        <f>IFERROR(__xludf.DUMMYFUNCTION("""COMPUTED_VALUE"""),"FebR!$A$1:$A")</f>
        <v>FebR!$A$1:$A</v>
      </c>
      <c r="L16" s="12" t="str">
        <f>IFERROR(__xludf.DUMMYFUNCTION("""COMPUTED_VALUE"""),"FebR!$A$6:$6")</f>
        <v>FebR!$A$6:$6</v>
      </c>
      <c r="M16" s="12" t="str">
        <f>IFERROR(__xludf.DUMMYFUNCTION("""COMPUTED_VALUE"""),"FebR")</f>
        <v>FebR</v>
      </c>
      <c r="N16" s="12"/>
      <c r="O16" s="12" t="str">
        <f>IFERROR(__xludf.DUMMYFUNCTION("""COMPUTED_VALUE"""),"(014) Jose Ventura Calvo Cruz")</f>
        <v>(014) Jose Ventura Calvo Cruz</v>
      </c>
      <c r="P16" s="12"/>
      <c r="Q16" s="12"/>
      <c r="R16" s="12" t="str">
        <f>IFERROR(__xludf.DUMMYFUNCTION("""COMPUTED_VALUE"""),"Sobrantes")</f>
        <v>Sobrantes</v>
      </c>
      <c r="S16" s="12"/>
      <c r="T16" s="12"/>
      <c r="U16" s="12"/>
      <c r="V16" s="12"/>
      <c r="W16" s="12"/>
      <c r="X16" s="12"/>
      <c r="Y16" s="12"/>
      <c r="Z16" s="20"/>
    </row>
    <row r="17" ht="15.75" customHeight="1">
      <c r="A17" s="12" t="str">
        <f>IFERROR(__xludf.DUMMYFUNCTION("""COMPUTED_VALUE"""),"Montes Urales")</f>
        <v>Montes Urales</v>
      </c>
      <c r="B17" s="12" t="str">
        <f>IFERROR(__xludf.DUMMYFUNCTION("""COMPUTED_VALUE"""),"Mantenimiento equipo de estacionamiento")</f>
        <v>Mantenimiento equipo de estacionamiento</v>
      </c>
      <c r="C17" s="12"/>
      <c r="D17" s="12"/>
      <c r="E17" s="12" t="str">
        <f>IFERROR(__xludf.DUMMYFUNCTION("""COMPUTED_VALUE"""),"(03) Marzo")</f>
        <v>(03) Marzo</v>
      </c>
      <c r="F17" s="12" t="str">
        <f>IFERROR(__xludf.DUMMYFUNCTION("""COMPUTED_VALUE"""),"Marzo")</f>
        <v>Marzo</v>
      </c>
      <c r="G17" s="12" t="str">
        <f>IFERROR(__xludf.DUMMYFUNCTION("""COMPUTED_VALUE"""),"Mar R")</f>
        <v>Mar R</v>
      </c>
      <c r="H17" s="12" t="str">
        <f>IFERROR(__xludf.DUMMYFUNCTION("""COMPUTED_VALUE"""),"Mar D")</f>
        <v>Mar D</v>
      </c>
      <c r="I17" s="12" t="str">
        <f>IFERROR(__xludf.DUMMYFUNCTION("""COMPUTED_VALUE"""),"Otros!$G$3:$G")</f>
        <v>Otros!$G$3:$G</v>
      </c>
      <c r="J17" s="12" t="str">
        <f>IFERROR(__xludf.DUMMYFUNCTION("""COMPUTED_VALUE"""),"MarR!A:AT")</f>
        <v>MarR!A:AT</v>
      </c>
      <c r="K17" s="12" t="str">
        <f>IFERROR(__xludf.DUMMYFUNCTION("""COMPUTED_VALUE"""),"MarR!$A$1:$A")</f>
        <v>MarR!$A$1:$A</v>
      </c>
      <c r="L17" s="12" t="str">
        <f>IFERROR(__xludf.DUMMYFUNCTION("""COMPUTED_VALUE"""),"MarR!$A$6:$6")</f>
        <v>MarR!$A$6:$6</v>
      </c>
      <c r="M17" s="12" t="str">
        <f>IFERROR(__xludf.DUMMYFUNCTION("""COMPUTED_VALUE"""),"MarR")</f>
        <v>MarR</v>
      </c>
      <c r="N17" s="12"/>
      <c r="O17" s="12" t="str">
        <f>IFERROR(__xludf.DUMMYFUNCTION("""COMPUTED_VALUE"""),"(015) Gobierno De La Ciudad De Mexic")</f>
        <v>(015) Gobierno De La Ciudad De Mexic</v>
      </c>
      <c r="P17" s="12"/>
      <c r="Q17" s="12"/>
      <c r="R17" s="12" t="str">
        <f>IFERROR(__xludf.DUMMYFUNCTION("""COMPUTED_VALUE"""),"Ganancia Cambiaria")</f>
        <v>Ganancia Cambiaria</v>
      </c>
      <c r="S17" s="12"/>
      <c r="T17" s="12"/>
      <c r="U17" s="12"/>
      <c r="V17" s="12"/>
      <c r="W17" s="12"/>
      <c r="X17" s="12"/>
      <c r="Y17" s="12"/>
      <c r="Z17" s="20"/>
    </row>
    <row r="18" ht="15.75" customHeight="1">
      <c r="A18" s="12" t="str">
        <f>IFERROR(__xludf.DUMMYFUNCTION("""COMPUTED_VALUE"""),"Las Armas")</f>
        <v>Las Armas</v>
      </c>
      <c r="B18" s="12" t="str">
        <f>IFERROR(__xludf.DUMMYFUNCTION("""COMPUTED_VALUE"""),"Señalizaciones")</f>
        <v>Señalizaciones</v>
      </c>
      <c r="C18" s="12"/>
      <c r="D18" s="12"/>
      <c r="E18" s="12" t="str">
        <f>IFERROR(__xludf.DUMMYFUNCTION("""COMPUTED_VALUE"""),"(04) Abril")</f>
        <v>(04) Abril</v>
      </c>
      <c r="F18" s="12" t="str">
        <f>IFERROR(__xludf.DUMMYFUNCTION("""COMPUTED_VALUE"""),"Abril")</f>
        <v>Abril</v>
      </c>
      <c r="G18" s="12" t="str">
        <f>IFERROR(__xludf.DUMMYFUNCTION("""COMPUTED_VALUE"""),"Abr R")</f>
        <v>Abr R</v>
      </c>
      <c r="H18" s="12" t="str">
        <f>IFERROR(__xludf.DUMMYFUNCTION("""COMPUTED_VALUE"""),"Abr D")</f>
        <v>Abr D</v>
      </c>
      <c r="I18" s="12" t="str">
        <f>IFERROR(__xludf.DUMMYFUNCTION("""COMPUTED_VALUE"""),"Otros!$H$3:$H")</f>
        <v>Otros!$H$3:$H</v>
      </c>
      <c r="J18" s="12" t="str">
        <f>IFERROR(__xludf.DUMMYFUNCTION("""COMPUTED_VALUE"""),"AbrR!A:AT")</f>
        <v>AbrR!A:AT</v>
      </c>
      <c r="K18" s="12" t="str">
        <f>IFERROR(__xludf.DUMMYFUNCTION("""COMPUTED_VALUE"""),"AbrR!$A$1:$A")</f>
        <v>AbrR!$A$1:$A</v>
      </c>
      <c r="L18" s="12" t="str">
        <f>IFERROR(__xludf.DUMMYFUNCTION("""COMPUTED_VALUE"""),"AbrR!$A$6:$6")</f>
        <v>AbrR!$A$6:$6</v>
      </c>
      <c r="M18" s="12" t="str">
        <f>IFERROR(__xludf.DUMMYFUNCTION("""COMPUTED_VALUE"""),"AbrR")</f>
        <v>AbrR</v>
      </c>
      <c r="N18" s="12"/>
      <c r="O18" s="12" t="str">
        <f>IFERROR(__xludf.DUMMYFUNCTION("""COMPUTED_VALUE"""),"(016) Orotoga Consultores Sc")</f>
        <v>(016) Orotoga Consultores Sc</v>
      </c>
      <c r="P18" s="12"/>
      <c r="Q18" s="12"/>
      <c r="R18" s="12" t="str">
        <f>IFERROR(__xludf.DUMMYFUNCTION("""COMPUTED_VALUE"""),"Daño a vehículos")</f>
        <v>Daño a vehículos</v>
      </c>
      <c r="S18" s="12"/>
      <c r="T18" s="12"/>
      <c r="U18" s="12"/>
      <c r="V18" s="12"/>
      <c r="W18" s="12"/>
      <c r="X18" s="12"/>
      <c r="Y18" s="12"/>
      <c r="Z18" s="20"/>
    </row>
    <row r="19" ht="15.75" customHeight="1">
      <c r="A19" s="12" t="str">
        <f>IFERROR(__xludf.DUMMYFUNCTION("""COMPUTED_VALUE"""),"Insurgentes")</f>
        <v>Insurgentes</v>
      </c>
      <c r="B19" s="12" t="str">
        <f>IFERROR(__xludf.DUMMYFUNCTION("""COMPUTED_VALUE"""),"Licencias")</f>
        <v>Licencias</v>
      </c>
      <c r="C19" s="12"/>
      <c r="D19" s="12"/>
      <c r="E19" s="12" t="str">
        <f>IFERROR(__xludf.DUMMYFUNCTION("""COMPUTED_VALUE"""),"(05) Mayo")</f>
        <v>(05) Mayo</v>
      </c>
      <c r="F19" s="12" t="str">
        <f>IFERROR(__xludf.DUMMYFUNCTION("""COMPUTED_VALUE"""),"Mayo")</f>
        <v>Mayo</v>
      </c>
      <c r="G19" s="12" t="str">
        <f>IFERROR(__xludf.DUMMYFUNCTION("""COMPUTED_VALUE"""),"May R")</f>
        <v>May R</v>
      </c>
      <c r="H19" s="12" t="str">
        <f>IFERROR(__xludf.DUMMYFUNCTION("""COMPUTED_VALUE"""),"May D")</f>
        <v>May D</v>
      </c>
      <c r="I19" s="12" t="str">
        <f>IFERROR(__xludf.DUMMYFUNCTION("""COMPUTED_VALUE"""),"Otros!$I$3:$I")</f>
        <v>Otros!$I$3:$I</v>
      </c>
      <c r="J19" s="12" t="str">
        <f>IFERROR(__xludf.DUMMYFUNCTION("""COMPUTED_VALUE"""),"MayR!A:AT")</f>
        <v>MayR!A:AT</v>
      </c>
      <c r="K19" s="12" t="str">
        <f>IFERROR(__xludf.DUMMYFUNCTION("""COMPUTED_VALUE"""),"MayR!$A$1:$A")</f>
        <v>MayR!$A$1:$A</v>
      </c>
      <c r="L19" s="12" t="str">
        <f>IFERROR(__xludf.DUMMYFUNCTION("""COMPUTED_VALUE"""),"MayR!$A$6:$6")</f>
        <v>MayR!$A$6:$6</v>
      </c>
      <c r="M19" s="12" t="str">
        <f>IFERROR(__xludf.DUMMYFUNCTION("""COMPUTED_VALUE"""),"MayR")</f>
        <v>MayR</v>
      </c>
      <c r="N19" s="12"/>
      <c r="O19" s="12" t="str">
        <f>IFERROR(__xludf.DUMMYFUNCTION("""COMPUTED_VALUE"""),"(017) Berenice Frias Vigueras")</f>
        <v>(017) Berenice Frias Vigueras</v>
      </c>
      <c r="P19" s="12"/>
      <c r="Q19" s="12"/>
      <c r="R19" s="12" t="str">
        <f>IFERROR(__xludf.DUMMYFUNCTION("""COMPUTED_VALUE"""),"Telefonia")</f>
        <v>Telefonia</v>
      </c>
      <c r="S19" s="12"/>
      <c r="T19" s="12"/>
      <c r="U19" s="12"/>
      <c r="V19" s="12"/>
      <c r="W19" s="12"/>
      <c r="X19" s="12"/>
      <c r="Y19" s="12"/>
      <c r="Z19" s="20"/>
    </row>
    <row r="20" ht="15.75" customHeight="1">
      <c r="A20" s="12" t="str">
        <f>IFERROR(__xludf.DUMMYFUNCTION("""COMPUTED_VALUE"""),"Sonora")</f>
        <v>Sonora</v>
      </c>
      <c r="B20" s="12" t="str">
        <f>IFERROR(__xludf.DUMMYFUNCTION("""COMPUTED_VALUE"""),"Mantenimiento equipo de oficina")</f>
        <v>Mantenimiento equipo de oficina</v>
      </c>
      <c r="C20" s="12"/>
      <c r="D20" s="12"/>
      <c r="E20" s="12" t="str">
        <f>IFERROR(__xludf.DUMMYFUNCTION("""COMPUTED_VALUE"""),"(06) Junio")</f>
        <v>(06) Junio</v>
      </c>
      <c r="F20" s="12" t="str">
        <f>IFERROR(__xludf.DUMMYFUNCTION("""COMPUTED_VALUE"""),"Junio")</f>
        <v>Junio</v>
      </c>
      <c r="G20" s="12" t="str">
        <f>IFERROR(__xludf.DUMMYFUNCTION("""COMPUTED_VALUE"""),"Jun R")</f>
        <v>Jun R</v>
      </c>
      <c r="H20" s="12" t="str">
        <f>IFERROR(__xludf.DUMMYFUNCTION("""COMPUTED_VALUE"""),"Jun D")</f>
        <v>Jun D</v>
      </c>
      <c r="I20" s="12" t="str">
        <f>IFERROR(__xludf.DUMMYFUNCTION("""COMPUTED_VALUE"""),"Otros!$J$3:$J")</f>
        <v>Otros!$J$3:$J</v>
      </c>
      <c r="J20" s="12" t="str">
        <f>IFERROR(__xludf.DUMMYFUNCTION("""COMPUTED_VALUE"""),"JunR!A:AT")</f>
        <v>JunR!A:AT</v>
      </c>
      <c r="K20" s="12" t="str">
        <f>IFERROR(__xludf.DUMMYFUNCTION("""COMPUTED_VALUE"""),"JunR!$A$1:$A")</f>
        <v>JunR!$A$1:$A</v>
      </c>
      <c r="L20" s="12" t="str">
        <f>IFERROR(__xludf.DUMMYFUNCTION("""COMPUTED_VALUE"""),"JunR!$A$6:$6")</f>
        <v>JunR!$A$6:$6</v>
      </c>
      <c r="M20" s="12" t="str">
        <f>IFERROR(__xludf.DUMMYFUNCTION("""COMPUTED_VALUE"""),"JunR")</f>
        <v>JunR</v>
      </c>
      <c r="N20" s="12"/>
      <c r="O20" s="12" t="str">
        <f>IFERROR(__xludf.DUMMYFUNCTION("""COMPUTED_VALUE"""),"(018) Israel Garcia Concha")</f>
        <v>(018) Israel Garcia Concha</v>
      </c>
      <c r="P20" s="12"/>
      <c r="Q20" s="12"/>
      <c r="R20" s="12" t="str">
        <f>IFERROR(__xludf.DUMMYFUNCTION("""COMPUTED_VALUE"""),"Baños")</f>
        <v>Baños</v>
      </c>
      <c r="S20" s="12"/>
      <c r="T20" s="12"/>
      <c r="U20" s="12"/>
      <c r="V20" s="12"/>
      <c r="W20" s="12"/>
      <c r="X20" s="12"/>
      <c r="Y20" s="12"/>
      <c r="Z20" s="20"/>
    </row>
    <row r="21" ht="15.75" customHeight="1">
      <c r="A21" s="12" t="str">
        <f>IFERROR(__xludf.DUMMYFUNCTION("""COMPUTED_VALUE"""),"Londres")</f>
        <v>Londres</v>
      </c>
      <c r="B21" s="12" t="str">
        <f>IFERROR(__xludf.DUMMYFUNCTION("""COMPUTED_VALUE"""),"Papelería y artículos de oficina")</f>
        <v>Papelería y artículos de oficina</v>
      </c>
      <c r="C21" s="12"/>
      <c r="D21" s="12"/>
      <c r="E21" s="12" t="str">
        <f>IFERROR(__xludf.DUMMYFUNCTION("""COMPUTED_VALUE"""),"(07) Julio")</f>
        <v>(07) Julio</v>
      </c>
      <c r="F21" s="12" t="str">
        <f>IFERROR(__xludf.DUMMYFUNCTION("""COMPUTED_VALUE"""),"Julio")</f>
        <v>Julio</v>
      </c>
      <c r="G21" s="12" t="str">
        <f>IFERROR(__xludf.DUMMYFUNCTION("""COMPUTED_VALUE"""),"Jul R")</f>
        <v>Jul R</v>
      </c>
      <c r="H21" s="12" t="str">
        <f>IFERROR(__xludf.DUMMYFUNCTION("""COMPUTED_VALUE"""),"Jul D")</f>
        <v>Jul D</v>
      </c>
      <c r="I21" s="12" t="str">
        <f>IFERROR(__xludf.DUMMYFUNCTION("""COMPUTED_VALUE"""),"Otros!$L$3:$L")</f>
        <v>Otros!$L$3:$L</v>
      </c>
      <c r="J21" s="12" t="str">
        <f>IFERROR(__xludf.DUMMYFUNCTION("""COMPUTED_VALUE"""),"JulR!A:AT")</f>
        <v>JulR!A:AT</v>
      </c>
      <c r="K21" s="12" t="str">
        <f>IFERROR(__xludf.DUMMYFUNCTION("""COMPUTED_VALUE"""),"JulR!$A$1:$A")</f>
        <v>JulR!$A$1:$A</v>
      </c>
      <c r="L21" s="12" t="str">
        <f>IFERROR(__xludf.DUMMYFUNCTION("""COMPUTED_VALUE"""),"JulR!$A$6:$6")</f>
        <v>JulR!$A$6:$6</v>
      </c>
      <c r="M21" s="12" t="str">
        <f>IFERROR(__xludf.DUMMYFUNCTION("""COMPUTED_VALUE"""),"JulR")</f>
        <v>JulR</v>
      </c>
      <c r="N21" s="12"/>
      <c r="O21" s="12" t="str">
        <f>IFERROR(__xludf.DUMMYFUNCTION("""COMPUTED_VALUE"""),"(019) Rosa Gabriela Ortiz Galeana")</f>
        <v>(019) Rosa Gabriela Ortiz Galeana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20"/>
    </row>
    <row r="22" ht="15.75" customHeight="1">
      <c r="A22" s="12" t="str">
        <f>IFERROR(__xludf.DUMMYFUNCTION("""COMPUTED_VALUE"""),"Summit")</f>
        <v>Summit</v>
      </c>
      <c r="B22" s="12" t="str">
        <f>IFERROR(__xludf.DUMMYFUNCTION("""COMPUTED_VALUE"""),"Articulos de limpieza")</f>
        <v>Articulos de limpieza</v>
      </c>
      <c r="C22" s="12"/>
      <c r="D22" s="12"/>
      <c r="E22" s="12" t="str">
        <f>IFERROR(__xludf.DUMMYFUNCTION("""COMPUTED_VALUE"""),"(08) Agosto")</f>
        <v>(08) Agosto</v>
      </c>
      <c r="F22" s="12" t="str">
        <f>IFERROR(__xludf.DUMMYFUNCTION("""COMPUTED_VALUE"""),"Agosto")</f>
        <v>Agosto</v>
      </c>
      <c r="G22" s="12" t="str">
        <f>IFERROR(__xludf.DUMMYFUNCTION("""COMPUTED_VALUE"""),"Ago R")</f>
        <v>Ago R</v>
      </c>
      <c r="H22" s="12" t="str">
        <f>IFERROR(__xludf.DUMMYFUNCTION("""COMPUTED_VALUE"""),"Ago D")</f>
        <v>Ago D</v>
      </c>
      <c r="I22" s="12" t="str">
        <f>IFERROR(__xludf.DUMMYFUNCTION("""COMPUTED_VALUE"""),"Otros!$M$3:$M")</f>
        <v>Otros!$M$3:$M</v>
      </c>
      <c r="J22" s="12" t="str">
        <f>IFERROR(__xludf.DUMMYFUNCTION("""COMPUTED_VALUE"""),"AgoR!A:AT")</f>
        <v>AgoR!A:AT</v>
      </c>
      <c r="K22" s="12" t="str">
        <f>IFERROR(__xludf.DUMMYFUNCTION("""COMPUTED_VALUE"""),"AgoR!$A$1:$A")</f>
        <v>AgoR!$A$1:$A</v>
      </c>
      <c r="L22" s="12" t="str">
        <f>IFERROR(__xludf.DUMMYFUNCTION("""COMPUTED_VALUE"""),"AgoR!$A$6:$6")</f>
        <v>AgoR!$A$6:$6</v>
      </c>
      <c r="M22" s="12" t="str">
        <f>IFERROR(__xludf.DUMMYFUNCTION("""COMPUTED_VALUE"""),"AgoR")</f>
        <v>AgoR</v>
      </c>
      <c r="N22" s="12"/>
      <c r="O22" s="12" t="str">
        <f>IFERROR(__xludf.DUMMYFUNCTION("""COMPUTED_VALUE"""),"(020) Sanirent De Mexico Sa De Cv")</f>
        <v>(020) Sanirent De Mexico Sa De Cv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20"/>
    </row>
    <row r="23" ht="15.75" customHeight="1">
      <c r="A23" s="12" t="str">
        <f>IFERROR(__xludf.DUMMYFUNCTION("""COMPUTED_VALUE"""),"Plaza Polanco")</f>
        <v>Plaza Polanco</v>
      </c>
      <c r="B23" s="12" t="str">
        <f>IFERROR(__xludf.DUMMYFUNCTION("""COMPUTED_VALUE"""),"Incidentes")</f>
        <v>Incidentes</v>
      </c>
      <c r="C23" s="12"/>
      <c r="D23" s="12"/>
      <c r="E23" s="12" t="str">
        <f>IFERROR(__xludf.DUMMYFUNCTION("""COMPUTED_VALUE"""),"(09) Septiembre")</f>
        <v>(09) Septiembre</v>
      </c>
      <c r="F23" s="12" t="str">
        <f>IFERROR(__xludf.DUMMYFUNCTION("""COMPUTED_VALUE"""),"Septiembre")</f>
        <v>Septiembre</v>
      </c>
      <c r="G23" s="12" t="str">
        <f>IFERROR(__xludf.DUMMYFUNCTION("""COMPUTED_VALUE"""),"Sep R")</f>
        <v>Sep R</v>
      </c>
      <c r="H23" s="12" t="str">
        <f>IFERROR(__xludf.DUMMYFUNCTION("""COMPUTED_VALUE"""),"Sep D")</f>
        <v>Sep D</v>
      </c>
      <c r="I23" s="12" t="str">
        <f>IFERROR(__xludf.DUMMYFUNCTION("""COMPUTED_VALUE"""),"Otros!$N$3:$N")</f>
        <v>Otros!$N$3:$N</v>
      </c>
      <c r="J23" s="12" t="str">
        <f>IFERROR(__xludf.DUMMYFUNCTION("""COMPUTED_VALUE"""),"SepR!A:AT")</f>
        <v>SepR!A:AT</v>
      </c>
      <c r="K23" s="12" t="str">
        <f>IFERROR(__xludf.DUMMYFUNCTION("""COMPUTED_VALUE"""),"SepR!$A$1:$A")</f>
        <v>SepR!$A$1:$A</v>
      </c>
      <c r="L23" s="12" t="str">
        <f>IFERROR(__xludf.DUMMYFUNCTION("""COMPUTED_VALUE"""),"SepR!$A$6:$6")</f>
        <v>SepR!$A$6:$6</v>
      </c>
      <c r="M23" s="12" t="str">
        <f>IFERROR(__xludf.DUMMYFUNCTION("""COMPUTED_VALUE"""),"SepR")</f>
        <v>SepR</v>
      </c>
      <c r="N23" s="12"/>
      <c r="O23" s="12" t="str">
        <f>IFERROR(__xludf.DUMMYFUNCTION("""COMPUTED_VALUE"""),"(021) Consejo Nacional De Seguridad")</f>
        <v>(021) Consejo Nacional De Seguridad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20"/>
    </row>
    <row r="24" ht="15.75" customHeight="1">
      <c r="A24" s="12" t="str">
        <f>IFERROR(__xludf.DUMMYFUNCTION("""COMPUTED_VALUE"""),"Neza")</f>
        <v>Neza</v>
      </c>
      <c r="B24" s="12" t="str">
        <f>IFERROR(__xludf.DUMMYFUNCTION("""COMPUTED_VALUE"""),"Anuncios periodicos")</f>
        <v>Anuncios periodicos</v>
      </c>
      <c r="C24" s="12"/>
      <c r="D24" s="12"/>
      <c r="E24" s="12" t="str">
        <f>IFERROR(__xludf.DUMMYFUNCTION("""COMPUTED_VALUE"""),"(10) Octubre")</f>
        <v>(10) Octubre</v>
      </c>
      <c r="F24" s="12" t="str">
        <f>IFERROR(__xludf.DUMMYFUNCTION("""COMPUTED_VALUE"""),"Octubre")</f>
        <v>Octubre</v>
      </c>
      <c r="G24" s="12" t="str">
        <f>IFERROR(__xludf.DUMMYFUNCTION("""COMPUTED_VALUE"""),"Oct R")</f>
        <v>Oct R</v>
      </c>
      <c r="H24" s="12" t="str">
        <f>IFERROR(__xludf.DUMMYFUNCTION("""COMPUTED_VALUE"""),"Oct D")</f>
        <v>Oct D</v>
      </c>
      <c r="I24" s="12" t="str">
        <f>IFERROR(__xludf.DUMMYFUNCTION("""COMPUTED_VALUE"""),"Otros!$O$3:$O")</f>
        <v>Otros!$O$3:$O</v>
      </c>
      <c r="J24" s="12" t="str">
        <f>IFERROR(__xludf.DUMMYFUNCTION("""COMPUTED_VALUE"""),"OctR!A:AT")</f>
        <v>OctR!A:AT</v>
      </c>
      <c r="K24" s="12" t="str">
        <f>IFERROR(__xludf.DUMMYFUNCTION("""COMPUTED_VALUE"""),"OctR!$A$1:$A")</f>
        <v>OctR!$A$1:$A</v>
      </c>
      <c r="L24" s="12" t="str">
        <f>IFERROR(__xludf.DUMMYFUNCTION("""COMPUTED_VALUE"""),"OctR!$A$6:$6")</f>
        <v>OctR!$A$6:$6</v>
      </c>
      <c r="M24" s="12" t="str">
        <f>IFERROR(__xludf.DUMMYFUNCTION("""COMPUTED_VALUE"""),"OctR")</f>
        <v>OctR</v>
      </c>
      <c r="N24" s="12"/>
      <c r="O24" s="12" t="str">
        <f>IFERROR(__xludf.DUMMYFUNCTION("""COMPUTED_VALUE"""),"(022) Ernesto Resendiz Hernandez")</f>
        <v>(022) Ernesto Resendiz Hernandez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20"/>
    </row>
    <row r="25" ht="15.75" customHeight="1">
      <c r="A25" s="12" t="str">
        <f>IFERROR(__xludf.DUMMYFUNCTION("""COMPUTED_VALUE"""),"JP Morgan")</f>
        <v>JP Morgan</v>
      </c>
      <c r="B25" s="12" t="str">
        <f>IFERROR(__xludf.DUMMYFUNCTION("""COMPUTED_VALUE"""),"Viaticos")</f>
        <v>Viaticos</v>
      </c>
      <c r="C25" s="12"/>
      <c r="D25" s="12"/>
      <c r="E25" s="12" t="str">
        <f>IFERROR(__xludf.DUMMYFUNCTION("""COMPUTED_VALUE"""),"(11) Noviembre")</f>
        <v>(11) Noviembre</v>
      </c>
      <c r="F25" s="12" t="str">
        <f>IFERROR(__xludf.DUMMYFUNCTION("""COMPUTED_VALUE"""),"Noviembre")</f>
        <v>Noviembre</v>
      </c>
      <c r="G25" s="12" t="str">
        <f>IFERROR(__xludf.DUMMYFUNCTION("""COMPUTED_VALUE"""),"Nov R")</f>
        <v>Nov R</v>
      </c>
      <c r="H25" s="12" t="str">
        <f>IFERROR(__xludf.DUMMYFUNCTION("""COMPUTED_VALUE"""),"Nov D")</f>
        <v>Nov D</v>
      </c>
      <c r="I25" s="12" t="str">
        <f>IFERROR(__xludf.DUMMYFUNCTION("""COMPUTED_VALUE"""),"Otros!$P$3:$P")</f>
        <v>Otros!$P$3:$P</v>
      </c>
      <c r="J25" s="12" t="str">
        <f>IFERROR(__xludf.DUMMYFUNCTION("""COMPUTED_VALUE"""),"NovR!A:AT")</f>
        <v>NovR!A:AT</v>
      </c>
      <c r="K25" s="12" t="str">
        <f>IFERROR(__xludf.DUMMYFUNCTION("""COMPUTED_VALUE"""),"NovR!$A$1:$A")</f>
        <v>NovR!$A$1:$A</v>
      </c>
      <c r="L25" s="12" t="str">
        <f>IFERROR(__xludf.DUMMYFUNCTION("""COMPUTED_VALUE"""),"NovR!$A$6:$6")</f>
        <v>NovR!$A$6:$6</v>
      </c>
      <c r="M25" s="12" t="str">
        <f>IFERROR(__xludf.DUMMYFUNCTION("""COMPUTED_VALUE"""),"NovR")</f>
        <v>NovR</v>
      </c>
      <c r="N25" s="12"/>
      <c r="O25" s="12" t="str">
        <f>IFERROR(__xludf.DUMMYFUNCTION("""COMPUTED_VALUE"""),"(023) Juan Guillermo Hernandez Diaz")</f>
        <v>(023) Juan Guillermo Hernandez Diaz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20"/>
    </row>
    <row r="26" ht="15.75" customHeight="1">
      <c r="A26" s="12" t="str">
        <f>IFERROR(__xludf.DUMMYFUNCTION("""COMPUTED_VALUE"""),"Citi")</f>
        <v>Citi</v>
      </c>
      <c r="B26" s="12" t="str">
        <f>IFERROR(__xludf.DUMMYFUNCTION("""COMPUTED_VALUE"""),"Avion")</f>
        <v>Avion</v>
      </c>
      <c r="C26" s="12"/>
      <c r="D26" s="12"/>
      <c r="E26" s="12" t="str">
        <f>IFERROR(__xludf.DUMMYFUNCTION("""COMPUTED_VALUE"""),"(12) Diciembre")</f>
        <v>(12) Diciembre</v>
      </c>
      <c r="F26" s="12" t="str">
        <f>IFERROR(__xludf.DUMMYFUNCTION("""COMPUTED_VALUE"""),"Diciembre")</f>
        <v>Diciembre</v>
      </c>
      <c r="G26" s="12" t="str">
        <f>IFERROR(__xludf.DUMMYFUNCTION("""COMPUTED_VALUE"""),"Dic R")</f>
        <v>Dic R</v>
      </c>
      <c r="H26" s="12" t="str">
        <f>IFERROR(__xludf.DUMMYFUNCTION("""COMPUTED_VALUE"""),"Dic D")</f>
        <v>Dic D</v>
      </c>
      <c r="I26" s="12" t="str">
        <f>IFERROR(__xludf.DUMMYFUNCTION("""COMPUTED_VALUE"""),"Otros!$Q$3:$Q")</f>
        <v>Otros!$Q$3:$Q</v>
      </c>
      <c r="J26" s="12" t="str">
        <f>IFERROR(__xludf.DUMMYFUNCTION("""COMPUTED_VALUE"""),"DicR!A:AT")</f>
        <v>DicR!A:AT</v>
      </c>
      <c r="K26" s="12" t="str">
        <f>IFERROR(__xludf.DUMMYFUNCTION("""COMPUTED_VALUE"""),"DicR!$A$1:$A")</f>
        <v>DicR!$A$1:$A</v>
      </c>
      <c r="L26" s="12" t="str">
        <f>IFERROR(__xludf.DUMMYFUNCTION("""COMPUTED_VALUE"""),"DicR!$A$6:$6")</f>
        <v>DicR!$A$6:$6</v>
      </c>
      <c r="M26" s="12" t="str">
        <f>IFERROR(__xludf.DUMMYFUNCTION("""COMPUTED_VALUE"""),"DicR")</f>
        <v>DicR</v>
      </c>
      <c r="N26" s="12"/>
      <c r="O26" s="12" t="str">
        <f>IFERROR(__xludf.DUMMYFUNCTION("""COMPUTED_VALUE"""),"(024) Efectivale S De Rl De Cv")</f>
        <v>(024) Efectivale S De Rl De Cv</v>
      </c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20"/>
    </row>
    <row r="27" ht="15.75" customHeight="1">
      <c r="A27" s="12" t="str">
        <f>IFERROR(__xludf.DUMMYFUNCTION("""COMPUTED_VALUE"""),"Warner")</f>
        <v>Warner</v>
      </c>
      <c r="B27" s="12" t="str">
        <f>IFERROR(__xludf.DUMMYFUNCTION("""COMPUTED_VALUE"""),"Hospedaje")</f>
        <v>Hospedaje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 t="str">
        <f>IFERROR(__xludf.DUMMYFUNCTION("""COMPUTED_VALUE"""),"(025) Editorial Dmx Sa De Cv")</f>
        <v>(025) Editorial Dmx Sa De Cv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20"/>
    </row>
    <row r="28" ht="15.75" customHeight="1">
      <c r="A28" s="12" t="str">
        <f>IFERROR(__xludf.DUMMYFUNCTION("""COMPUTED_VALUE"""),"Garden A.")</f>
        <v>Garden A.</v>
      </c>
      <c r="B28" s="12" t="str">
        <f>IFERROR(__xludf.DUMMYFUNCTION("""COMPUTED_VALUE"""),"Taxis")</f>
        <v>Taxis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 t="str">
        <f>IFERROR(__xludf.DUMMYFUNCTION("""COMPUTED_VALUE"""),"(026) Patricia Ruvalcaba Salazar")</f>
        <v>(026) Patricia Ruvalcaba Salazar</v>
      </c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20"/>
    </row>
    <row r="29" ht="15.75" customHeight="1">
      <c r="A29" s="12" t="str">
        <f>IFERROR(__xludf.DUMMYFUNCTION("""COMPUTED_VALUE"""),"Toluca")</f>
        <v>Toluca</v>
      </c>
      <c r="B29" s="12" t="str">
        <f>IFERROR(__xludf.DUMMYFUNCTION("""COMPUTED_VALUE"""),"Alimentos")</f>
        <v>Alimentos</v>
      </c>
      <c r="C29" s="12"/>
      <c r="D29" s="12"/>
      <c r="E29" s="12"/>
      <c r="F29" s="12" t="str">
        <f>IFERROR(__xludf.DUMMYFUNCTION("""COMPUTED_VALUE"""),"MENSUAL")</f>
        <v>MENSUAL</v>
      </c>
      <c r="G29" s="12" t="str">
        <f>IFERROR(__xludf.DUMMYFUNCTION("""COMPUTED_VALUE"""),"EneR!$B$2:$AS$100")</f>
        <v>EneR!$B$2:$AS$100</v>
      </c>
      <c r="H29" s="12" t="str">
        <f>IFERROR(__xludf.DUMMYFUNCTION("""COMPUTED_VALUE"""),"EneR!$A$2:$A$100")</f>
        <v>EneR!$A$2:$A$100</v>
      </c>
      <c r="I29" s="12" t="str">
        <f>IFERROR(__xludf.DUMMYFUNCTION("""COMPUTED_VALUE"""),"EneR!$B$6:$AS$6")</f>
        <v>EneR!$B$6:$AS$6</v>
      </c>
      <c r="J29" s="12"/>
      <c r="K29" s="12" t="str">
        <f>IFERROR(__xludf.DUMMYFUNCTION("""COMPUTED_VALUE"""),"Utilidades!$D$1:$D$100")</f>
        <v>Utilidades!$D$1:$D$100</v>
      </c>
      <c r="L29" s="12"/>
      <c r="M29" s="12"/>
      <c r="N29" s="12"/>
      <c r="O29" s="12" t="str">
        <f>IFERROR(__xludf.DUMMYFUNCTION("""COMPUTED_VALUE"""),"(027) Jose Juan Rosales Velarde")</f>
        <v>(027) Jose Juan Rosales Velarde</v>
      </c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20"/>
    </row>
    <row r="30" ht="15.75" customHeight="1">
      <c r="A30" s="12" t="str">
        <f>IFERROR(__xludf.DUMMYFUNCTION("""COMPUTED_VALUE"""),"Quadrata A&amp;H")</f>
        <v>Quadrata A&amp;H</v>
      </c>
      <c r="B30" s="12" t="str">
        <f>IFERROR(__xludf.DUMMYFUNCTION("""COMPUTED_VALUE"""),"Mensajería y paquetería")</f>
        <v>Mensajería y paquetería</v>
      </c>
      <c r="C30" s="12"/>
      <c r="D30" s="12"/>
      <c r="E30" s="12"/>
      <c r="F30" s="12" t="str">
        <f>IFERROR(__xludf.DUMMYFUNCTION("""COMPUTED_VALUE"""),"(01) Enero")</f>
        <v>(01) Enero</v>
      </c>
      <c r="G30" s="12" t="str">
        <f>IFERROR(__xludf.DUMMYFUNCTION("""COMPUTED_VALUE"""),"EneR!$B$2:$AS$100")</f>
        <v>EneR!$B$2:$AS$100</v>
      </c>
      <c r="H30" s="12" t="str">
        <f>IFERROR(__xludf.DUMMYFUNCTION("""COMPUTED_VALUE"""),"EneR!$A$2:$A$100")</f>
        <v>EneR!$A$2:$A$100</v>
      </c>
      <c r="I30" s="12" t="str">
        <f>IFERROR(__xludf.DUMMYFUNCTION("""COMPUTED_VALUE"""),"EneR!$B$6:$AS$6")</f>
        <v>EneR!$B$6:$AS$6</v>
      </c>
      <c r="J30" s="12" t="str">
        <f>IFERROR(__xludf.DUMMYFUNCTION("""COMPUTED_VALUE"""),"EneR")</f>
        <v>EneR</v>
      </c>
      <c r="K30" s="12" t="str">
        <f>IFERROR(__xludf.DUMMYFUNCTION("""COMPUTED_VALUE"""),"Utilidades!$D$1:$D$100")</f>
        <v>Utilidades!$D$1:$D$100</v>
      </c>
      <c r="L30" s="12"/>
      <c r="M30" s="12"/>
      <c r="N30" s="12"/>
      <c r="O30" s="12" t="str">
        <f>IFERROR(__xludf.DUMMYFUNCTION("""COMPUTED_VALUE"""),"(028) Camara Nacional De Comercio De")</f>
        <v>(028) Camara Nacional De Comercio De</v>
      </c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20"/>
    </row>
    <row r="31" ht="15.75" customHeight="1">
      <c r="A31" s="12" t="str">
        <f>IFERROR(__xludf.DUMMYFUNCTION("""COMPUTED_VALUE"""),"Anima")</f>
        <v>Anima</v>
      </c>
      <c r="B31" s="12" t="str">
        <f>IFERROR(__xludf.DUMMYFUNCTION("""COMPUTED_VALUE"""),"Suministors de oficina")</f>
        <v>Suministors de oficina</v>
      </c>
      <c r="C31" s="12"/>
      <c r="D31" s="12"/>
      <c r="E31" s="12"/>
      <c r="F31" s="12" t="str">
        <f>IFERROR(__xludf.DUMMYFUNCTION("""COMPUTED_VALUE"""),"(02) Febrero")</f>
        <v>(02) Febrero</v>
      </c>
      <c r="G31" s="12" t="str">
        <f>IFERROR(__xludf.DUMMYFUNCTION("""COMPUTED_VALUE"""),"FebR!$B$2:$AS$100")</f>
        <v>FebR!$B$2:$AS$100</v>
      </c>
      <c r="H31" s="12" t="str">
        <f>IFERROR(__xludf.DUMMYFUNCTION("""COMPUTED_VALUE"""),"FebR!$A$2:$A$100")</f>
        <v>FebR!$A$2:$A$100</v>
      </c>
      <c r="I31" s="12" t="str">
        <f>IFERROR(__xludf.DUMMYFUNCTION("""COMPUTED_VALUE"""),"FebR!$B$6:$AS$6")</f>
        <v>FebR!$B$6:$AS$6</v>
      </c>
      <c r="J31" s="12" t="str">
        <f>IFERROR(__xludf.DUMMYFUNCTION("""COMPUTED_VALUE"""),"FebR")</f>
        <v>FebR</v>
      </c>
      <c r="K31" s="12" t="str">
        <f>IFERROR(__xludf.DUMMYFUNCTION("""COMPUTED_VALUE"""),"Utilidades!$G$1:$G$100")</f>
        <v>Utilidades!$G$1:$G$100</v>
      </c>
      <c r="L31" s="12"/>
      <c r="M31" s="12"/>
      <c r="N31" s="12"/>
      <c r="O31" s="12" t="str">
        <f>IFERROR(__xludf.DUMMYFUNCTION("""COMPUTED_VALUE"""),"(029) Paraguas Iberia Int Sa De Cv")</f>
        <v>(029) Paraguas Iberia Int Sa De Cv</v>
      </c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20"/>
    </row>
    <row r="32" ht="15.75" customHeight="1">
      <c r="A32" s="12" t="str">
        <f>IFERROR(__xludf.DUMMYFUNCTION("""COMPUTED_VALUE"""),"Sabino")</f>
        <v>Sabino</v>
      </c>
      <c r="B32" s="12" t="str">
        <f>IFERROR(__xludf.DUMMYFUNCTION("""COMPUTED_VALUE"""),"Equipo de oficina")</f>
        <v>Equipo de oficina</v>
      </c>
      <c r="C32" s="12"/>
      <c r="D32" s="12"/>
      <c r="E32" s="12"/>
      <c r="F32" s="12" t="str">
        <f>IFERROR(__xludf.DUMMYFUNCTION("""COMPUTED_VALUE"""),"(03) Marzo")</f>
        <v>(03) Marzo</v>
      </c>
      <c r="G32" s="12" t="str">
        <f>IFERROR(__xludf.DUMMYFUNCTION("""COMPUTED_VALUE"""),"MarR!$B$2:$AS$100")</f>
        <v>MarR!$B$2:$AS$100</v>
      </c>
      <c r="H32" s="12" t="str">
        <f>IFERROR(__xludf.DUMMYFUNCTION("""COMPUTED_VALUE"""),"MarR!$A$2:$A$100")</f>
        <v>MarR!$A$2:$A$100</v>
      </c>
      <c r="I32" s="12" t="str">
        <f>IFERROR(__xludf.DUMMYFUNCTION("""COMPUTED_VALUE"""),"MarR!$B$6:$AS$6")</f>
        <v>MarR!$B$6:$AS$6</v>
      </c>
      <c r="J32" s="12" t="str">
        <f>IFERROR(__xludf.DUMMYFUNCTION("""COMPUTED_VALUE"""),"MarR")</f>
        <v>MarR</v>
      </c>
      <c r="K32" s="12" t="str">
        <f>IFERROR(__xludf.DUMMYFUNCTION("""COMPUTED_VALUE"""),"Utilidades!$J$1:$J$100")</f>
        <v>Utilidades!$J$1:$J$100</v>
      </c>
      <c r="L32" s="12"/>
      <c r="M32" s="12"/>
      <c r="N32" s="12"/>
      <c r="O32" s="12" t="str">
        <f>IFERROR(__xludf.DUMMYFUNCTION("""COMPUTED_VALUE"""),"(030) Alejandro Monroy Sanchez")</f>
        <v>(030) Alejandro Monroy Sanchez</v>
      </c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20"/>
    </row>
    <row r="33" ht="15.75" customHeight="1">
      <c r="A33" s="12"/>
      <c r="B33" s="12" t="str">
        <f>IFERROR(__xludf.DUMMYFUNCTION("""COMPUTED_VALUE"""),"Depreciación y amortización")</f>
        <v>Depreciación y amortización</v>
      </c>
      <c r="C33" s="12"/>
      <c r="D33" s="12"/>
      <c r="E33" s="12"/>
      <c r="F33" s="12" t="str">
        <f>IFERROR(__xludf.DUMMYFUNCTION("""COMPUTED_VALUE"""),"(04) Abril")</f>
        <v>(04) Abril</v>
      </c>
      <c r="G33" s="12" t="str">
        <f>IFERROR(__xludf.DUMMYFUNCTION("""COMPUTED_VALUE"""),"AbrR!$B$2:$AS$100")</f>
        <v>AbrR!$B$2:$AS$100</v>
      </c>
      <c r="H33" s="12" t="str">
        <f>IFERROR(__xludf.DUMMYFUNCTION("""COMPUTED_VALUE"""),"AbrR!$A$2:$A$100")</f>
        <v>AbrR!$A$2:$A$100</v>
      </c>
      <c r="I33" s="12" t="str">
        <f>IFERROR(__xludf.DUMMYFUNCTION("""COMPUTED_VALUE"""),"AbrR!$B$6:$AS$6")</f>
        <v>AbrR!$B$6:$AS$6</v>
      </c>
      <c r="J33" s="12" t="str">
        <f>IFERROR(__xludf.DUMMYFUNCTION("""COMPUTED_VALUE"""),"AbrR")</f>
        <v>AbrR</v>
      </c>
      <c r="K33" s="12" t="str">
        <f>IFERROR(__xludf.DUMMYFUNCTION("""COMPUTED_VALUE"""),"Utilidades!$M$1:$M$100")</f>
        <v>Utilidades!$M$1:$M$100</v>
      </c>
      <c r="L33" s="12"/>
      <c r="M33" s="12"/>
      <c r="N33" s="12"/>
      <c r="O33" s="12" t="str">
        <f>IFERROR(__xludf.DUMMYFUNCTION("""COMPUTED_VALUE"""),"(031) Maria De Los Angeles Salas Gau")</f>
        <v>(031) Maria De Los Angeles Salas Gau</v>
      </c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20"/>
    </row>
    <row r="34" ht="15.75" customHeight="1">
      <c r="A34" s="12"/>
      <c r="B34" s="12" t="str">
        <f>IFERROR(__xludf.DUMMYFUNCTION("""COMPUTED_VALUE"""),"Reparacion equipo de estacionamiento")</f>
        <v>Reparacion equipo de estacionamiento</v>
      </c>
      <c r="C34" s="12"/>
      <c r="D34" s="12"/>
      <c r="E34" s="12"/>
      <c r="F34" s="12" t="str">
        <f>IFERROR(__xludf.DUMMYFUNCTION("""COMPUTED_VALUE"""),"(05) Mayo")</f>
        <v>(05) Mayo</v>
      </c>
      <c r="G34" s="12" t="str">
        <f>IFERROR(__xludf.DUMMYFUNCTION("""COMPUTED_VALUE"""),"MayR!$B$2:$AS$100")</f>
        <v>MayR!$B$2:$AS$100</v>
      </c>
      <c r="H34" s="12" t="str">
        <f>IFERROR(__xludf.DUMMYFUNCTION("""COMPUTED_VALUE"""),"MayR!$A$2:$A$100")</f>
        <v>MayR!$A$2:$A$100</v>
      </c>
      <c r="I34" s="12" t="str">
        <f>IFERROR(__xludf.DUMMYFUNCTION("""COMPUTED_VALUE"""),"MayR!$B$6:$AS$6")</f>
        <v>MayR!$B$6:$AS$6</v>
      </c>
      <c r="J34" s="12" t="str">
        <f>IFERROR(__xludf.DUMMYFUNCTION("""COMPUTED_VALUE"""),"MayR")</f>
        <v>MayR</v>
      </c>
      <c r="K34" s="12" t="str">
        <f>IFERROR(__xludf.DUMMYFUNCTION("""COMPUTED_VALUE"""),"Utilidades!$P$1:$P$100")</f>
        <v>Utilidades!$P$1:$P$100</v>
      </c>
      <c r="L34" s="12"/>
      <c r="M34" s="12"/>
      <c r="N34" s="12"/>
      <c r="O34" s="12" t="str">
        <f>IFERROR(__xludf.DUMMYFUNCTION("""COMPUTED_VALUE"""),"(032) Notarios Caceres Sc")</f>
        <v>(032) Notarios Caceres Sc</v>
      </c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20"/>
    </row>
    <row r="35" ht="15.75" customHeight="1">
      <c r="A35" s="12"/>
      <c r="B35" s="12" t="str">
        <f>IFERROR(__xludf.DUMMYFUNCTION("""COMPUTED_VALUE"""),"Comisiones bancarias")</f>
        <v>Comisiones bancarias</v>
      </c>
      <c r="C35" s="12"/>
      <c r="D35" s="12"/>
      <c r="E35" s="12"/>
      <c r="F35" s="12" t="str">
        <f>IFERROR(__xludf.DUMMYFUNCTION("""COMPUTED_VALUE"""),"(06) Junio")</f>
        <v>(06) Junio</v>
      </c>
      <c r="G35" s="12" t="str">
        <f>IFERROR(__xludf.DUMMYFUNCTION("""COMPUTED_VALUE"""),"JunR!$B$2:$AS$100")</f>
        <v>JunR!$B$2:$AS$100</v>
      </c>
      <c r="H35" s="12" t="str">
        <f>IFERROR(__xludf.DUMMYFUNCTION("""COMPUTED_VALUE"""),"JunR!$A$2:$A$100")</f>
        <v>JunR!$A$2:$A$100</v>
      </c>
      <c r="I35" s="12" t="str">
        <f>IFERROR(__xludf.DUMMYFUNCTION("""COMPUTED_VALUE"""),"JunR!$B$6:$AS$6")</f>
        <v>JunR!$B$6:$AS$6</v>
      </c>
      <c r="J35" s="12" t="str">
        <f>IFERROR(__xludf.DUMMYFUNCTION("""COMPUTED_VALUE"""),"JunR")</f>
        <v>JunR</v>
      </c>
      <c r="K35" s="12" t="str">
        <f>IFERROR(__xludf.DUMMYFUNCTION("""COMPUTED_VALUE"""),"Utilidades!$S$1:$S$100")</f>
        <v>Utilidades!$S$1:$S$100</v>
      </c>
      <c r="L35" s="12"/>
      <c r="M35" s="12"/>
      <c r="N35" s="12"/>
      <c r="O35" s="12" t="str">
        <f>IFERROR(__xludf.DUMMYFUNCTION("""COMPUTED_VALUE"""),"(033) Delfina Aguilar Sandoval")</f>
        <v>(033) Delfina Aguilar Sandoval</v>
      </c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20"/>
    </row>
    <row r="36" ht="15.75" customHeight="1">
      <c r="A36" s="12"/>
      <c r="B36" s="12" t="str">
        <f>IFERROR(__xludf.DUMMYFUNCTION("""COMPUTED_VALUE"""),"Renta sanitario")</f>
        <v>Renta sanitario</v>
      </c>
      <c r="C36" s="12"/>
      <c r="D36" s="12"/>
      <c r="E36" s="12"/>
      <c r="F36" s="12" t="str">
        <f>IFERROR(__xludf.DUMMYFUNCTION("""COMPUTED_VALUE"""),"(07) Julio")</f>
        <v>(07) Julio</v>
      </c>
      <c r="G36" s="12" t="str">
        <f>IFERROR(__xludf.DUMMYFUNCTION("""COMPUTED_VALUE"""),"JulR!$B$2:$AS$100")</f>
        <v>JulR!$B$2:$AS$100</v>
      </c>
      <c r="H36" s="12" t="str">
        <f>IFERROR(__xludf.DUMMYFUNCTION("""COMPUTED_VALUE"""),"JulR!$A$2:$A$100")</f>
        <v>JulR!$A$2:$A$100</v>
      </c>
      <c r="I36" s="12" t="str">
        <f>IFERROR(__xludf.DUMMYFUNCTION("""COMPUTED_VALUE"""),"JulR!$B$6:$AS$6")</f>
        <v>JulR!$B$6:$AS$6</v>
      </c>
      <c r="J36" s="12" t="str">
        <f>IFERROR(__xludf.DUMMYFUNCTION("""COMPUTED_VALUE"""),"JulR")</f>
        <v>JulR</v>
      </c>
      <c r="K36" s="12" t="str">
        <f>IFERROR(__xludf.DUMMYFUNCTION("""COMPUTED_VALUE"""),"Utilidades!$V$1:$V$100")</f>
        <v>Utilidades!$V$1:$V$100</v>
      </c>
      <c r="L36" s="12"/>
      <c r="M36" s="12"/>
      <c r="N36" s="12"/>
      <c r="O36" s="12" t="str">
        <f>IFERROR(__xludf.DUMMYFUNCTION("""COMPUTED_VALUE"""),"(044) R3J3 Sa De Cv")</f>
        <v>(044) R3J3 Sa De Cv</v>
      </c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20"/>
    </row>
    <row r="37" ht="15.75" customHeight="1">
      <c r="A37" s="12"/>
      <c r="B37" s="12" t="str">
        <f>IFERROR(__xludf.DUMMYFUNCTION("""COMPUTED_VALUE"""),"Honorarios Legal")</f>
        <v>Honorarios Legal</v>
      </c>
      <c r="C37" s="12"/>
      <c r="D37" s="12"/>
      <c r="E37" s="12"/>
      <c r="F37" s="12" t="str">
        <f>IFERROR(__xludf.DUMMYFUNCTION("""COMPUTED_VALUE"""),"(08) Agosto")</f>
        <v>(08) Agosto</v>
      </c>
      <c r="G37" s="12" t="str">
        <f>IFERROR(__xludf.DUMMYFUNCTION("""COMPUTED_VALUE"""),"AgoR!$B$2:$AS$100")</f>
        <v>AgoR!$B$2:$AS$100</v>
      </c>
      <c r="H37" s="12" t="str">
        <f>IFERROR(__xludf.DUMMYFUNCTION("""COMPUTED_VALUE"""),"AgoR!$A$2:$A$100")</f>
        <v>AgoR!$A$2:$A$100</v>
      </c>
      <c r="I37" s="12" t="str">
        <f>IFERROR(__xludf.DUMMYFUNCTION("""COMPUTED_VALUE"""),"AgoR!$B$6:$AS$6")</f>
        <v>AgoR!$B$6:$AS$6</v>
      </c>
      <c r="J37" s="12" t="str">
        <f>IFERROR(__xludf.DUMMYFUNCTION("""COMPUTED_VALUE"""),"AgoR")</f>
        <v>AgoR</v>
      </c>
      <c r="K37" s="12" t="str">
        <f>IFERROR(__xludf.DUMMYFUNCTION("""COMPUTED_VALUE"""),"Utilidades!$Y$1:$Y$100")</f>
        <v>Utilidades!$Y$1:$Y$100</v>
      </c>
      <c r="L37" s="12"/>
      <c r="M37" s="12"/>
      <c r="N37" s="12"/>
      <c r="O37" s="12" t="str">
        <f>IFERROR(__xludf.DUMMYFUNCTION("""COMPUTED_VALUE"""),"(045) Proxiguard Mexico Sa De Cv")</f>
        <v>(045) Proxiguard Mexico Sa De Cv</v>
      </c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20"/>
    </row>
    <row r="38" ht="15.75" customHeight="1">
      <c r="A38" s="12"/>
      <c r="B38" s="12" t="str">
        <f>IFERROR(__xludf.DUMMYFUNCTION("""COMPUTED_VALUE"""),"Gasolina")</f>
        <v>Gasolina</v>
      </c>
      <c r="C38" s="12"/>
      <c r="D38" s="12"/>
      <c r="E38" s="12"/>
      <c r="F38" s="12" t="str">
        <f>IFERROR(__xludf.DUMMYFUNCTION("""COMPUTED_VALUE"""),"(09) Septiembre")</f>
        <v>(09) Septiembre</v>
      </c>
      <c r="G38" s="12" t="str">
        <f>IFERROR(__xludf.DUMMYFUNCTION("""COMPUTED_VALUE"""),"SepR!$B$2:$AS$100")</f>
        <v>SepR!$B$2:$AS$100</v>
      </c>
      <c r="H38" s="12" t="str">
        <f>IFERROR(__xludf.DUMMYFUNCTION("""COMPUTED_VALUE"""),"SepR!$A$2:$A$100")</f>
        <v>SepR!$A$2:$A$100</v>
      </c>
      <c r="I38" s="12" t="str">
        <f>IFERROR(__xludf.DUMMYFUNCTION("""COMPUTED_VALUE"""),"SepR!$B$6:$AS$6")</f>
        <v>SepR!$B$6:$AS$6</v>
      </c>
      <c r="J38" s="12" t="str">
        <f>IFERROR(__xludf.DUMMYFUNCTION("""COMPUTED_VALUE"""),"SepR")</f>
        <v>SepR</v>
      </c>
      <c r="K38" s="12" t="str">
        <f>IFERROR(__xludf.DUMMYFUNCTION("""COMPUTED_VALUE"""),"Utilidades!$AB$1:$AB$100")</f>
        <v>Utilidades!$AB$1:$AB$100</v>
      </c>
      <c r="L38" s="12"/>
      <c r="M38" s="12"/>
      <c r="N38" s="12"/>
      <c r="O38" s="12" t="str">
        <f>IFERROR(__xludf.DUMMYFUNCTION("""COMPUTED_VALUE"""),"(046) Joes Corp Interactive Sa De Cv")</f>
        <v>(046) Joes Corp Interactive Sa De Cv</v>
      </c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20"/>
    </row>
    <row r="39" ht="15.75" customHeight="1">
      <c r="A39" s="12"/>
      <c r="B39" s="12" t="str">
        <f>IFERROR(__xludf.DUMMYFUNCTION("""COMPUTED_VALUE"""),"Publicidad")</f>
        <v>Publicidad</v>
      </c>
      <c r="C39" s="12"/>
      <c r="D39" s="12"/>
      <c r="E39" s="12"/>
      <c r="F39" s="12" t="str">
        <f>IFERROR(__xludf.DUMMYFUNCTION("""COMPUTED_VALUE"""),"(10) Octubre")</f>
        <v>(10) Octubre</v>
      </c>
      <c r="G39" s="12" t="str">
        <f>IFERROR(__xludf.DUMMYFUNCTION("""COMPUTED_VALUE"""),"OctR!$B$2:$AS$100")</f>
        <v>OctR!$B$2:$AS$100</v>
      </c>
      <c r="H39" s="12" t="str">
        <f>IFERROR(__xludf.DUMMYFUNCTION("""COMPUTED_VALUE"""),"OctR!$A$2:$A$100")</f>
        <v>OctR!$A$2:$A$100</v>
      </c>
      <c r="I39" s="12" t="str">
        <f>IFERROR(__xludf.DUMMYFUNCTION("""COMPUTED_VALUE"""),"OctR!$B$6:$AS$6")</f>
        <v>OctR!$B$6:$AS$6</v>
      </c>
      <c r="J39" s="12" t="str">
        <f>IFERROR(__xludf.DUMMYFUNCTION("""COMPUTED_VALUE"""),"OctR")</f>
        <v>OctR</v>
      </c>
      <c r="K39" s="12" t="str">
        <f>IFERROR(__xludf.DUMMYFUNCTION("""COMPUTED_VALUE"""),"Utilidades!$AE$1:$AE$100")</f>
        <v>Utilidades!$AE$1:$AE$100</v>
      </c>
      <c r="L39" s="12"/>
      <c r="M39" s="12"/>
      <c r="N39" s="12"/>
      <c r="O39" s="12" t="str">
        <f>IFERROR(__xludf.DUMMYFUNCTION("""COMPUTED_VALUE"""),"(047) Marcas Y Patentes En Linea Sc")</f>
        <v>(047) Marcas Y Patentes En Linea Sc</v>
      </c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20"/>
    </row>
    <row r="40" ht="15.75" customHeight="1">
      <c r="A40" s="12"/>
      <c r="B40" s="12" t="str">
        <f>IFERROR(__xludf.DUMMYFUNCTION("""COMPUTED_VALUE"""),"Cuotas IMSS")</f>
        <v>Cuotas IMSS</v>
      </c>
      <c r="C40" s="12"/>
      <c r="D40" s="12"/>
      <c r="E40" s="12"/>
      <c r="F40" s="12" t="str">
        <f>IFERROR(__xludf.DUMMYFUNCTION("""COMPUTED_VALUE"""),"(11) Noviembre")</f>
        <v>(11) Noviembre</v>
      </c>
      <c r="G40" s="12" t="str">
        <f>IFERROR(__xludf.DUMMYFUNCTION("""COMPUTED_VALUE"""),"NovR!$B$2:$AS$100")</f>
        <v>NovR!$B$2:$AS$100</v>
      </c>
      <c r="H40" s="12" t="str">
        <f>IFERROR(__xludf.DUMMYFUNCTION("""COMPUTED_VALUE"""),"NovR!$A$2:$A$100")</f>
        <v>NovR!$A$2:$A$100</v>
      </c>
      <c r="I40" s="12" t="str">
        <f>IFERROR(__xludf.DUMMYFUNCTION("""COMPUTED_VALUE"""),"NovR!$B$6:$AS$6")</f>
        <v>NovR!$B$6:$AS$6</v>
      </c>
      <c r="J40" s="12" t="str">
        <f>IFERROR(__xludf.DUMMYFUNCTION("""COMPUTED_VALUE"""),"NovR")</f>
        <v>NovR</v>
      </c>
      <c r="K40" s="12" t="str">
        <f>IFERROR(__xludf.DUMMYFUNCTION("""COMPUTED_VALUE"""),"Utilidades!$AH$1:$AH$100")</f>
        <v>Utilidades!$AH$1:$AH$100</v>
      </c>
      <c r="L40" s="12"/>
      <c r="M40" s="12"/>
      <c r="N40" s="12"/>
      <c r="O40" s="12" t="str">
        <f>IFERROR(__xludf.DUMMYFUNCTION("""COMPUTED_VALUE"""),"(048) Javier Benitez Vega")</f>
        <v>(048) Javier Benitez Vega</v>
      </c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20"/>
    </row>
    <row r="41" ht="15.75" customHeight="1">
      <c r="A41" s="12"/>
      <c r="B41" s="12" t="str">
        <f>IFERROR(__xludf.DUMMYFUNCTION("""COMPUTED_VALUE"""),"Cuotas INFONAVIT")</f>
        <v>Cuotas INFONAVIT</v>
      </c>
      <c r="C41" s="12"/>
      <c r="D41" s="12"/>
      <c r="E41" s="12"/>
      <c r="F41" s="12" t="str">
        <f>IFERROR(__xludf.DUMMYFUNCTION("""COMPUTED_VALUE"""),"(12) Diciembre")</f>
        <v>(12) Diciembre</v>
      </c>
      <c r="G41" s="12" t="str">
        <f>IFERROR(__xludf.DUMMYFUNCTION("""COMPUTED_VALUE"""),"DicR!$B$2:$AS$100")</f>
        <v>DicR!$B$2:$AS$100</v>
      </c>
      <c r="H41" s="12" t="str">
        <f>IFERROR(__xludf.DUMMYFUNCTION("""COMPUTED_VALUE"""),"DicR!$A$2:$A$100")</f>
        <v>DicR!$A$2:$A$100</v>
      </c>
      <c r="I41" s="12" t="str">
        <f>IFERROR(__xludf.DUMMYFUNCTION("""COMPUTED_VALUE"""),"DicR!$B$6:$AS$6")</f>
        <v>DicR!$B$6:$AS$6</v>
      </c>
      <c r="J41" s="12" t="str">
        <f>IFERROR(__xludf.DUMMYFUNCTION("""COMPUTED_VALUE"""),"DicR")</f>
        <v>DicR</v>
      </c>
      <c r="K41" s="12" t="str">
        <f>IFERROR(__xludf.DUMMYFUNCTION("""COMPUTED_VALUE"""),"Utilidades!$AK$1:$AK$100")</f>
        <v>Utilidades!$AK$1:$AK$100</v>
      </c>
      <c r="L41" s="12"/>
      <c r="M41" s="12"/>
      <c r="N41" s="12"/>
      <c r="O41" s="12" t="str">
        <f>IFERROR(__xludf.DUMMYFUNCTION("""COMPUTED_VALUE"""),"(049) Estrategia En Sistemas Adminis")</f>
        <v>(049) Estrategia En Sistemas Adminis</v>
      </c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20"/>
    </row>
    <row r="42" ht="15.75" customHeight="1">
      <c r="A42" s="12"/>
      <c r="B42" s="12" t="str">
        <f>IFERROR(__xludf.DUMMYFUNCTION("""COMPUTED_VALUE"""),"Cuotas AFORE")</f>
        <v>Cuotas AFORE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 t="str">
        <f>IFERROR(__xludf.DUMMYFUNCTION("""COMPUTED_VALUE"""),"(050) Afianzadora Sofimex Sa")</f>
        <v>(050) Afianzadora Sofimex Sa</v>
      </c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20"/>
    </row>
    <row r="43" ht="15.75" customHeight="1">
      <c r="A43" s="12"/>
      <c r="B43" s="12" t="str">
        <f>IFERROR(__xludf.DUMMYFUNCTION("""COMPUTED_VALUE"""),"Impuesto sobre nóminas")</f>
        <v>Impuesto sobre nóminas</v>
      </c>
      <c r="C43" s="12"/>
      <c r="D43" s="12"/>
      <c r="E43" s="12"/>
      <c r="F43" s="12"/>
      <c r="G43" s="12"/>
      <c r="H43" s="12"/>
      <c r="I43" s="12"/>
      <c r="J43" s="12"/>
      <c r="K43" s="12" t="str">
        <f>IFERROR(__xludf.DUMMYFUNCTION("""COMPUTED_VALUE"""),"Utilidades!$A$1:$A$100")</f>
        <v>Utilidades!$A$1:$A$100</v>
      </c>
      <c r="L43" s="12"/>
      <c r="M43" s="12"/>
      <c r="N43" s="12"/>
      <c r="O43" s="12" t="str">
        <f>IFERROR(__xludf.DUMMYFUNCTION("""COMPUTED_VALUE"""),"(051) Qualitas Compañia De Seguros S")</f>
        <v>(051) Qualitas Compañia De Seguros S</v>
      </c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20"/>
    </row>
    <row r="44" ht="15.75" customHeight="1">
      <c r="A44" s="12"/>
      <c r="B44" s="12" t="str">
        <f>IFERROR(__xludf.DUMMYFUNCTION("""COMPUTED_VALUE"""),"Compensaciones Efe Int")</f>
        <v>Compensaciones Efe Int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 t="str">
        <f>IFERROR(__xludf.DUMMYFUNCTION("""COMPUTED_VALUE"""),"(052) Linda Yesenia Herrera Leyva")</f>
        <v>(052) Linda Yesenia Herrera Leyva</v>
      </c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20"/>
    </row>
    <row r="45" ht="15.75" customHeight="1">
      <c r="A45" s="12"/>
      <c r="B45" s="12" t="str">
        <f>IFERROR(__xludf.DUMMYFUNCTION("""COMPUTED_VALUE"""),"Varios")</f>
        <v>Varios</v>
      </c>
      <c r="C45" s="12"/>
      <c r="D45" s="12"/>
      <c r="E45" s="12"/>
      <c r="F45" s="12"/>
      <c r="G45" s="12" t="str">
        <f>IFERROR(__xludf.DUMMYFUNCTION("""COMPUTED_VALUE"""),"OtrosR!$E$3:$E")</f>
        <v>OtrosR!$E$3:$E</v>
      </c>
      <c r="H45" s="12"/>
      <c r="I45" s="12"/>
      <c r="J45" s="12" t="str">
        <f>IFERROR(__xludf.DUMMYFUNCTION("""COMPUTED_VALUE"""),"Mes vs Mes 1")</f>
        <v>Mes vs Mes 1</v>
      </c>
      <c r="K45" s="12" t="str">
        <f>IFERROR(__xludf.DUMMYFUNCTION("""COMPUTED_VALUE"""),"Utilidades!$D$1:$D$100")</f>
        <v>Utilidades!$D$1:$D$100</v>
      </c>
      <c r="L45" s="12"/>
      <c r="M45" s="12"/>
      <c r="N45" s="12"/>
      <c r="O45" s="12" t="str">
        <f>IFERROR(__xludf.DUMMYFUNCTION("""COMPUTED_VALUE"""),"(053) Ehs Asessment And Infraestruct")</f>
        <v>(053) Ehs Asessment And Infraestruct</v>
      </c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20"/>
    </row>
    <row r="46" ht="15.75" customHeight="1">
      <c r="A46" s="12"/>
      <c r="B46" s="12" t="str">
        <f>IFERROR(__xludf.DUMMYFUNCTION("""COMPUTED_VALUE"""),"No deducibles")</f>
        <v>No deducibles</v>
      </c>
      <c r="C46" s="12"/>
      <c r="D46" s="12"/>
      <c r="E46" s="12"/>
      <c r="F46" s="12" t="str">
        <f>IFERROR(__xludf.DUMMYFUNCTION("""COMPUTED_VALUE"""),"(01) Enero")</f>
        <v>(01) Enero</v>
      </c>
      <c r="G46" s="12" t="str">
        <f>IFERROR(__xludf.DUMMYFUNCTION("""COMPUTED_VALUE"""),"OtrosR!$E$3:$E")</f>
        <v>OtrosR!$E$3:$E</v>
      </c>
      <c r="H46" s="12"/>
      <c r="I46" s="12"/>
      <c r="J46" s="12" t="str">
        <f>IFERROR(__xludf.DUMMYFUNCTION("""COMPUTED_VALUE"""),"Mes vs Mes 2")</f>
        <v>Mes vs Mes 2</v>
      </c>
      <c r="K46" s="12" t="str">
        <f>IFERROR(__xludf.DUMMYFUNCTION("""COMPUTED_VALUE"""),"Utilidades!$G$1:$G$100")</f>
        <v>Utilidades!$G$1:$G$100</v>
      </c>
      <c r="L46" s="12"/>
      <c r="M46" s="12"/>
      <c r="N46" s="12"/>
      <c r="O46" s="12" t="str">
        <f>IFERROR(__xludf.DUMMYFUNCTION("""COMPUTED_VALUE"""),"(054) Secretaria De Finanzas De La C")</f>
        <v>(054) Secretaria De Finanzas De La C</v>
      </c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20"/>
    </row>
    <row r="47" ht="15.75" customHeight="1">
      <c r="A47" s="12"/>
      <c r="B47" s="12"/>
      <c r="C47" s="12"/>
      <c r="D47" s="12"/>
      <c r="E47" s="12"/>
      <c r="F47" s="12" t="str">
        <f>IFERROR(__xludf.DUMMYFUNCTION("""COMPUTED_VALUE"""),"(02) Febrero")</f>
        <v>(02) Febrero</v>
      </c>
      <c r="G47" s="12" t="str">
        <f>IFERROR(__xludf.DUMMYFUNCTION("""COMPUTED_VALUE"""),"OtrosR!$F$3:$F")</f>
        <v>OtrosR!$F$3:$F</v>
      </c>
      <c r="H47" s="12"/>
      <c r="I47" s="12"/>
      <c r="J47" s="12"/>
      <c r="K47" s="12"/>
      <c r="L47" s="12"/>
      <c r="M47" s="12"/>
      <c r="N47" s="12"/>
      <c r="O47" s="12" t="str">
        <f>IFERROR(__xludf.DUMMYFUNCTION("""COMPUTED_VALUE"""),"(055) Axa Seguros Sa De Cv")</f>
        <v>(055) Axa Seguros Sa De Cv</v>
      </c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20"/>
    </row>
    <row r="48" ht="15.75" customHeight="1">
      <c r="A48" s="12"/>
      <c r="B48" s="12"/>
      <c r="C48" s="12"/>
      <c r="D48" s="12"/>
      <c r="E48" s="12"/>
      <c r="F48" s="12" t="str">
        <f>IFERROR(__xludf.DUMMYFUNCTION("""COMPUTED_VALUE"""),"(03) Marzo")</f>
        <v>(03) Marzo</v>
      </c>
      <c r="G48" s="12" t="str">
        <f>IFERROR(__xludf.DUMMYFUNCTION("""COMPUTED_VALUE"""),"OtrosR!$G$3:$G")</f>
        <v>OtrosR!$G$3:$G</v>
      </c>
      <c r="H48" s="12"/>
      <c r="I48" s="12"/>
      <c r="J48" s="12"/>
      <c r="K48" s="12"/>
      <c r="L48" s="12"/>
      <c r="M48" s="12"/>
      <c r="N48" s="12"/>
      <c r="O48" s="12" t="str">
        <f>IFERROR(__xludf.DUMMYFUNCTION("""COMPUTED_VALUE"""),"(056) Dahfsa De Mexico Sa De Cv")</f>
        <v>(056) Dahfsa De Mexico Sa De Cv</v>
      </c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20"/>
    </row>
    <row r="49" ht="15.75" customHeight="1">
      <c r="A49" s="12"/>
      <c r="B49" s="12"/>
      <c r="C49" s="12"/>
      <c r="D49" s="12"/>
      <c r="E49" s="12"/>
      <c r="F49" s="12" t="str">
        <f>IFERROR(__xludf.DUMMYFUNCTION("""COMPUTED_VALUE"""),"(04) Abril")</f>
        <v>(04) Abril</v>
      </c>
      <c r="G49" s="12" t="str">
        <f>IFERROR(__xludf.DUMMYFUNCTION("""COMPUTED_VALUE"""),"OtrosR!$H$3:$H")</f>
        <v>OtrosR!$H$3:$H</v>
      </c>
      <c r="H49" s="12"/>
      <c r="I49" s="12"/>
      <c r="J49" s="12"/>
      <c r="K49" s="12"/>
      <c r="L49" s="12"/>
      <c r="M49" s="12"/>
      <c r="N49" s="12"/>
      <c r="O49" s="12" t="str">
        <f>IFERROR(__xludf.DUMMYFUNCTION("""COMPUTED_VALUE"""),"(057) La Casa Del Guante Soledad Sa")</f>
        <v>(057) La Casa Del Guante Soledad Sa</v>
      </c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20"/>
    </row>
    <row r="50" ht="15.75" customHeight="1">
      <c r="A50" s="12"/>
      <c r="B50" s="12"/>
      <c r="C50" s="12"/>
      <c r="D50" s="12"/>
      <c r="E50" s="12"/>
      <c r="F50" s="12" t="str">
        <f>IFERROR(__xludf.DUMMYFUNCTION("""COMPUTED_VALUE"""),"(05) Mayo")</f>
        <v>(05) Mayo</v>
      </c>
      <c r="G50" s="12" t="str">
        <f>IFERROR(__xludf.DUMMYFUNCTION("""COMPUTED_VALUE"""),"OtrosR!$I$3:$I")</f>
        <v>OtrosR!$I$3:$I</v>
      </c>
      <c r="H50" s="12"/>
      <c r="I50" s="12"/>
      <c r="J50" s="12"/>
      <c r="K50" s="12"/>
      <c r="L50" s="12"/>
      <c r="M50" s="12"/>
      <c r="N50" s="12"/>
      <c r="O50" s="12" t="str">
        <f>IFERROR(__xludf.DUMMYFUNCTION("""COMPUTED_VALUE"""),"(058) Telefonos De Mexico Sa De Cv")</f>
        <v>(058) Telefonos De Mexico Sa De Cv</v>
      </c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20"/>
    </row>
    <row r="51" ht="15.75" customHeight="1">
      <c r="A51" s="12"/>
      <c r="B51" s="12"/>
      <c r="C51" s="12"/>
      <c r="D51" s="12"/>
      <c r="E51" s="12"/>
      <c r="F51" s="12" t="str">
        <f>IFERROR(__xludf.DUMMYFUNCTION("""COMPUTED_VALUE"""),"(06) Junio")</f>
        <v>(06) Junio</v>
      </c>
      <c r="G51" s="12" t="str">
        <f>IFERROR(__xludf.DUMMYFUNCTION("""COMPUTED_VALUE"""),"OtrosR!$J$3:$J")</f>
        <v>OtrosR!$J$3:$J</v>
      </c>
      <c r="H51" s="12"/>
      <c r="I51" s="12"/>
      <c r="J51" s="12"/>
      <c r="K51" s="12"/>
      <c r="L51" s="12"/>
      <c r="M51" s="12"/>
      <c r="N51" s="12"/>
      <c r="O51" s="12" t="str">
        <f>IFERROR(__xludf.DUMMYFUNCTION("""COMPUTED_VALUE"""),"(059) Cyberpuerta Sa De Cv")</f>
        <v>(059) Cyberpuerta Sa De Cv</v>
      </c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20"/>
    </row>
    <row r="52" ht="15.75" customHeight="1">
      <c r="A52" s="12"/>
      <c r="B52" s="12"/>
      <c r="C52" s="12"/>
      <c r="D52" s="12"/>
      <c r="E52" s="12"/>
      <c r="F52" s="12" t="str">
        <f>IFERROR(__xludf.DUMMYFUNCTION("""COMPUTED_VALUE"""),"(07) Julio")</f>
        <v>(07) Julio</v>
      </c>
      <c r="G52" s="12" t="str">
        <f>IFERROR(__xludf.DUMMYFUNCTION("""COMPUTED_VALUE"""),"OtrosR!$K$3:$K")</f>
        <v>OtrosR!$K$3:$K</v>
      </c>
      <c r="H52" s="12"/>
      <c r="I52" s="12"/>
      <c r="J52" s="12"/>
      <c r="K52" s="12"/>
      <c r="L52" s="12"/>
      <c r="M52" s="12"/>
      <c r="N52" s="12"/>
      <c r="O52" s="12" t="str">
        <f>IFERROR(__xludf.DUMMYFUNCTION("""COMPUTED_VALUE"""),"(060) Empacadora El Fresno Sa De Cv")</f>
        <v>(060) Empacadora El Fresno Sa De Cv</v>
      </c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20"/>
    </row>
    <row r="53" ht="15.75" customHeight="1">
      <c r="A53" s="12"/>
      <c r="B53" s="12"/>
      <c r="C53" s="12"/>
      <c r="D53" s="12"/>
      <c r="E53" s="12"/>
      <c r="F53" s="12" t="str">
        <f>IFERROR(__xludf.DUMMYFUNCTION("""COMPUTED_VALUE"""),"(08) Agosto")</f>
        <v>(08) Agosto</v>
      </c>
      <c r="G53" s="12" t="str">
        <f>IFERROR(__xludf.DUMMYFUNCTION("""COMPUTED_VALUE"""),"OtrosR!$L$3:$L")</f>
        <v>OtrosR!$L$3:$L</v>
      </c>
      <c r="H53" s="12"/>
      <c r="I53" s="12"/>
      <c r="J53" s="12"/>
      <c r="K53" s="12"/>
      <c r="L53" s="12"/>
      <c r="M53" s="12"/>
      <c r="N53" s="12"/>
      <c r="O53" s="12" t="str">
        <f>IFERROR(__xludf.DUMMYFUNCTION("""COMPUTED_VALUE"""),"(061) Ivan Diaz Garcia")</f>
        <v>(061) Ivan Diaz Garcia</v>
      </c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20"/>
    </row>
    <row r="54" ht="15.75" customHeight="1">
      <c r="A54" s="12"/>
      <c r="B54" s="12"/>
      <c r="C54" s="12"/>
      <c r="D54" s="12"/>
      <c r="E54" s="12"/>
      <c r="F54" s="12" t="str">
        <f>IFERROR(__xludf.DUMMYFUNCTION("""COMPUTED_VALUE"""),"(09) Septiembre")</f>
        <v>(09) Septiembre</v>
      </c>
      <c r="G54" s="12" t="str">
        <f>IFERROR(__xludf.DUMMYFUNCTION("""COMPUTED_VALUE"""),"OtrosR!$M$3:$M")</f>
        <v>OtrosR!$M$3:$M</v>
      </c>
      <c r="H54" s="12"/>
      <c r="I54" s="12"/>
      <c r="J54" s="12"/>
      <c r="K54" s="12"/>
      <c r="L54" s="12"/>
      <c r="M54" s="12"/>
      <c r="N54" s="12"/>
      <c r="O54" s="12" t="str">
        <f>IFERROR(__xludf.DUMMYFUNCTION("""COMPUTED_VALUE"""),"(062) Endomex Sa De Cv")</f>
        <v>(062) Endomex Sa De Cv</v>
      </c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20"/>
    </row>
    <row r="55" ht="15.75" customHeight="1">
      <c r="A55" s="12"/>
      <c r="B55" s="12"/>
      <c r="C55" s="12"/>
      <c r="D55" s="12"/>
      <c r="E55" s="12"/>
      <c r="F55" s="12" t="str">
        <f>IFERROR(__xludf.DUMMYFUNCTION("""COMPUTED_VALUE"""),"(10) Octubre")</f>
        <v>(10) Octubre</v>
      </c>
      <c r="G55" s="12" t="str">
        <f>IFERROR(__xludf.DUMMYFUNCTION("""COMPUTED_VALUE"""),"OtrosR!$N$3:$N")</f>
        <v>OtrosR!$N$3:$N</v>
      </c>
      <c r="H55" s="12"/>
      <c r="I55" s="12"/>
      <c r="J55" s="12"/>
      <c r="K55" s="12"/>
      <c r="L55" s="12"/>
      <c r="M55" s="12"/>
      <c r="N55" s="12"/>
      <c r="O55" s="12" t="str">
        <f>IFERROR(__xludf.DUMMYFUNCTION("""COMPUTED_VALUE"""),"(063) Marketing Followers Sa De Cv")</f>
        <v>(063) Marketing Followers Sa De Cv</v>
      </c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20"/>
    </row>
    <row r="56" ht="15.75" customHeight="1">
      <c r="A56" s="12"/>
      <c r="B56" s="12"/>
      <c r="C56" s="12"/>
      <c r="D56" s="12"/>
      <c r="E56" s="12"/>
      <c r="F56" s="12" t="str">
        <f>IFERROR(__xludf.DUMMYFUNCTION("""COMPUTED_VALUE"""),"(11) Noviembre")</f>
        <v>(11) Noviembre</v>
      </c>
      <c r="G56" s="12" t="str">
        <f>IFERROR(__xludf.DUMMYFUNCTION("""COMPUTED_VALUE"""),"OtrosR!$O$3:$O")</f>
        <v>OtrosR!$O$3:$O</v>
      </c>
      <c r="H56" s="12"/>
      <c r="I56" s="12"/>
      <c r="J56" s="12"/>
      <c r="K56" s="12"/>
      <c r="L56" s="12"/>
      <c r="M56" s="12"/>
      <c r="N56" s="12"/>
      <c r="O56" s="12" t="str">
        <f>IFERROR(__xludf.DUMMYFUNCTION("""COMPUTED_VALUE"""),"(064) Virginia Isabel Camacho Martin")</f>
        <v>(064) Virginia Isabel Camacho Martin</v>
      </c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20"/>
    </row>
    <row r="57" ht="15.75" customHeight="1">
      <c r="A57" s="12"/>
      <c r="B57" s="12"/>
      <c r="C57" s="12"/>
      <c r="D57" s="12"/>
      <c r="E57" s="12"/>
      <c r="F57" s="12" t="str">
        <f>IFERROR(__xludf.DUMMYFUNCTION("""COMPUTED_VALUE"""),"(12) Diciembre")</f>
        <v>(12) Diciembre</v>
      </c>
      <c r="G57" s="12" t="str">
        <f>IFERROR(__xludf.DUMMYFUNCTION("""COMPUTED_VALUE"""),"OtrosR!$P$3:$P")</f>
        <v>OtrosR!$P$3:$P</v>
      </c>
      <c r="H57" s="12"/>
      <c r="I57" s="12"/>
      <c r="J57" s="12"/>
      <c r="K57" s="12"/>
      <c r="L57" s="12"/>
      <c r="M57" s="12"/>
      <c r="N57" s="12"/>
      <c r="O57" s="12" t="str">
        <f>IFERROR(__xludf.DUMMYFUNCTION("""COMPUTED_VALUE"""),"(065) Mb Certification Mexico Sc")</f>
        <v>(065) Mb Certification Mexico Sc</v>
      </c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20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 t="str">
        <f>IFERROR(__xludf.DUMMYFUNCTION("""COMPUTED_VALUE"""),"(066) Comunicacion Global Monytor Sa")</f>
        <v>(066) Comunicacion Global Monytor Sa</v>
      </c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20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 t="str">
        <f>IFERROR(__xludf.DUMMYFUNCTION("""COMPUTED_VALUE"""),"(067) Sistemas Informacion Satelital")</f>
        <v>(067) Sistemas Informacion Satelital</v>
      </c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20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 t="str">
        <f>IFERROR(__xludf.DUMMYFUNCTION("""COMPUTED_VALUE"""),"(068) Horacio Garcia Barron")</f>
        <v>(068) Horacio Garcia Barron</v>
      </c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20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 t="str">
        <f>IFERROR(__xludf.DUMMYFUNCTION("""COMPUTED_VALUE"""),"(069) Nodo Final Sa De Cv")</f>
        <v>(069) Nodo Final Sa De Cv</v>
      </c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20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 t="str">
        <f>IFERROR(__xludf.DUMMYFUNCTION("""COMPUTED_VALUE"""),"(070) Tesoreria De La Federacion")</f>
        <v>(070) Tesoreria De La Federacion</v>
      </c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20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 t="str">
        <f>IFERROR(__xludf.DUMMYFUNCTION("""COMPUTED_VALUE"""),"(071) Secretaria De Finanzas Del Gob")</f>
        <v>(071) Secretaria De Finanzas Del Gob</v>
      </c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20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 t="str">
        <f>IFERROR(__xludf.DUMMYFUNCTION("""COMPUTED_VALUE"""),"(072) Antelmo Zavala Vigueras")</f>
        <v>(072) Antelmo Zavala Vigueras</v>
      </c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20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 t="str">
        <f>IFERROR(__xludf.DUMMYFUNCTION("""COMPUTED_VALUE"""),"(073) Sofimex, Institucion De Garant")</f>
        <v>(073) Sofimex, Institucion De Garant</v>
      </c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20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 t="str">
        <f>IFERROR(__xludf.DUMMYFUNCTION("""COMPUTED_VALUE"""),"(074) Maria Teresa Alvarado Gonzalez")</f>
        <v>(074) Maria Teresa Alvarado Gonzalez</v>
      </c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20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 t="str">
        <f>IFERROR(__xludf.DUMMYFUNCTION("""COMPUTED_VALUE"""),"(075) Comercializadora Ypsilon Sa De")</f>
        <v>(075) Comercializadora Ypsilon Sa De</v>
      </c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20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 t="str">
        <f>IFERROR(__xludf.DUMMYFUNCTION("""COMPUTED_VALUE"""),"(076) Gpr Comunicaciones Sa De Cv")</f>
        <v>(076) Gpr Comunicaciones Sa De Cv</v>
      </c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20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 t="str">
        <f>IFERROR(__xludf.DUMMYFUNCTION("""COMPUTED_VALUE"""),"(077) Tania Rubi Monroy Camacho")</f>
        <v>(077) Tania Rubi Monroy Camacho</v>
      </c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20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 t="str">
        <f>IFERROR(__xludf.DUMMYFUNCTION("""COMPUTED_VALUE"""),"(078) Roanda Comercial Inc Sa De Cv")</f>
        <v>(078) Roanda Comercial Inc Sa De Cv</v>
      </c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20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 t="str">
        <f>IFERROR(__xludf.DUMMYFUNCTION("""COMPUTED_VALUE"""),"(079) Grupo Nacional Provincial Sab")</f>
        <v>(079) Grupo Nacional Provincial Sab</v>
      </c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20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 t="str">
        <f>IFERROR(__xludf.DUMMYFUNCTION("""COMPUTED_VALUE"""),"(080) Real Power Systems Mexico")</f>
        <v>(080) Real Power Systems Mexico</v>
      </c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20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 t="str">
        <f>IFERROR(__xludf.DUMMYFUNCTION("""COMPUTED_VALUE"""),"(081) Solis Camara Y Compañia Sc")</f>
        <v>(081) Solis Camara Y Compañia Sc</v>
      </c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20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 t="str">
        <f>IFERROR(__xludf.DUMMYFUNCTION("""COMPUTED_VALUE"""),"(082) Carlos Valdes Garcia")</f>
        <v>(082) Carlos Valdes Garcia</v>
      </c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20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 t="str">
        <f>IFERROR(__xludf.DUMMYFUNCTION("""COMPUTED_VALUE"""),"(083) Formato Ergon Sa De Cv")</f>
        <v>(083) Formato Ergon Sa De Cv</v>
      </c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20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 t="str">
        <f>IFERROR(__xludf.DUMMYFUNCTION("""COMPUTED_VALUE"""),"(084) Natera Consultores Sc")</f>
        <v>(084) Natera Consultores Sc</v>
      </c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20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 t="str">
        <f>IFERROR(__xludf.DUMMYFUNCTION("""COMPUTED_VALUE"""),"(085) Raul Rojas Lugo")</f>
        <v>(085) Raul Rojas Lugo</v>
      </c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20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 t="str">
        <f>IFERROR(__xludf.DUMMYFUNCTION("""COMPUTED_VALUE"""),"(086) Comercializadora Guibor Sa De")</f>
        <v>(086) Comercializadora Guibor Sa De</v>
      </c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20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 t="str">
        <f>IFERROR(__xludf.DUMMYFUNCTION("""COMPUTED_VALUE"""),"(087) 360 Sistemas Y Comunicaciones")</f>
        <v>(087) 360 Sistemas Y Comunicaciones</v>
      </c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20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 t="str">
        <f>IFERROR(__xludf.DUMMYFUNCTION("""COMPUTED_VALUE"""),"(088) Miguel Angel Olguin Ortega")</f>
        <v>(088) Miguel Angel Olguin Ortega</v>
      </c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20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 t="str">
        <f>IFERROR(__xludf.DUMMYFUNCTION("""COMPUTED_VALUE"""),"(089) Gleeson Ruiz Sc")</f>
        <v>(089) Gleeson Ruiz Sc</v>
      </c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20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 t="str">
        <f>IFERROR(__xludf.DUMMYFUNCTION("""COMPUTED_VALUE"""),"(090) Francisco De La Barrera Espino")</f>
        <v>(090) Francisco De La Barrera Espino</v>
      </c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20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 t="str">
        <f>IFERROR(__xludf.DUMMYFUNCTION("""COMPUTED_VALUE"""),"(091) Aaron Hamui Heifetz")</f>
        <v>(091) Aaron Hamui Heifetz</v>
      </c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20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 t="str">
        <f>IFERROR(__xludf.DUMMYFUNCTION("""COMPUTED_VALUE"""),"(092) Hugo Enrique Sanchez Segura")</f>
        <v>(092) Hugo Enrique Sanchez Segura</v>
      </c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20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 t="str">
        <f>IFERROR(__xludf.DUMMYFUNCTION("""COMPUTED_VALUE"""),"(093) Servillantas Siete Leguas Sa D")</f>
        <v>(093) Servillantas Siete Leguas Sa D</v>
      </c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20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 t="str">
        <f>IFERROR(__xludf.DUMMYFUNCTION("""COMPUTED_VALUE"""),"(094) Imakeba Capital Intelectual Sc")</f>
        <v>(094) Imakeba Capital Intelectual Sc</v>
      </c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20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 t="str">
        <f>IFERROR(__xludf.DUMMYFUNCTION("""COMPUTED_VALUE"""),"(095) Jose Manuel Campos Monroy")</f>
        <v>(095) Jose Manuel Campos Monroy</v>
      </c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20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 t="str">
        <f>IFERROR(__xludf.DUMMYFUNCTION("""COMPUTED_VALUE"""),"(096) Rafael Sanchez Guzman")</f>
        <v>(096) Rafael Sanchez Guzman</v>
      </c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20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 t="str">
        <f>IFERROR(__xludf.DUMMYFUNCTION("""COMPUTED_VALUE"""),"(097) Sobre Todo Soluciones Y Result")</f>
        <v>(097) Sobre Todo Soluciones Y Result</v>
      </c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20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 t="str">
        <f>IFERROR(__xludf.DUMMYFUNCTION("""COMPUTED_VALUE"""),"(098) Efren Armando Rodriguez Gonzal")</f>
        <v>(098) Efren Armando Rodriguez Gonzal</v>
      </c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20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 t="str">
        <f>IFERROR(__xludf.DUMMYFUNCTION("""COMPUTED_VALUE"""),"(099) Chrisalim Abastecedora De Prod")</f>
        <v>(099) Chrisalim Abastecedora De Prod</v>
      </c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20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 t="str">
        <f>IFERROR(__xludf.DUMMYFUNCTION("""COMPUTED_VALUE"""),"(100) Tarjeta De Credito")</f>
        <v>(100) Tarjeta De Credito</v>
      </c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20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 t="str">
        <f>IFERROR(__xludf.DUMMYFUNCTION("""COMPUTED_VALUE"""),"(101) Cuidado Con El Editor Sa De Cv")</f>
        <v>(101) Cuidado Con El Editor Sa De Cv</v>
      </c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20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 t="str">
        <f>IFERROR(__xludf.DUMMYFUNCTION("""COMPUTED_VALUE"""),"(102) Luis Armando Guerena Barrera")</f>
        <v>(102) Luis Armando Guerena Barrera</v>
      </c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20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 t="str">
        <f>IFERROR(__xludf.DUMMYFUNCTION("""COMPUTED_VALUE"""),"(103) Hugo Casasanero Orduña")</f>
        <v>(103) Hugo Casasanero Orduña</v>
      </c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20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 t="str">
        <f>IFERROR(__xludf.DUMMYFUNCTION("""COMPUTED_VALUE"""),"(104) Radio Xefr S De Rl De Cv")</f>
        <v>(104) Radio Xefr S De Rl De Cv</v>
      </c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20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 t="str">
        <f>IFERROR(__xludf.DUMMYFUNCTION("""COMPUTED_VALUE"""),"(105) Radio Frecuencia Modulada S De")</f>
        <v>(105) Radio Frecuencia Modulada S De</v>
      </c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20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 t="str">
        <f>IFERROR(__xludf.DUMMYFUNCTION("""COMPUTED_VALUE"""),"(106) Radio Xhsh S De Rl De Cv")</f>
        <v>(106) Radio Xhsh S De Rl De Cv</v>
      </c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20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 t="str">
        <f>IFERROR(__xludf.DUMMYFUNCTION("""COMPUTED_VALUE"""),"(107) Radio 888 S De Rl De Cv")</f>
        <v>(107) Radio 888 S De Rl De Cv</v>
      </c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20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 t="str">
        <f>IFERROR(__xludf.DUMMYFUNCTION("""COMPUTED_VALUE"""),"(108) Griselda Marlen Escobedo Sanch")</f>
        <v>(108) Griselda Marlen Escobedo Sanch</v>
      </c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20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 t="str">
        <f>IFERROR(__xludf.DUMMYFUNCTION("""COMPUTED_VALUE"""),"(109) Formula Melodica S De Rl De Cv")</f>
        <v>(109) Formula Melodica S De Rl De Cv</v>
      </c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20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 t="str">
        <f>IFERROR(__xludf.DUMMYFUNCTION("""COMPUTED_VALUE"""),"(110) Roberto Felix Berumen")</f>
        <v>(110) Roberto Felix Berumen</v>
      </c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20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 t="str">
        <f>IFERROR(__xludf.DUMMYFUNCTION("""COMPUTED_VALUE"""),"(111) Chubb Seguros Mexico Sa")</f>
        <v>(111) Chubb Seguros Mexico Sa</v>
      </c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20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 t="str">
        <f>IFERROR(__xludf.DUMMYFUNCTION("""COMPUTED_VALUE"""),"(112) Aline Gadeh Liniado")</f>
        <v>(112) Aline Gadeh Liniado</v>
      </c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20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 t="str">
        <f>IFERROR(__xludf.DUMMYFUNCTION("""COMPUTED_VALUE"""),"(113) Etiquetas Rams")</f>
        <v>(113) Etiquetas Rams</v>
      </c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20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 t="str">
        <f>IFERROR(__xludf.DUMMYFUNCTION("""COMPUTED_VALUE"""),"(114) Hitch Technology Sa De Cv")</f>
        <v>(114) Hitch Technology Sa De Cv</v>
      </c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20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 t="str">
        <f>IFERROR(__xludf.DUMMYFUNCTION("""COMPUTED_VALUE"""),"(115) Secretaria De Finanzas Y Admin")</f>
        <v>(115) Secretaria De Finanzas Y Admin</v>
      </c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20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 t="str">
        <f>IFERROR(__xludf.DUMMYFUNCTION("""COMPUTED_VALUE"""),"(116) Elite Network Lobbying")</f>
        <v>(116) Elite Network Lobbying</v>
      </c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20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 t="str">
        <f>IFERROR(__xludf.DUMMYFUNCTION("""COMPUTED_VALUE"""),"(117) Ac-Fin Sapi De Cv")</f>
        <v>(117) Ac-Fin Sapi De Cv</v>
      </c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20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 t="str">
        <f>IFERROR(__xludf.DUMMYFUNCTION("""COMPUTED_VALUE"""),"(118) Carlos Tovar Rodriguez")</f>
        <v>(118) Carlos Tovar Rodriguez</v>
      </c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20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 t="str">
        <f>IFERROR(__xludf.DUMMYFUNCTION("""COMPUTED_VALUE"""),"(119) Samuel Cruz Perez")</f>
        <v>(119) Samuel Cruz Perez</v>
      </c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20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 t="str">
        <f>IFERROR(__xludf.DUMMYFUNCTION("""COMPUTED_VALUE"""),"(120) Tesoreria De La Ciudad De Mexi")</f>
        <v>(120) Tesoreria De La Ciudad De Mexi</v>
      </c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20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 t="str">
        <f>IFERROR(__xludf.DUMMYFUNCTION("""COMPUTED_VALUE"""),"(121) Loyalty Corp Ms Sapi De Cv")</f>
        <v>(121) Loyalty Corp Ms Sapi De Cv</v>
      </c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20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 t="str">
        <f>IFERROR(__xludf.DUMMYFUNCTION("""COMPUTED_VALUE"""),"(122) Juan Pablo Sandez Lizardi")</f>
        <v>(122) Juan Pablo Sandez Lizardi</v>
      </c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20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 t="str">
        <f>IFERROR(__xludf.DUMMYFUNCTION("""COMPUTED_VALUE"""),"(123) Jesus Javier Vazquez Alvarado")</f>
        <v>(123) Jesus Javier Vazquez Alvarado</v>
      </c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20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 t="str">
        <f>IFERROR(__xludf.DUMMYFUNCTION("""COMPUTED_VALUE"""),"(124) Allan De Jesus Romero Celis")</f>
        <v>(124) Allan De Jesus Romero Celis</v>
      </c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20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 t="str">
        <f>IFERROR(__xludf.DUMMYFUNCTION("""COMPUTED_VALUE"""),"(125) Condominio Plaza Polanco Ac")</f>
        <v>(125) Condominio Plaza Polanco Ac</v>
      </c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20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 t="str">
        <f>IFERROR(__xludf.DUMMYFUNCTION("""COMPUTED_VALUE"""),"(126) Ll-C Certification Mexico")</f>
        <v>(126) Ll-C Certification Mexico</v>
      </c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20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 t="str">
        <f>IFERROR(__xludf.DUMMYFUNCTION("""COMPUTED_VALUE"""),"(127) Alejandra Carlos Gudiño")</f>
        <v>(127) Alejandra Carlos Gudiño</v>
      </c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20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20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20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20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20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20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20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20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20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20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20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20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20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20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20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20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20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20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20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20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20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20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20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20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20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20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20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20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20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20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20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20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20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20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20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20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20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20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20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20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20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20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20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20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20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20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20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20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20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20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20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20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20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20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20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20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20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20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20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20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20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20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20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20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20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20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20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20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20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20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20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20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20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20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20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20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20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20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20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20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20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20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20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20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20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20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20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20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20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20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20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20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20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20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20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20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20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20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20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20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20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20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20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20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20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20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20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20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20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20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20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20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20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20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20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20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20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20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20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20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20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20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20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20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20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20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20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20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20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20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20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20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20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20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20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20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20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20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20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20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20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20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20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20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20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20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20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20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20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20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20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20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20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20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20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20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20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20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20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20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20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20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20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20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20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20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20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20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20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20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20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20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20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20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20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20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20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20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20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20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20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20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20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20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20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20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20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20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20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20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20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20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20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20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20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20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20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20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20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20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20.63"/>
    <col customWidth="1" min="3" max="6" width="12.63"/>
  </cols>
  <sheetData>
    <row r="1" ht="15.75" customHeight="1">
      <c r="A1" s="7" t="s">
        <v>19</v>
      </c>
    </row>
    <row r="2" ht="15.75" customHeight="1">
      <c r="A2" s="12" t="str">
        <f>IFERROR(__xludf.DUMMYFUNCTION("query(Menus!B2:B100)"),"Nomina operativa")</f>
        <v>Nomina operativa</v>
      </c>
    </row>
    <row r="3" ht="15.75" customHeight="1">
      <c r="A3" s="12" t="str">
        <f>IFERROR(__xludf.DUMMYFUNCTION("""COMPUTED_VALUE"""),"Nomina gerencial")</f>
        <v>Nomina gerencial</v>
      </c>
    </row>
    <row r="4" ht="15.75" customHeight="1">
      <c r="A4" s="12" t="str">
        <f>IFERROR(__xludf.DUMMYFUNCTION("""COMPUTED_VALUE"""),"Asesoría contable")</f>
        <v>Asesoría contable</v>
      </c>
    </row>
    <row r="5" ht="15.75" customHeight="1">
      <c r="A5" s="12" t="str">
        <f>IFERROR(__xludf.DUMMYFUNCTION("""COMPUTED_VALUE"""),"Renta fija")</f>
        <v>Renta fija</v>
      </c>
    </row>
    <row r="6" ht="15.75" customHeight="1">
      <c r="A6" s="12" t="str">
        <f>IFERROR(__xludf.DUMMYFUNCTION("""COMPUTED_VALUE"""),"Renta variable")</f>
        <v>Renta variable</v>
      </c>
    </row>
    <row r="7" ht="15.75" customHeight="1">
      <c r="A7" s="12" t="str">
        <f>IFERROR(__xludf.DUMMYFUNCTION("""COMPUTED_VALUE"""),"Mantenimiento plaza")</f>
        <v>Mantenimiento plaza</v>
      </c>
    </row>
    <row r="8" ht="15.75" customHeight="1">
      <c r="A8" s="12" t="str">
        <f>IFERROR(__xludf.DUMMYFUNCTION("""COMPUTED_VALUE"""),"Luz")</f>
        <v>Luz</v>
      </c>
    </row>
    <row r="9" ht="15.75" customHeight="1">
      <c r="A9" s="12" t="str">
        <f>IFERROR(__xludf.DUMMYFUNCTION("""COMPUTED_VALUE"""),"Teléfono")</f>
        <v>Teléfono</v>
      </c>
    </row>
    <row r="10" ht="15.75" customHeight="1">
      <c r="A10" s="12" t="str">
        <f>IFERROR(__xludf.DUMMYFUNCTION("""COMPUTED_VALUE"""),"Seguridad")</f>
        <v>Seguridad</v>
      </c>
    </row>
    <row r="11" ht="15.75" customHeight="1">
      <c r="A11" s="12" t="str">
        <f>IFERROR(__xludf.DUMMYFUNCTION("""COMPUTED_VALUE"""),"Seguros y fianzas")</f>
        <v>Seguros y fianzas</v>
      </c>
    </row>
    <row r="12" ht="15.75" customHeight="1">
      <c r="A12" s="12" t="str">
        <f>IFERROR(__xludf.DUMMYFUNCTION("""COMPUTED_VALUE"""),"Boletos")</f>
        <v>Boletos</v>
      </c>
    </row>
    <row r="13" ht="15.75" customHeight="1">
      <c r="A13" s="12" t="str">
        <f>IFERROR(__xludf.DUMMYFUNCTION("""COMPUTED_VALUE"""),"Etiquetas")</f>
        <v>Etiquetas</v>
      </c>
    </row>
    <row r="14" ht="15.75" customHeight="1">
      <c r="A14" s="12" t="str">
        <f>IFERROR(__xludf.DUMMYFUNCTION("""COMPUTED_VALUE"""),"Uniformes")</f>
        <v>Uniformes</v>
      </c>
    </row>
    <row r="15" ht="15.75" customHeight="1">
      <c r="A15" s="12" t="str">
        <f>IFERROR(__xludf.DUMMYFUNCTION("""COMPUTED_VALUE"""),"Impresiones")</f>
        <v>Impresiones</v>
      </c>
    </row>
    <row r="16" ht="15.75" customHeight="1">
      <c r="A16" s="12" t="str">
        <f>IFERROR(__xludf.DUMMYFUNCTION("""COMPUTED_VALUE"""),"Equipo de estacionamiento")</f>
        <v>Equipo de estacionamiento</v>
      </c>
    </row>
    <row r="17" ht="15.75" customHeight="1">
      <c r="A17" s="12" t="str">
        <f>IFERROR(__xludf.DUMMYFUNCTION("""COMPUTED_VALUE"""),"Mantenimiento equipo de estacionamiento")</f>
        <v>Mantenimiento equipo de estacionamiento</v>
      </c>
    </row>
    <row r="18" ht="15.75" customHeight="1">
      <c r="A18" s="12" t="str">
        <f>IFERROR(__xludf.DUMMYFUNCTION("""COMPUTED_VALUE"""),"Señalizaciones")</f>
        <v>Señalizaciones</v>
      </c>
    </row>
    <row r="19" ht="15.75" customHeight="1">
      <c r="A19" s="12" t="str">
        <f>IFERROR(__xludf.DUMMYFUNCTION("""COMPUTED_VALUE"""),"Licencias")</f>
        <v>Licencias</v>
      </c>
    </row>
    <row r="20" ht="15.75" customHeight="1">
      <c r="A20" s="12" t="str">
        <f>IFERROR(__xludf.DUMMYFUNCTION("""COMPUTED_VALUE"""),"Mantenimiento equipo de oficina")</f>
        <v>Mantenimiento equipo de oficina</v>
      </c>
    </row>
    <row r="21" ht="15.75" customHeight="1">
      <c r="A21" s="12" t="str">
        <f>IFERROR(__xludf.DUMMYFUNCTION("""COMPUTED_VALUE"""),"Papelería y artículos de oficina")</f>
        <v>Papelería y artículos de oficina</v>
      </c>
    </row>
    <row r="22" ht="15.75" customHeight="1">
      <c r="A22" s="12" t="str">
        <f>IFERROR(__xludf.DUMMYFUNCTION("""COMPUTED_VALUE"""),"Articulos de limpieza")</f>
        <v>Articulos de limpieza</v>
      </c>
    </row>
    <row r="23" ht="15.75" customHeight="1">
      <c r="A23" s="12" t="str">
        <f>IFERROR(__xludf.DUMMYFUNCTION("""COMPUTED_VALUE"""),"Incidentes")</f>
        <v>Incidentes</v>
      </c>
    </row>
    <row r="24" ht="15.75" customHeight="1">
      <c r="A24" s="12" t="str">
        <f>IFERROR(__xludf.DUMMYFUNCTION("""COMPUTED_VALUE"""),"Anuncios periodicos")</f>
        <v>Anuncios periodicos</v>
      </c>
    </row>
    <row r="25" ht="15.75" customHeight="1">
      <c r="A25" s="12" t="str">
        <f>IFERROR(__xludf.DUMMYFUNCTION("""COMPUTED_VALUE"""),"Viaticos")</f>
        <v>Viaticos</v>
      </c>
    </row>
    <row r="26" ht="15.75" customHeight="1">
      <c r="A26" s="12" t="str">
        <f>IFERROR(__xludf.DUMMYFUNCTION("""COMPUTED_VALUE"""),"Avion")</f>
        <v>Avion</v>
      </c>
    </row>
    <row r="27" ht="15.75" customHeight="1">
      <c r="A27" s="12" t="str">
        <f>IFERROR(__xludf.DUMMYFUNCTION("""COMPUTED_VALUE"""),"Hospedaje")</f>
        <v>Hospedaje</v>
      </c>
    </row>
    <row r="28" ht="15.75" customHeight="1">
      <c r="A28" s="12" t="str">
        <f>IFERROR(__xludf.DUMMYFUNCTION("""COMPUTED_VALUE"""),"Taxis")</f>
        <v>Taxis</v>
      </c>
    </row>
    <row r="29" ht="15.75" customHeight="1">
      <c r="A29" s="12" t="str">
        <f>IFERROR(__xludf.DUMMYFUNCTION("""COMPUTED_VALUE"""),"Alimentos")</f>
        <v>Alimentos</v>
      </c>
    </row>
    <row r="30" ht="15.75" customHeight="1">
      <c r="A30" s="12" t="str">
        <f>IFERROR(__xludf.DUMMYFUNCTION("""COMPUTED_VALUE"""),"Mensajería y paquetería")</f>
        <v>Mensajería y paquetería</v>
      </c>
    </row>
    <row r="31" ht="15.75" customHeight="1">
      <c r="A31" s="12" t="str">
        <f>IFERROR(__xludf.DUMMYFUNCTION("""COMPUTED_VALUE"""),"Suministors de oficina")</f>
        <v>Suministors de oficina</v>
      </c>
    </row>
    <row r="32" ht="15.75" customHeight="1">
      <c r="A32" s="12" t="str">
        <f>IFERROR(__xludf.DUMMYFUNCTION("""COMPUTED_VALUE"""),"Equipo de oficina")</f>
        <v>Equipo de oficina</v>
      </c>
    </row>
    <row r="33" ht="15.75" customHeight="1">
      <c r="A33" s="12" t="str">
        <f>IFERROR(__xludf.DUMMYFUNCTION("""COMPUTED_VALUE"""),"Depreciación y amortización")</f>
        <v>Depreciación y amortización</v>
      </c>
    </row>
    <row r="34" ht="15.75" customHeight="1">
      <c r="A34" s="12" t="str">
        <f>IFERROR(__xludf.DUMMYFUNCTION("""COMPUTED_VALUE"""),"Reparacion equipo de estacionamiento")</f>
        <v>Reparacion equipo de estacionamiento</v>
      </c>
    </row>
    <row r="35" ht="15.75" customHeight="1">
      <c r="A35" s="12" t="str">
        <f>IFERROR(__xludf.DUMMYFUNCTION("""COMPUTED_VALUE"""),"Comisiones bancarias")</f>
        <v>Comisiones bancarias</v>
      </c>
    </row>
    <row r="36" ht="15.75" customHeight="1">
      <c r="A36" s="12" t="str">
        <f>IFERROR(__xludf.DUMMYFUNCTION("""COMPUTED_VALUE"""),"Renta sanitario")</f>
        <v>Renta sanitario</v>
      </c>
    </row>
    <row r="37" ht="15.75" customHeight="1">
      <c r="A37" s="12" t="str">
        <f>IFERROR(__xludf.DUMMYFUNCTION("""COMPUTED_VALUE"""),"Honorarios Legal")</f>
        <v>Honorarios Legal</v>
      </c>
    </row>
    <row r="38" ht="15.75" customHeight="1">
      <c r="A38" s="12" t="str">
        <f>IFERROR(__xludf.DUMMYFUNCTION("""COMPUTED_VALUE"""),"Gasolina")</f>
        <v>Gasolina</v>
      </c>
    </row>
    <row r="39" ht="15.75" customHeight="1">
      <c r="A39" s="12" t="str">
        <f>IFERROR(__xludf.DUMMYFUNCTION("""COMPUTED_VALUE"""),"Publicidad")</f>
        <v>Publicidad</v>
      </c>
    </row>
    <row r="40" ht="15.75" customHeight="1">
      <c r="A40" s="12" t="str">
        <f>IFERROR(__xludf.DUMMYFUNCTION("""COMPUTED_VALUE"""),"Cuotas IMSS")</f>
        <v>Cuotas IMSS</v>
      </c>
    </row>
    <row r="41" ht="15.75" customHeight="1">
      <c r="A41" s="12" t="str">
        <f>IFERROR(__xludf.DUMMYFUNCTION("""COMPUTED_VALUE"""),"Cuotas INFONAVIT")</f>
        <v>Cuotas INFONAVIT</v>
      </c>
    </row>
    <row r="42" ht="15.75" customHeight="1">
      <c r="A42" s="12" t="str">
        <f>IFERROR(__xludf.DUMMYFUNCTION("""COMPUTED_VALUE"""),"Cuotas AFORE")</f>
        <v>Cuotas AFORE</v>
      </c>
    </row>
    <row r="43" ht="15.75" customHeight="1">
      <c r="A43" s="12" t="str">
        <f>IFERROR(__xludf.DUMMYFUNCTION("""COMPUTED_VALUE"""),"Impuesto sobre nóminas")</f>
        <v>Impuesto sobre nóminas</v>
      </c>
    </row>
    <row r="44" ht="15.75" customHeight="1">
      <c r="A44" s="12" t="str">
        <f>IFERROR(__xludf.DUMMYFUNCTION("""COMPUTED_VALUE"""),"Compensaciones Efe Int")</f>
        <v>Compensaciones Efe Int</v>
      </c>
    </row>
    <row r="45" ht="15.75" hidden="1" customHeight="1">
      <c r="A45" s="12" t="str">
        <f>IFERROR(__xludf.DUMMYFUNCTION("""COMPUTED_VALUE"""),"Varios")</f>
        <v>Varios</v>
      </c>
    </row>
    <row r="46" ht="15.75" hidden="1" customHeight="1">
      <c r="A46" s="12" t="str">
        <f>IFERROR(__xludf.DUMMYFUNCTION("""COMPUTED_VALUE"""),"No deducibles")</f>
        <v>No deducibles</v>
      </c>
    </row>
    <row r="47" ht="15.75" hidden="1" customHeight="1">
      <c r="A47" s="12"/>
    </row>
    <row r="48" ht="15.75" hidden="1" customHeight="1">
      <c r="A48" s="12"/>
    </row>
    <row r="49" ht="15.75" hidden="1" customHeight="1">
      <c r="A49" s="12"/>
    </row>
    <row r="50" ht="15.75" hidden="1" customHeight="1">
      <c r="A50" s="12"/>
    </row>
    <row r="51" ht="15.75" hidden="1" customHeight="1">
      <c r="A51" s="12"/>
    </row>
    <row r="52" ht="15.75" hidden="1" customHeight="1">
      <c r="A52" s="12"/>
    </row>
    <row r="53" ht="15.75" hidden="1" customHeight="1">
      <c r="A53" s="12"/>
    </row>
    <row r="54" ht="15.75" hidden="1" customHeight="1">
      <c r="A54" s="12"/>
    </row>
    <row r="55" ht="15.75" hidden="1" customHeight="1">
      <c r="A55" s="12"/>
    </row>
    <row r="56" ht="15.75" hidden="1" customHeight="1">
      <c r="A56" s="12"/>
    </row>
    <row r="57" ht="15.75" hidden="1" customHeight="1">
      <c r="A57" s="12"/>
    </row>
    <row r="58" ht="15.75" hidden="1" customHeight="1">
      <c r="A58" s="12"/>
    </row>
    <row r="59" ht="15.75" hidden="1" customHeight="1">
      <c r="A59" s="12"/>
    </row>
    <row r="60" ht="15.75" hidden="1" customHeight="1">
      <c r="A60" s="12"/>
    </row>
    <row r="61" ht="15.75" hidden="1" customHeight="1">
      <c r="A61" s="12"/>
    </row>
    <row r="62" ht="15.75" hidden="1" customHeight="1">
      <c r="A62" s="12"/>
    </row>
    <row r="63" ht="15.75" hidden="1" customHeight="1">
      <c r="A63" s="12"/>
    </row>
    <row r="64" ht="15.75" hidden="1" customHeight="1">
      <c r="A64" s="12"/>
    </row>
    <row r="65" ht="15.75" hidden="1" customHeight="1">
      <c r="A65" s="12"/>
    </row>
    <row r="66" ht="15.75" hidden="1" customHeight="1">
      <c r="A66" s="12"/>
    </row>
    <row r="67" ht="15.75" hidden="1" customHeight="1">
      <c r="A67" s="12"/>
    </row>
    <row r="68" ht="15.75" hidden="1" customHeight="1">
      <c r="A68" s="12"/>
    </row>
    <row r="69" ht="15.75" hidden="1" customHeight="1">
      <c r="A69" s="12"/>
    </row>
    <row r="70" ht="15.75" hidden="1" customHeight="1">
      <c r="A70" s="12"/>
    </row>
    <row r="71" ht="15.75" hidden="1" customHeight="1">
      <c r="A71" s="12"/>
    </row>
    <row r="72" ht="15.75" hidden="1" customHeight="1">
      <c r="A72" s="12"/>
    </row>
    <row r="73" ht="15.75" hidden="1" customHeight="1">
      <c r="A73" s="12"/>
    </row>
    <row r="74" ht="15.75" hidden="1" customHeight="1">
      <c r="A74" s="12"/>
    </row>
    <row r="75" ht="15.75" hidden="1" customHeight="1">
      <c r="A75" s="12"/>
    </row>
    <row r="76" ht="15.75" hidden="1" customHeight="1">
      <c r="A76" s="12"/>
    </row>
    <row r="77" ht="15.75" hidden="1" customHeight="1">
      <c r="A77" s="12"/>
    </row>
    <row r="78" ht="15.75" hidden="1" customHeight="1">
      <c r="A78" s="12"/>
    </row>
    <row r="79" ht="15.75" hidden="1" customHeight="1">
      <c r="A79" s="12"/>
    </row>
    <row r="80" ht="15.75" hidden="1" customHeight="1">
      <c r="A80" s="12"/>
    </row>
    <row r="81" ht="15.75" hidden="1" customHeight="1">
      <c r="A81" s="12"/>
    </row>
    <row r="82" ht="15.75" hidden="1" customHeight="1">
      <c r="A82" s="12"/>
    </row>
    <row r="83" ht="15.75" hidden="1" customHeight="1">
      <c r="A83" s="12"/>
    </row>
    <row r="84" ht="15.75" hidden="1" customHeight="1">
      <c r="A84" s="12"/>
    </row>
    <row r="85" ht="15.75" hidden="1" customHeight="1">
      <c r="A85" s="12"/>
    </row>
    <row r="86" ht="15.75" hidden="1" customHeight="1">
      <c r="A86" s="12"/>
    </row>
    <row r="87" ht="15.75" hidden="1" customHeight="1">
      <c r="A87" s="12"/>
    </row>
    <row r="88" ht="15.75" hidden="1" customHeight="1">
      <c r="A88" s="12"/>
    </row>
    <row r="89" ht="15.75" hidden="1" customHeight="1">
      <c r="A89" s="12"/>
    </row>
    <row r="90" ht="15.75" hidden="1" customHeight="1">
      <c r="A90" s="12"/>
    </row>
    <row r="91" ht="15.75" hidden="1" customHeight="1">
      <c r="A91" s="12"/>
    </row>
    <row r="92" ht="15.75" hidden="1" customHeight="1">
      <c r="A92" s="12"/>
    </row>
    <row r="93" ht="15.75" hidden="1" customHeight="1">
      <c r="A93" s="12"/>
    </row>
    <row r="94" ht="15.75" hidden="1" customHeight="1">
      <c r="A94" s="12"/>
    </row>
    <row r="95" ht="15.75" hidden="1" customHeight="1">
      <c r="A95" s="12"/>
    </row>
    <row r="96" ht="15.75" hidden="1" customHeight="1">
      <c r="A96" s="12"/>
    </row>
    <row r="97" ht="15.75" hidden="1" customHeight="1">
      <c r="A97" s="12"/>
    </row>
    <row r="98" ht="15.75" hidden="1" customHeight="1">
      <c r="A98" s="12"/>
    </row>
    <row r="99" ht="15.75" hidden="1" customHeight="1">
      <c r="A99" s="12"/>
    </row>
    <row r="100" ht="15.75" hidden="1" customHeight="1">
      <c r="A100" s="12"/>
    </row>
    <row r="101" ht="15.75" hidden="1" customHeight="1"/>
    <row r="102" ht="15.75" customHeight="1">
      <c r="A102" s="12" t="str">
        <f>IFERROR(__xludf.DUMMYFUNCTION("query(Menus!R2:R1001)"),"Tarifa horaria")</f>
        <v>Tarifa horaria</v>
      </c>
    </row>
    <row r="103" ht="15.75" customHeight="1">
      <c r="A103" s="12" t="str">
        <f>IFERROR(__xludf.DUMMYFUNCTION("""COMPUTED_VALUE"""),"Pensiones")</f>
        <v>Pensiones</v>
      </c>
    </row>
    <row r="104" ht="15.75" customHeight="1">
      <c r="A104" s="12" t="str">
        <f>IFERROR(__xludf.DUMMYFUNCTION("""COMPUTED_VALUE"""),"Etiquetas")</f>
        <v>Etiquetas</v>
      </c>
    </row>
    <row r="105" ht="15.75" customHeight="1">
      <c r="A105" s="12" t="str">
        <f>IFERROR(__xludf.DUMMYFUNCTION("""COMPUTED_VALUE"""),"Boletos sellados")</f>
        <v>Boletos sellados</v>
      </c>
    </row>
    <row r="106" ht="15.75" customHeight="1">
      <c r="A106" s="12" t="str">
        <f>IFERROR(__xludf.DUMMYFUNCTION("""COMPUTED_VALUE"""),"Eventos")</f>
        <v>Eventos</v>
      </c>
    </row>
    <row r="107" ht="15.75" customHeight="1">
      <c r="A107" s="12" t="str">
        <f>IFERROR(__xludf.DUMMYFUNCTION("""COMPUTED_VALUE"""),"Activación tarjeta")</f>
        <v>Activación tarjeta</v>
      </c>
    </row>
    <row r="108" ht="15.75" customHeight="1">
      <c r="A108" s="12" t="str">
        <f>IFERROR(__xludf.DUMMYFUNCTION("""COMPUTED_VALUE"""),"Reposición tarjeta")</f>
        <v>Reposición tarjeta</v>
      </c>
    </row>
    <row r="109" ht="15.75" customHeight="1">
      <c r="A109" s="12" t="str">
        <f>IFERROR(__xludf.DUMMYFUNCTION("""COMPUTED_VALUE"""),"Tarifa horaria valet parking")</f>
        <v>Tarifa horaria valet parking</v>
      </c>
    </row>
    <row r="110" ht="15.75" customHeight="1">
      <c r="A110" s="12" t="str">
        <f>IFERROR(__xludf.DUMMYFUNCTION("""COMPUTED_VALUE"""),"Recargos")</f>
        <v>Recargos</v>
      </c>
    </row>
    <row r="111" ht="15.75" customHeight="1">
      <c r="A111" s="12" t="str">
        <f>IFERROR(__xludf.DUMMYFUNCTION("""COMPUTED_VALUE"""),"Igualas")</f>
        <v>Igualas</v>
      </c>
    </row>
    <row r="112" ht="15.75" customHeight="1">
      <c r="A112" s="12" t="str">
        <f>IFERROR(__xludf.DUMMYFUNCTION("""COMPUTED_VALUE"""),"Bicicleta")</f>
        <v>Bicicleta</v>
      </c>
    </row>
    <row r="113" ht="15.75" customHeight="1">
      <c r="A113" s="12" t="str">
        <f>IFERROR(__xludf.DUMMYFUNCTION("""COMPUTED_VALUE"""),"Venta de equipo")</f>
        <v>Venta de equipo</v>
      </c>
    </row>
    <row r="114" ht="15.75" customHeight="1">
      <c r="A114" s="12" t="str">
        <f>IFERROR(__xludf.DUMMYFUNCTION("""COMPUTED_VALUE"""),"Vales magneticos")</f>
        <v>Vales magneticos</v>
      </c>
    </row>
    <row r="115" ht="15.75" customHeight="1">
      <c r="A115" s="12" t="str">
        <f>IFERROR(__xludf.DUMMYFUNCTION("""COMPUTED_VALUE"""),"Facturas canceladas")</f>
        <v>Facturas canceladas</v>
      </c>
    </row>
    <row r="116" ht="15.75" customHeight="1">
      <c r="A116" s="12" t="str">
        <f>IFERROR(__xludf.DUMMYFUNCTION("""COMPUTED_VALUE"""),"Sobrantes")</f>
        <v>Sobrantes</v>
      </c>
    </row>
    <row r="117" ht="15.75" customHeight="1">
      <c r="A117" s="12" t="str">
        <f>IFERROR(__xludf.DUMMYFUNCTION("""COMPUTED_VALUE"""),"Ganancia Cambiaria")</f>
        <v>Ganancia Cambiaria</v>
      </c>
    </row>
    <row r="118" ht="15.75" customHeight="1">
      <c r="A118" s="12" t="str">
        <f>IFERROR(__xludf.DUMMYFUNCTION("""COMPUTED_VALUE"""),"Daño a vehículos")</f>
        <v>Daño a vehículos</v>
      </c>
    </row>
    <row r="119" ht="15.75" customHeight="1">
      <c r="A119" s="12" t="str">
        <f>IFERROR(__xludf.DUMMYFUNCTION("""COMPUTED_VALUE"""),"Telefonia")</f>
        <v>Telefonia</v>
      </c>
    </row>
    <row r="120" ht="15.75" customHeight="1">
      <c r="A120" s="12" t="str">
        <f>IFERROR(__xludf.DUMMYFUNCTION("""COMPUTED_VALUE"""),"Baños")</f>
        <v>Baños</v>
      </c>
    </row>
    <row r="121" ht="15.75" customHeight="1">
      <c r="A121" s="12"/>
    </row>
    <row r="122" ht="15.75" customHeight="1">
      <c r="A122" s="12"/>
    </row>
    <row r="123" ht="15.75" customHeight="1">
      <c r="A123" s="12"/>
    </row>
    <row r="124" ht="15.75" customHeight="1">
      <c r="A124" s="12"/>
    </row>
    <row r="125" ht="15.75" customHeight="1">
      <c r="A125" s="12"/>
    </row>
    <row r="126" ht="15.75" customHeight="1">
      <c r="A126" s="12"/>
    </row>
    <row r="127" ht="15.75" customHeight="1">
      <c r="A127" s="12"/>
    </row>
    <row r="128" ht="15.75" customHeight="1">
      <c r="A128" s="12"/>
    </row>
    <row r="129" ht="15.75" customHeight="1">
      <c r="A129" s="12"/>
    </row>
    <row r="130" ht="15.75" customHeight="1">
      <c r="A130" s="12"/>
    </row>
    <row r="131" ht="15.75" customHeight="1">
      <c r="A131" s="12"/>
    </row>
    <row r="132" ht="15.75" customHeight="1">
      <c r="A132" s="12"/>
    </row>
    <row r="133" ht="15.75" customHeight="1">
      <c r="A133" s="12"/>
    </row>
    <row r="134" ht="15.75" customHeight="1">
      <c r="A134" s="12"/>
    </row>
    <row r="135" ht="15.75" customHeight="1">
      <c r="A135" s="12"/>
    </row>
    <row r="136" ht="15.75" customHeight="1">
      <c r="A136" s="12"/>
    </row>
    <row r="137" ht="15.75" customHeight="1">
      <c r="A137" s="12"/>
    </row>
    <row r="138" ht="15.75" customHeight="1">
      <c r="A138" s="12"/>
    </row>
    <row r="139" ht="15.75" customHeight="1">
      <c r="A139" s="12"/>
    </row>
    <row r="140" ht="15.75" customHeight="1">
      <c r="A140" s="12"/>
    </row>
    <row r="141" ht="15.75" customHeight="1">
      <c r="A141" s="12"/>
    </row>
    <row r="142" ht="15.75" customHeight="1">
      <c r="A142" s="12"/>
    </row>
    <row r="143" ht="15.75" customHeight="1">
      <c r="A143" s="12"/>
    </row>
    <row r="144" ht="15.75" customHeight="1">
      <c r="A144" s="12"/>
    </row>
    <row r="145" ht="15.75" customHeight="1">
      <c r="A145" s="12"/>
    </row>
    <row r="146" ht="15.75" customHeight="1">
      <c r="A146" s="12"/>
    </row>
    <row r="147" ht="15.75" customHeight="1">
      <c r="A147" s="12"/>
    </row>
    <row r="148" ht="15.75" customHeight="1">
      <c r="A148" s="12"/>
    </row>
    <row r="149" ht="15.75" customHeight="1">
      <c r="A149" s="12"/>
    </row>
    <row r="150" ht="15.75" customHeight="1">
      <c r="A150" s="12"/>
    </row>
    <row r="151" ht="15.75" customHeight="1">
      <c r="A151" s="12"/>
    </row>
    <row r="152" ht="15.75" customHeight="1">
      <c r="A152" s="12"/>
    </row>
    <row r="153" ht="15.75" customHeight="1">
      <c r="A153" s="12"/>
    </row>
    <row r="154" ht="15.75" customHeight="1">
      <c r="A154" s="12"/>
    </row>
    <row r="155" ht="15.75" customHeight="1">
      <c r="A155" s="12"/>
    </row>
    <row r="156" ht="15.75" customHeight="1">
      <c r="A156" s="12"/>
    </row>
    <row r="157" ht="15.75" customHeight="1">
      <c r="A157" s="12"/>
    </row>
    <row r="158" ht="15.75" customHeight="1">
      <c r="A158" s="12"/>
    </row>
    <row r="159" ht="15.75" customHeight="1">
      <c r="A159" s="12"/>
    </row>
    <row r="160" ht="15.75" customHeight="1">
      <c r="A160" s="12"/>
    </row>
    <row r="161" ht="15.75" customHeight="1">
      <c r="A161" s="12"/>
    </row>
    <row r="162" ht="15.75" customHeight="1">
      <c r="A162" s="12"/>
    </row>
    <row r="163" ht="15.75" customHeight="1">
      <c r="A163" s="12"/>
    </row>
    <row r="164" ht="15.75" customHeight="1">
      <c r="A164" s="12"/>
    </row>
    <row r="165" ht="15.75" customHeight="1">
      <c r="A165" s="12"/>
    </row>
    <row r="166" ht="15.75" customHeight="1">
      <c r="A166" s="12"/>
    </row>
    <row r="167" ht="15.75" customHeight="1">
      <c r="A167" s="12"/>
    </row>
    <row r="168" ht="15.75" customHeight="1">
      <c r="A168" s="12"/>
    </row>
    <row r="169" ht="15.75" customHeight="1">
      <c r="A169" s="12"/>
    </row>
    <row r="170" ht="15.75" customHeight="1">
      <c r="A170" s="12"/>
    </row>
    <row r="171" ht="15.75" customHeight="1">
      <c r="A171" s="12"/>
    </row>
    <row r="172" ht="15.75" customHeight="1">
      <c r="A172" s="12"/>
    </row>
    <row r="173" ht="15.75" customHeight="1">
      <c r="A173" s="12"/>
    </row>
    <row r="174" ht="15.75" customHeight="1">
      <c r="A174" s="12"/>
    </row>
    <row r="175" ht="15.75" customHeight="1">
      <c r="A175" s="12"/>
    </row>
    <row r="176" ht="15.75" customHeight="1">
      <c r="A176" s="12"/>
    </row>
    <row r="177" ht="15.75" customHeight="1">
      <c r="A177" s="12"/>
    </row>
    <row r="178" ht="15.75" customHeight="1">
      <c r="A178" s="12"/>
    </row>
    <row r="179" ht="15.75" customHeight="1">
      <c r="A179" s="12"/>
    </row>
    <row r="180" ht="15.75" customHeight="1">
      <c r="A180" s="12"/>
    </row>
    <row r="181" ht="15.75" customHeight="1">
      <c r="A181" s="12"/>
    </row>
    <row r="182" ht="15.75" customHeight="1">
      <c r="A182" s="12"/>
    </row>
    <row r="183" ht="15.75" customHeight="1">
      <c r="A183" s="12"/>
    </row>
    <row r="184" ht="15.75" customHeight="1">
      <c r="A184" s="12"/>
    </row>
    <row r="185" ht="15.75" customHeight="1">
      <c r="A185" s="12"/>
    </row>
    <row r="186" ht="15.75" customHeight="1">
      <c r="A186" s="12"/>
    </row>
    <row r="187" ht="15.75" customHeight="1">
      <c r="A187" s="12"/>
    </row>
    <row r="188" ht="15.75" customHeight="1">
      <c r="A188" s="12"/>
    </row>
    <row r="189" ht="15.75" customHeight="1">
      <c r="A189" s="12"/>
    </row>
    <row r="190" ht="15.75" customHeight="1">
      <c r="A190" s="12"/>
    </row>
    <row r="191" ht="15.75" customHeight="1">
      <c r="A191" s="12"/>
    </row>
    <row r="192" ht="15.75" customHeight="1">
      <c r="A192" s="12"/>
    </row>
    <row r="193" ht="15.75" customHeight="1">
      <c r="A193" s="12"/>
    </row>
    <row r="194" ht="15.75" customHeight="1">
      <c r="A194" s="12"/>
    </row>
    <row r="195" ht="15.75" customHeight="1">
      <c r="A195" s="12"/>
    </row>
    <row r="196" ht="15.75" customHeight="1">
      <c r="A196" s="12"/>
    </row>
    <row r="197" ht="15.75" customHeight="1">
      <c r="A197" s="12"/>
    </row>
    <row r="198" ht="15.75" customHeight="1">
      <c r="A198" s="12"/>
    </row>
    <row r="199" ht="15.75" customHeight="1">
      <c r="A199" s="12"/>
    </row>
    <row r="200" ht="15.75" customHeight="1">
      <c r="A200" s="12"/>
    </row>
    <row r="201" ht="15.75" customHeight="1">
      <c r="A201" s="12"/>
    </row>
    <row r="202" ht="15.75" customHeight="1">
      <c r="A202" s="12"/>
    </row>
    <row r="203" ht="15.75" customHeight="1">
      <c r="A203" s="12"/>
    </row>
    <row r="204" ht="15.75" customHeight="1">
      <c r="A204" s="12"/>
    </row>
    <row r="205" ht="15.75" customHeight="1">
      <c r="A205" s="12"/>
    </row>
    <row r="206" ht="15.75" customHeight="1">
      <c r="A206" s="12"/>
    </row>
    <row r="207" ht="15.75" customHeight="1">
      <c r="A207" s="12"/>
    </row>
    <row r="208" ht="15.75" customHeight="1">
      <c r="A208" s="12"/>
    </row>
    <row r="209" ht="15.75" customHeight="1">
      <c r="A209" s="12"/>
    </row>
    <row r="210" ht="15.75" customHeight="1">
      <c r="A210" s="12"/>
    </row>
    <row r="211" ht="15.75" customHeight="1">
      <c r="A211" s="12"/>
    </row>
    <row r="212" ht="15.75" customHeight="1">
      <c r="A212" s="12"/>
    </row>
    <row r="213" ht="15.75" customHeight="1">
      <c r="A213" s="12"/>
    </row>
    <row r="214" ht="15.75" customHeight="1">
      <c r="A214" s="12"/>
    </row>
    <row r="215" ht="15.75" customHeight="1">
      <c r="A215" s="12"/>
    </row>
    <row r="216" ht="15.75" customHeight="1">
      <c r="A216" s="12"/>
    </row>
    <row r="217" ht="15.75" customHeight="1">
      <c r="A217" s="12"/>
    </row>
    <row r="218" ht="15.75" customHeight="1">
      <c r="A218" s="12"/>
    </row>
    <row r="219" ht="15.75" customHeight="1">
      <c r="A219" s="12"/>
    </row>
    <row r="220" ht="15.75" customHeight="1">
      <c r="A220" s="12"/>
    </row>
    <row r="221" ht="15.75" customHeight="1">
      <c r="A221" s="12"/>
    </row>
    <row r="222" ht="15.75" customHeight="1">
      <c r="A222" s="12"/>
    </row>
    <row r="223" ht="15.75" customHeight="1">
      <c r="A223" s="12"/>
    </row>
    <row r="224" ht="15.75" customHeight="1">
      <c r="A224" s="12"/>
    </row>
    <row r="225" ht="15.75" customHeight="1">
      <c r="A225" s="12"/>
    </row>
    <row r="226" ht="15.75" customHeight="1">
      <c r="A226" s="12"/>
    </row>
    <row r="227" ht="15.75" customHeight="1">
      <c r="A227" s="12"/>
    </row>
    <row r="228" ht="15.75" customHeight="1">
      <c r="A228" s="12"/>
    </row>
    <row r="229" ht="15.75" customHeight="1">
      <c r="A229" s="12"/>
    </row>
    <row r="230" ht="15.75" customHeight="1">
      <c r="A230" s="12"/>
    </row>
    <row r="231" ht="15.75" customHeight="1">
      <c r="A231" s="12"/>
    </row>
    <row r="232" ht="15.75" customHeight="1">
      <c r="A232" s="12"/>
    </row>
    <row r="233" ht="15.75" customHeight="1">
      <c r="A233" s="12"/>
    </row>
    <row r="234" ht="15.75" customHeight="1">
      <c r="A234" s="12"/>
    </row>
    <row r="235" ht="15.75" customHeight="1">
      <c r="A235" s="12"/>
    </row>
    <row r="236" ht="15.75" customHeight="1">
      <c r="A236" s="12"/>
    </row>
    <row r="237" ht="15.75" customHeight="1">
      <c r="A237" s="12"/>
    </row>
    <row r="238" ht="15.75" customHeight="1">
      <c r="A238" s="12"/>
    </row>
    <row r="239" ht="15.75" customHeight="1">
      <c r="A239" s="12"/>
    </row>
    <row r="240" ht="15.75" customHeight="1">
      <c r="A240" s="12"/>
    </row>
    <row r="241" ht="15.75" customHeight="1">
      <c r="A241" s="12"/>
    </row>
    <row r="242" ht="15.75" customHeight="1">
      <c r="A242" s="12"/>
    </row>
    <row r="243" ht="15.75" customHeight="1">
      <c r="A243" s="12"/>
    </row>
    <row r="244" ht="15.75" customHeight="1">
      <c r="A244" s="12"/>
    </row>
    <row r="245" ht="15.75" customHeight="1">
      <c r="A245" s="12"/>
    </row>
    <row r="246" ht="15.75" customHeight="1">
      <c r="A246" s="12"/>
    </row>
    <row r="247" ht="15.75" customHeight="1">
      <c r="A247" s="12"/>
    </row>
    <row r="248" ht="15.75" customHeight="1">
      <c r="A248" s="12"/>
    </row>
    <row r="249" ht="15.75" customHeight="1">
      <c r="A249" s="12"/>
    </row>
    <row r="250" ht="15.75" customHeight="1">
      <c r="A250" s="12"/>
    </row>
    <row r="251" ht="15.75" customHeight="1">
      <c r="A251" s="12"/>
    </row>
    <row r="252" ht="15.75" customHeight="1">
      <c r="A252" s="12"/>
    </row>
    <row r="253" ht="15.75" customHeight="1">
      <c r="A253" s="12"/>
    </row>
    <row r="254" ht="15.75" customHeight="1">
      <c r="A254" s="12"/>
    </row>
    <row r="255" ht="15.75" customHeight="1">
      <c r="A255" s="12"/>
    </row>
    <row r="256" ht="15.75" customHeight="1">
      <c r="A256" s="12"/>
    </row>
    <row r="257" ht="15.75" customHeight="1">
      <c r="A257" s="12"/>
    </row>
    <row r="258" ht="15.75" customHeight="1">
      <c r="A258" s="12"/>
    </row>
    <row r="259" ht="15.75" customHeight="1">
      <c r="A259" s="12"/>
    </row>
    <row r="260" ht="15.75" customHeight="1">
      <c r="A260" s="12"/>
    </row>
    <row r="261" ht="15.75" customHeight="1">
      <c r="A261" s="12"/>
    </row>
    <row r="262" ht="15.75" customHeight="1">
      <c r="A262" s="12"/>
    </row>
    <row r="263" ht="15.75" customHeight="1">
      <c r="A263" s="12"/>
    </row>
    <row r="264" ht="15.75" customHeight="1">
      <c r="A264" s="12"/>
    </row>
    <row r="265" ht="15.75" customHeight="1">
      <c r="A265" s="12"/>
    </row>
    <row r="266" ht="15.75" customHeight="1">
      <c r="A266" s="12"/>
    </row>
    <row r="267" ht="15.75" customHeight="1">
      <c r="A267" s="12"/>
    </row>
    <row r="268" ht="15.75" customHeight="1">
      <c r="A268" s="12"/>
    </row>
    <row r="269" ht="15.75" customHeight="1">
      <c r="A269" s="12"/>
    </row>
    <row r="270" ht="15.75" customHeight="1">
      <c r="A270" s="12"/>
    </row>
    <row r="271" ht="15.75" customHeight="1">
      <c r="A271" s="12"/>
    </row>
    <row r="272" ht="15.75" customHeight="1">
      <c r="A272" s="12"/>
    </row>
    <row r="273" ht="15.75" customHeight="1">
      <c r="A273" s="12"/>
    </row>
    <row r="274" ht="15.75" customHeight="1">
      <c r="A274" s="12"/>
    </row>
    <row r="275" ht="15.75" customHeight="1">
      <c r="A275" s="12"/>
    </row>
    <row r="276" ht="15.75" customHeight="1">
      <c r="A276" s="12"/>
    </row>
    <row r="277" ht="15.75" customHeight="1">
      <c r="A277" s="12"/>
    </row>
    <row r="278" ht="15.75" customHeight="1">
      <c r="A278" s="12"/>
    </row>
    <row r="279" ht="15.75" customHeight="1">
      <c r="A279" s="12"/>
    </row>
    <row r="280" ht="15.75" customHeight="1">
      <c r="A280" s="12"/>
    </row>
    <row r="281" ht="15.75" customHeight="1">
      <c r="A281" s="12"/>
    </row>
    <row r="282" ht="15.75" customHeight="1">
      <c r="A282" s="12"/>
    </row>
    <row r="283" ht="15.75" customHeight="1">
      <c r="A283" s="12"/>
    </row>
    <row r="284" ht="15.75" customHeight="1">
      <c r="A284" s="12"/>
    </row>
    <row r="285" ht="15.75" customHeight="1">
      <c r="A285" s="12"/>
    </row>
    <row r="286" ht="15.75" customHeight="1">
      <c r="A286" s="12"/>
    </row>
    <row r="287" ht="15.75" customHeight="1">
      <c r="A287" s="12"/>
    </row>
    <row r="288" ht="15.75" customHeight="1">
      <c r="A288" s="12"/>
    </row>
    <row r="289" ht="15.75" customHeight="1">
      <c r="A289" s="12"/>
    </row>
    <row r="290" ht="15.75" customHeight="1">
      <c r="A290" s="12"/>
    </row>
    <row r="291" ht="15.75" customHeight="1">
      <c r="A291" s="12"/>
    </row>
    <row r="292" ht="15.75" customHeight="1">
      <c r="A292" s="12"/>
    </row>
    <row r="293" ht="15.75" customHeight="1">
      <c r="A293" s="12"/>
    </row>
    <row r="294" ht="15.75" customHeight="1">
      <c r="A294" s="12"/>
    </row>
    <row r="295" ht="15.75" customHeight="1">
      <c r="A295" s="12"/>
    </row>
    <row r="296" ht="15.75" customHeight="1">
      <c r="A296" s="12"/>
    </row>
    <row r="297" ht="15.75" customHeight="1">
      <c r="A297" s="12"/>
    </row>
    <row r="298" ht="15.75" customHeight="1">
      <c r="A298" s="12"/>
    </row>
    <row r="299" ht="15.75" customHeight="1">
      <c r="A299" s="12"/>
    </row>
    <row r="300" ht="15.75" customHeight="1">
      <c r="A300" s="12"/>
    </row>
    <row r="301" ht="15.75" customHeight="1">
      <c r="A301" s="12"/>
    </row>
    <row r="302" ht="15.75" customHeight="1">
      <c r="A302" s="12"/>
    </row>
    <row r="303" ht="15.75" customHeight="1">
      <c r="A303" s="12"/>
    </row>
    <row r="304" ht="15.75" customHeight="1">
      <c r="A304" s="12"/>
    </row>
    <row r="305" ht="15.75" customHeight="1">
      <c r="A305" s="12"/>
    </row>
    <row r="306" ht="15.75" customHeight="1">
      <c r="A306" s="12"/>
    </row>
    <row r="307" ht="15.75" customHeight="1">
      <c r="A307" s="12"/>
    </row>
    <row r="308" ht="15.75" customHeight="1">
      <c r="A308" s="12"/>
    </row>
    <row r="309" ht="15.75" customHeight="1">
      <c r="A309" s="12"/>
    </row>
    <row r="310" ht="15.75" customHeight="1">
      <c r="A310" s="12"/>
    </row>
    <row r="311" ht="15.75" customHeight="1">
      <c r="A311" s="12"/>
    </row>
    <row r="312" ht="15.75" customHeight="1">
      <c r="A312" s="12"/>
    </row>
    <row r="313" ht="15.75" customHeight="1">
      <c r="A313" s="12"/>
    </row>
    <row r="314" ht="15.75" customHeight="1">
      <c r="A314" s="12"/>
    </row>
    <row r="315" ht="15.75" customHeight="1">
      <c r="A315" s="12"/>
    </row>
    <row r="316" ht="15.75" customHeight="1">
      <c r="A316" s="12"/>
    </row>
    <row r="317" ht="15.75" customHeight="1">
      <c r="A317" s="12"/>
    </row>
    <row r="318" ht="15.75" customHeight="1">
      <c r="A318" s="12"/>
    </row>
    <row r="319" ht="15.75" customHeight="1">
      <c r="A319" s="12"/>
    </row>
    <row r="320" ht="15.75" customHeight="1">
      <c r="A320" s="12"/>
    </row>
    <row r="321" ht="15.75" customHeight="1">
      <c r="A321" s="20"/>
    </row>
    <row r="322" ht="15.75" customHeight="1">
      <c r="A322" s="20"/>
    </row>
    <row r="323" ht="15.75" customHeight="1">
      <c r="A323" s="20"/>
    </row>
    <row r="324" ht="15.75" customHeight="1">
      <c r="A324" s="20"/>
    </row>
    <row r="325" ht="15.75" customHeight="1">
      <c r="A325" s="20"/>
    </row>
    <row r="326" ht="15.75" customHeight="1">
      <c r="A326" s="20"/>
    </row>
    <row r="327" ht="15.75" customHeight="1">
      <c r="A327" s="20"/>
    </row>
    <row r="328" ht="15.75" customHeight="1">
      <c r="A328" s="20"/>
    </row>
    <row r="329" ht="15.75" customHeight="1">
      <c r="A329" s="20"/>
    </row>
    <row r="330" ht="15.75" customHeight="1">
      <c r="A330" s="20"/>
    </row>
    <row r="331" ht="15.75" customHeight="1">
      <c r="A331" s="20"/>
    </row>
    <row r="332" ht="15.75" customHeight="1">
      <c r="A332" s="20"/>
    </row>
    <row r="333" ht="15.75" customHeight="1">
      <c r="A333" s="20"/>
    </row>
    <row r="334" ht="15.75" customHeight="1">
      <c r="A334" s="20"/>
    </row>
    <row r="335" ht="15.75" customHeight="1">
      <c r="A335" s="20"/>
    </row>
    <row r="336" ht="15.75" customHeight="1">
      <c r="A336" s="20"/>
    </row>
    <row r="337" ht="15.75" customHeight="1">
      <c r="A337" s="20"/>
    </row>
    <row r="338" ht="15.75" customHeight="1">
      <c r="A338" s="20"/>
    </row>
    <row r="339" ht="15.75" customHeight="1">
      <c r="A339" s="20"/>
    </row>
    <row r="340" ht="15.75" customHeight="1">
      <c r="A340" s="20"/>
    </row>
    <row r="341" ht="15.75" customHeight="1">
      <c r="A341" s="20"/>
    </row>
    <row r="342" ht="15.75" customHeight="1">
      <c r="A342" s="20"/>
    </row>
    <row r="343" ht="15.75" customHeight="1">
      <c r="A343" s="20"/>
    </row>
    <row r="344" ht="15.75" customHeight="1">
      <c r="A344" s="20"/>
    </row>
    <row r="345" ht="15.75" customHeight="1">
      <c r="A345" s="20"/>
    </row>
    <row r="346" ht="15.75" customHeight="1">
      <c r="A346" s="20"/>
    </row>
    <row r="347" ht="15.75" customHeight="1">
      <c r="A347" s="20"/>
    </row>
    <row r="348" ht="15.75" customHeight="1">
      <c r="A348" s="20"/>
    </row>
    <row r="349" ht="15.75" customHeight="1">
      <c r="A349" s="20"/>
    </row>
    <row r="350" ht="15.75" customHeight="1">
      <c r="A350" s="20"/>
    </row>
    <row r="351" ht="15.75" customHeight="1">
      <c r="A351" s="20"/>
    </row>
    <row r="352" ht="15.75" customHeight="1">
      <c r="A352" s="20"/>
    </row>
    <row r="353" ht="15.75" customHeight="1">
      <c r="A353" s="20"/>
    </row>
    <row r="354" ht="15.75" customHeight="1">
      <c r="A354" s="20"/>
    </row>
    <row r="355" ht="15.75" customHeight="1">
      <c r="A355" s="20"/>
    </row>
    <row r="356" ht="15.75" customHeight="1">
      <c r="A356" s="20"/>
    </row>
    <row r="357" ht="15.75" customHeight="1">
      <c r="A357" s="20"/>
    </row>
    <row r="358" ht="15.75" customHeight="1">
      <c r="A358" s="20"/>
    </row>
    <row r="359" ht="15.75" customHeight="1">
      <c r="A359" s="20"/>
    </row>
    <row r="360" ht="15.75" customHeight="1">
      <c r="A360" s="20"/>
    </row>
    <row r="361" ht="15.75" customHeight="1">
      <c r="A361" s="20"/>
    </row>
    <row r="362" ht="15.75" customHeight="1">
      <c r="A362" s="20"/>
    </row>
    <row r="363" ht="15.75" customHeight="1">
      <c r="A363" s="20"/>
    </row>
    <row r="364" ht="15.75" customHeight="1">
      <c r="A364" s="20"/>
    </row>
    <row r="365" ht="15.75" customHeight="1">
      <c r="A365" s="20"/>
    </row>
    <row r="366" ht="15.75" customHeight="1">
      <c r="A366" s="20"/>
    </row>
    <row r="367" ht="15.75" customHeight="1">
      <c r="A367" s="20"/>
    </row>
    <row r="368" ht="15.75" customHeight="1">
      <c r="A368" s="20"/>
    </row>
    <row r="369" ht="15.75" customHeight="1">
      <c r="A369" s="20"/>
    </row>
    <row r="370" ht="15.75" customHeight="1">
      <c r="A370" s="20"/>
    </row>
    <row r="371" ht="15.75" customHeight="1">
      <c r="A371" s="20"/>
    </row>
    <row r="372" ht="15.75" customHeight="1">
      <c r="A372" s="20"/>
    </row>
    <row r="373" ht="15.75" customHeight="1">
      <c r="A373" s="20"/>
    </row>
    <row r="374" ht="15.75" customHeight="1">
      <c r="A374" s="20"/>
    </row>
    <row r="375" ht="15.75" customHeight="1">
      <c r="A375" s="20"/>
    </row>
    <row r="376" ht="15.75" customHeight="1">
      <c r="A376" s="20"/>
    </row>
    <row r="377" ht="15.75" customHeight="1">
      <c r="A377" s="20"/>
    </row>
    <row r="378" ht="15.75" customHeight="1">
      <c r="A378" s="20"/>
    </row>
    <row r="379" ht="15.75" customHeight="1">
      <c r="A379" s="20"/>
    </row>
    <row r="380" ht="15.75" customHeight="1">
      <c r="A380" s="20"/>
    </row>
    <row r="381" ht="15.75" customHeight="1">
      <c r="A381" s="20"/>
    </row>
    <row r="382" ht="15.75" customHeight="1">
      <c r="A382" s="20"/>
    </row>
    <row r="383" ht="15.75" customHeight="1">
      <c r="A383" s="20"/>
    </row>
    <row r="384" ht="15.75" customHeight="1">
      <c r="A384" s="20"/>
    </row>
    <row r="385" ht="15.75" customHeight="1">
      <c r="A385" s="20"/>
    </row>
    <row r="386" ht="15.75" customHeight="1">
      <c r="A386" s="20"/>
    </row>
    <row r="387" ht="15.75" customHeight="1">
      <c r="A387" s="20"/>
    </row>
    <row r="388" ht="15.75" customHeight="1">
      <c r="A388" s="20"/>
    </row>
    <row r="389" ht="15.75" customHeight="1">
      <c r="A389" s="20"/>
    </row>
    <row r="390" ht="15.75" customHeight="1">
      <c r="A390" s="20"/>
    </row>
    <row r="391" ht="15.75" customHeight="1">
      <c r="A391" s="20"/>
    </row>
    <row r="392" ht="15.75" customHeight="1">
      <c r="A392" s="20"/>
    </row>
    <row r="393" ht="15.75" customHeight="1">
      <c r="A393" s="20"/>
    </row>
    <row r="394" ht="15.75" customHeight="1">
      <c r="A394" s="20"/>
    </row>
    <row r="395" ht="15.75" customHeight="1">
      <c r="A395" s="20"/>
    </row>
    <row r="396" ht="15.75" customHeight="1">
      <c r="A396" s="20"/>
    </row>
    <row r="397" ht="15.75" customHeight="1">
      <c r="A397" s="20"/>
    </row>
    <row r="398" ht="15.75" customHeight="1">
      <c r="A398" s="20"/>
    </row>
    <row r="399" ht="15.75" customHeight="1">
      <c r="A399" s="20"/>
    </row>
    <row r="400" ht="15.75" customHeight="1">
      <c r="A400" s="20"/>
    </row>
    <row r="401" ht="15.75" customHeight="1">
      <c r="A401" s="20"/>
    </row>
    <row r="402" ht="15.75" customHeight="1">
      <c r="A402" s="20"/>
    </row>
    <row r="403" ht="15.75" customHeight="1">
      <c r="A403" s="20"/>
    </row>
    <row r="404" ht="15.75" customHeight="1">
      <c r="A404" s="20"/>
    </row>
    <row r="405" ht="15.75" customHeight="1">
      <c r="A405" s="20"/>
    </row>
    <row r="406" ht="15.75" customHeight="1">
      <c r="A406" s="20"/>
    </row>
    <row r="407" ht="15.75" customHeight="1">
      <c r="A407" s="20"/>
    </row>
    <row r="408" ht="15.75" customHeight="1">
      <c r="A408" s="20"/>
    </row>
    <row r="409" ht="15.75" customHeight="1">
      <c r="A409" s="20"/>
    </row>
    <row r="410" ht="15.75" customHeight="1">
      <c r="A410" s="20"/>
    </row>
    <row r="411" ht="15.75" customHeight="1">
      <c r="A411" s="20"/>
    </row>
    <row r="412" ht="15.75" customHeight="1">
      <c r="A412" s="20"/>
    </row>
    <row r="413" ht="15.75" customHeight="1">
      <c r="A413" s="20"/>
    </row>
    <row r="414" ht="15.75" customHeight="1">
      <c r="A414" s="20"/>
    </row>
    <row r="415" ht="15.75" customHeight="1">
      <c r="A415" s="20"/>
    </row>
    <row r="416" ht="15.75" customHeight="1">
      <c r="A416" s="20"/>
    </row>
    <row r="417" ht="15.75" customHeight="1">
      <c r="A417" s="20"/>
    </row>
    <row r="418" ht="15.75" customHeight="1">
      <c r="A418" s="20"/>
    </row>
    <row r="419" ht="15.75" customHeight="1">
      <c r="A419" s="20"/>
    </row>
    <row r="420" ht="15.75" customHeight="1">
      <c r="A420" s="20"/>
    </row>
    <row r="421" ht="15.75" customHeight="1">
      <c r="A421" s="20"/>
    </row>
    <row r="422" ht="15.75" customHeight="1">
      <c r="A422" s="20"/>
    </row>
    <row r="423" ht="15.75" customHeight="1">
      <c r="A423" s="20"/>
    </row>
    <row r="424" ht="15.75" customHeight="1">
      <c r="A424" s="20"/>
    </row>
    <row r="425" ht="15.75" customHeight="1">
      <c r="A425" s="20"/>
    </row>
    <row r="426" ht="15.75" customHeight="1">
      <c r="A426" s="20"/>
    </row>
    <row r="427" ht="15.75" customHeight="1">
      <c r="A427" s="20"/>
    </row>
    <row r="428" ht="15.75" customHeight="1">
      <c r="A428" s="20"/>
    </row>
    <row r="429" ht="15.75" customHeight="1">
      <c r="A429" s="20"/>
    </row>
    <row r="430" ht="15.75" customHeight="1">
      <c r="A430" s="20"/>
    </row>
    <row r="431" ht="15.75" customHeight="1">
      <c r="A431" s="20"/>
    </row>
    <row r="432" ht="15.75" customHeight="1">
      <c r="A432" s="20"/>
    </row>
    <row r="433" ht="15.75" customHeight="1">
      <c r="A433" s="20"/>
    </row>
    <row r="434" ht="15.75" customHeight="1">
      <c r="A434" s="20"/>
    </row>
    <row r="435" ht="15.75" customHeight="1">
      <c r="A435" s="20"/>
    </row>
    <row r="436" ht="15.75" customHeight="1">
      <c r="A436" s="20"/>
    </row>
    <row r="437" ht="15.75" customHeight="1">
      <c r="A437" s="20"/>
    </row>
    <row r="438" ht="15.75" customHeight="1">
      <c r="A438" s="20"/>
    </row>
    <row r="439" ht="15.75" customHeight="1">
      <c r="A439" s="20"/>
    </row>
    <row r="440" ht="15.75" customHeight="1">
      <c r="A440" s="20"/>
    </row>
    <row r="441" ht="15.75" customHeight="1">
      <c r="A441" s="20"/>
    </row>
    <row r="442" ht="15.75" customHeight="1">
      <c r="A442" s="20"/>
    </row>
    <row r="443" ht="15.75" customHeight="1">
      <c r="A443" s="20"/>
    </row>
    <row r="444" ht="15.75" customHeight="1">
      <c r="A444" s="20"/>
    </row>
    <row r="445" ht="15.75" customHeight="1">
      <c r="A445" s="20"/>
    </row>
    <row r="446" ht="15.75" customHeight="1">
      <c r="A446" s="20"/>
    </row>
    <row r="447" ht="15.75" customHeight="1">
      <c r="A447" s="20"/>
    </row>
    <row r="448" ht="15.75" customHeight="1">
      <c r="A448" s="20"/>
    </row>
    <row r="449" ht="15.75" customHeight="1">
      <c r="A449" s="20"/>
    </row>
    <row r="450" ht="15.75" customHeight="1">
      <c r="A450" s="20"/>
    </row>
    <row r="451" ht="15.75" customHeight="1">
      <c r="A451" s="20"/>
    </row>
    <row r="452" ht="15.75" customHeight="1">
      <c r="A452" s="20"/>
    </row>
    <row r="453" ht="15.75" customHeight="1">
      <c r="A453" s="20"/>
    </row>
    <row r="454" ht="15.75" customHeight="1">
      <c r="A454" s="20"/>
    </row>
    <row r="455" ht="15.75" customHeight="1">
      <c r="A455" s="20"/>
    </row>
    <row r="456" ht="15.75" customHeight="1">
      <c r="A456" s="20"/>
    </row>
    <row r="457" ht="15.75" customHeight="1">
      <c r="A457" s="20"/>
    </row>
    <row r="458" ht="15.75" customHeight="1">
      <c r="A458" s="20"/>
    </row>
    <row r="459" ht="15.75" customHeight="1">
      <c r="A459" s="20"/>
    </row>
    <row r="460" ht="15.75" customHeight="1">
      <c r="A460" s="20"/>
    </row>
    <row r="461" ht="15.75" customHeight="1">
      <c r="A461" s="20"/>
    </row>
    <row r="462" ht="15.75" customHeight="1">
      <c r="A462" s="20"/>
    </row>
    <row r="463" ht="15.75" customHeight="1">
      <c r="A463" s="20"/>
    </row>
    <row r="464" ht="15.75" customHeight="1">
      <c r="A464" s="20"/>
    </row>
    <row r="465" ht="15.75" customHeight="1">
      <c r="A465" s="20"/>
    </row>
    <row r="466" ht="15.75" customHeight="1">
      <c r="A466" s="20"/>
    </row>
    <row r="467" ht="15.75" customHeight="1">
      <c r="A467" s="20"/>
    </row>
    <row r="468" ht="15.75" customHeight="1">
      <c r="A468" s="20"/>
    </row>
    <row r="469" ht="15.75" customHeight="1">
      <c r="A469" s="20"/>
    </row>
    <row r="470" ht="15.75" customHeight="1">
      <c r="A470" s="20"/>
    </row>
    <row r="471" ht="15.75" customHeight="1">
      <c r="A471" s="20"/>
    </row>
    <row r="472" ht="15.75" customHeight="1">
      <c r="A472" s="20"/>
    </row>
    <row r="473" ht="15.75" customHeight="1">
      <c r="A473" s="20"/>
    </row>
    <row r="474" ht="15.75" customHeight="1">
      <c r="A474" s="20"/>
    </row>
    <row r="475" ht="15.75" customHeight="1">
      <c r="A475" s="20"/>
    </row>
    <row r="476" ht="15.75" customHeight="1">
      <c r="A476" s="20"/>
    </row>
    <row r="477" ht="15.75" customHeight="1">
      <c r="A477" s="20"/>
    </row>
    <row r="478" ht="15.75" customHeight="1">
      <c r="A478" s="20"/>
    </row>
    <row r="479" ht="15.75" customHeight="1">
      <c r="A479" s="20"/>
    </row>
    <row r="480" ht="15.75" customHeight="1">
      <c r="A480" s="20"/>
    </row>
    <row r="481" ht="15.75" customHeight="1">
      <c r="A481" s="20"/>
    </row>
    <row r="482" ht="15.75" customHeight="1">
      <c r="A482" s="20"/>
    </row>
    <row r="483" ht="15.75" customHeight="1">
      <c r="A483" s="20"/>
    </row>
    <row r="484" ht="15.75" customHeight="1">
      <c r="A484" s="20"/>
    </row>
    <row r="485" ht="15.75" customHeight="1">
      <c r="A485" s="20"/>
    </row>
    <row r="486" ht="15.75" customHeight="1">
      <c r="A486" s="20"/>
    </row>
    <row r="487" ht="15.75" customHeight="1">
      <c r="A487" s="20"/>
    </row>
    <row r="488" ht="15.75" customHeight="1">
      <c r="A488" s="20"/>
    </row>
    <row r="489" ht="15.75" customHeight="1">
      <c r="A489" s="20"/>
    </row>
    <row r="490" ht="15.75" customHeight="1">
      <c r="A490" s="20"/>
    </row>
    <row r="491" ht="15.75" customHeight="1">
      <c r="A491" s="20"/>
    </row>
    <row r="492" ht="15.75" customHeight="1">
      <c r="A492" s="20"/>
    </row>
    <row r="493" ht="15.75" customHeight="1">
      <c r="A493" s="20"/>
    </row>
    <row r="494" ht="15.75" customHeight="1">
      <c r="A494" s="20"/>
    </row>
    <row r="495" ht="15.75" customHeight="1">
      <c r="A495" s="20"/>
    </row>
    <row r="496" ht="15.75" customHeight="1">
      <c r="A496" s="20"/>
    </row>
    <row r="497" ht="15.75" customHeight="1">
      <c r="A497" s="20"/>
    </row>
    <row r="498" ht="15.75" customHeight="1">
      <c r="A498" s="20"/>
    </row>
    <row r="499" ht="15.75" customHeight="1">
      <c r="A499" s="20"/>
    </row>
    <row r="500" ht="15.75" customHeight="1">
      <c r="A500" s="20"/>
    </row>
    <row r="501" ht="15.75" customHeight="1">
      <c r="A501" s="20"/>
    </row>
    <row r="502" ht="15.75" customHeight="1">
      <c r="A502" s="20"/>
    </row>
    <row r="503" ht="15.75" customHeight="1">
      <c r="A503" s="20"/>
    </row>
    <row r="504" ht="15.75" customHeight="1">
      <c r="A504" s="20"/>
    </row>
    <row r="505" ht="15.75" customHeight="1">
      <c r="A505" s="20"/>
    </row>
    <row r="506" ht="15.75" customHeight="1">
      <c r="A506" s="20"/>
    </row>
    <row r="507" ht="15.75" customHeight="1">
      <c r="A507" s="20"/>
    </row>
    <row r="508" ht="15.75" customHeight="1">
      <c r="A508" s="20"/>
    </row>
    <row r="509" ht="15.75" customHeight="1">
      <c r="A509" s="20"/>
    </row>
    <row r="510" ht="15.75" customHeight="1">
      <c r="A510" s="20"/>
    </row>
    <row r="511" ht="15.75" customHeight="1">
      <c r="A511" s="20"/>
    </row>
    <row r="512" ht="15.75" customHeight="1">
      <c r="A512" s="20"/>
    </row>
    <row r="513" ht="15.75" customHeight="1">
      <c r="A513" s="20"/>
    </row>
    <row r="514" ht="15.75" customHeight="1">
      <c r="A514" s="20"/>
    </row>
    <row r="515" ht="15.75" customHeight="1">
      <c r="A515" s="20"/>
    </row>
    <row r="516" ht="15.75" customHeight="1">
      <c r="A516" s="20"/>
    </row>
    <row r="517" ht="15.75" customHeight="1">
      <c r="A517" s="20"/>
    </row>
    <row r="518" ht="15.75" customHeight="1">
      <c r="A518" s="20"/>
    </row>
    <row r="519" ht="15.75" customHeight="1">
      <c r="A519" s="20"/>
    </row>
    <row r="520" ht="15.75" customHeight="1">
      <c r="A520" s="20"/>
    </row>
    <row r="521" ht="15.75" customHeight="1">
      <c r="A521" s="20"/>
    </row>
    <row r="522" ht="15.75" customHeight="1">
      <c r="A522" s="20"/>
    </row>
    <row r="523" ht="15.75" customHeight="1">
      <c r="A523" s="20"/>
    </row>
    <row r="524" ht="15.75" customHeight="1">
      <c r="A524" s="20"/>
    </row>
    <row r="525" ht="15.75" customHeight="1">
      <c r="A525" s="20"/>
    </row>
    <row r="526" ht="15.75" customHeight="1">
      <c r="A526" s="20"/>
    </row>
    <row r="527" ht="15.75" customHeight="1">
      <c r="A527" s="20"/>
    </row>
    <row r="528" ht="15.75" customHeight="1">
      <c r="A528" s="20"/>
    </row>
    <row r="529" ht="15.75" customHeight="1">
      <c r="A529" s="20"/>
    </row>
    <row r="530" ht="15.75" customHeight="1">
      <c r="A530" s="20"/>
    </row>
    <row r="531" ht="15.75" customHeight="1">
      <c r="A531" s="20"/>
    </row>
    <row r="532" ht="15.75" customHeight="1">
      <c r="A532" s="20"/>
    </row>
    <row r="533" ht="15.75" customHeight="1">
      <c r="A533" s="20"/>
    </row>
    <row r="534" ht="15.75" customHeight="1">
      <c r="A534" s="20"/>
    </row>
    <row r="535" ht="15.75" customHeight="1">
      <c r="A535" s="20"/>
    </row>
    <row r="536" ht="15.75" customHeight="1">
      <c r="A536" s="20"/>
    </row>
    <row r="537" ht="15.75" customHeight="1">
      <c r="A537" s="20"/>
    </row>
    <row r="538" ht="15.75" customHeight="1">
      <c r="A538" s="20"/>
    </row>
    <row r="539" ht="15.75" customHeight="1">
      <c r="A539" s="20"/>
    </row>
    <row r="540" ht="15.75" customHeight="1">
      <c r="A540" s="20"/>
    </row>
    <row r="541" ht="15.75" customHeight="1">
      <c r="A541" s="20"/>
    </row>
    <row r="542" ht="15.75" customHeight="1">
      <c r="A542" s="20"/>
    </row>
    <row r="543" ht="15.75" customHeight="1">
      <c r="A543" s="20"/>
    </row>
    <row r="544" ht="15.75" customHeight="1">
      <c r="A544" s="20"/>
    </row>
    <row r="545" ht="15.75" customHeight="1">
      <c r="A545" s="20"/>
    </row>
    <row r="546" ht="15.75" customHeight="1">
      <c r="A546" s="20"/>
    </row>
    <row r="547" ht="15.75" customHeight="1">
      <c r="A547" s="20"/>
    </row>
    <row r="548" ht="15.75" customHeight="1">
      <c r="A548" s="20"/>
    </row>
    <row r="549" ht="15.75" customHeight="1">
      <c r="A549" s="20"/>
    </row>
    <row r="550" ht="15.75" customHeight="1">
      <c r="A550" s="20"/>
    </row>
    <row r="551" ht="15.75" customHeight="1">
      <c r="A551" s="20"/>
    </row>
    <row r="552" ht="15.75" customHeight="1">
      <c r="A552" s="20"/>
    </row>
    <row r="553" ht="15.75" customHeight="1">
      <c r="A553" s="20"/>
    </row>
    <row r="554" ht="15.75" customHeight="1">
      <c r="A554" s="20"/>
    </row>
    <row r="555" ht="15.75" customHeight="1">
      <c r="A555" s="20"/>
    </row>
    <row r="556" ht="15.75" customHeight="1">
      <c r="A556" s="20"/>
    </row>
    <row r="557" ht="15.75" customHeight="1">
      <c r="A557" s="20"/>
    </row>
    <row r="558" ht="15.75" customHeight="1">
      <c r="A558" s="20"/>
    </row>
    <row r="559" ht="15.75" customHeight="1">
      <c r="A559" s="20"/>
    </row>
    <row r="560" ht="15.75" customHeight="1">
      <c r="A560" s="20"/>
    </row>
    <row r="561" ht="15.75" customHeight="1">
      <c r="A561" s="20"/>
    </row>
    <row r="562" ht="15.75" customHeight="1">
      <c r="A562" s="20"/>
    </row>
    <row r="563" ht="15.75" customHeight="1">
      <c r="A563" s="20"/>
    </row>
    <row r="564" ht="15.75" customHeight="1">
      <c r="A564" s="20"/>
    </row>
    <row r="565" ht="15.75" customHeight="1">
      <c r="A565" s="20"/>
    </row>
    <row r="566" ht="15.75" customHeight="1">
      <c r="A566" s="20"/>
    </row>
    <row r="567" ht="15.75" customHeight="1">
      <c r="A567" s="20"/>
    </row>
    <row r="568" ht="15.75" customHeight="1">
      <c r="A568" s="20"/>
    </row>
    <row r="569" ht="15.75" customHeight="1">
      <c r="A569" s="20"/>
    </row>
    <row r="570" ht="15.75" customHeight="1">
      <c r="A570" s="20"/>
    </row>
    <row r="571" ht="15.75" customHeight="1">
      <c r="A571" s="20"/>
    </row>
    <row r="572" ht="15.75" customHeight="1">
      <c r="A572" s="20"/>
    </row>
    <row r="573" ht="15.75" customHeight="1">
      <c r="A573" s="20"/>
    </row>
    <row r="574" ht="15.75" customHeight="1">
      <c r="A574" s="20"/>
    </row>
    <row r="575" ht="15.75" customHeight="1">
      <c r="A575" s="20"/>
    </row>
    <row r="576" ht="15.75" customHeight="1">
      <c r="A576" s="20"/>
    </row>
    <row r="577" ht="15.75" customHeight="1">
      <c r="A577" s="20"/>
    </row>
    <row r="578" ht="15.75" customHeight="1">
      <c r="A578" s="20"/>
    </row>
    <row r="579" ht="15.75" customHeight="1">
      <c r="A579" s="20"/>
    </row>
    <row r="580" ht="15.75" customHeight="1">
      <c r="A580" s="20"/>
    </row>
    <row r="581" ht="15.75" customHeight="1">
      <c r="A581" s="20"/>
    </row>
    <row r="582" ht="15.75" customHeight="1">
      <c r="A582" s="20"/>
    </row>
    <row r="583" ht="15.75" customHeight="1">
      <c r="A583" s="20"/>
    </row>
    <row r="584" ht="15.75" customHeight="1">
      <c r="A584" s="20"/>
    </row>
    <row r="585" ht="15.75" customHeight="1">
      <c r="A585" s="20"/>
    </row>
    <row r="586" ht="15.75" customHeight="1">
      <c r="A586" s="20"/>
    </row>
    <row r="587" ht="15.75" customHeight="1">
      <c r="A587" s="20"/>
    </row>
    <row r="588" ht="15.75" customHeight="1">
      <c r="A588" s="20"/>
    </row>
    <row r="589" ht="15.75" customHeight="1">
      <c r="A589" s="20"/>
    </row>
    <row r="590" ht="15.75" customHeight="1">
      <c r="A590" s="20"/>
    </row>
    <row r="591" ht="15.75" customHeight="1">
      <c r="A591" s="20"/>
    </row>
    <row r="592" ht="15.75" customHeight="1">
      <c r="A592" s="20"/>
    </row>
    <row r="593" ht="15.75" customHeight="1">
      <c r="A593" s="20"/>
    </row>
    <row r="594" ht="15.75" customHeight="1">
      <c r="A594" s="20"/>
    </row>
    <row r="595" ht="15.75" customHeight="1">
      <c r="A595" s="20"/>
    </row>
    <row r="596" ht="15.75" customHeight="1">
      <c r="A596" s="20"/>
    </row>
    <row r="597" ht="15.75" customHeight="1">
      <c r="A597" s="20"/>
    </row>
    <row r="598" ht="15.75" customHeight="1">
      <c r="A598" s="20"/>
    </row>
    <row r="599" ht="15.75" customHeight="1">
      <c r="A599" s="20"/>
    </row>
    <row r="600" ht="15.75" customHeight="1">
      <c r="A600" s="20"/>
    </row>
    <row r="601" ht="15.75" customHeight="1">
      <c r="A601" s="20"/>
    </row>
    <row r="602" ht="15.75" customHeight="1">
      <c r="A602" s="20"/>
    </row>
    <row r="603" ht="15.75" customHeight="1">
      <c r="A603" s="20"/>
    </row>
    <row r="604" ht="15.75" customHeight="1">
      <c r="A604" s="20"/>
    </row>
    <row r="605" ht="15.75" customHeight="1">
      <c r="A605" s="20"/>
    </row>
    <row r="606" ht="15.75" customHeight="1">
      <c r="A606" s="20"/>
    </row>
    <row r="607" ht="15.75" customHeight="1">
      <c r="A607" s="20"/>
    </row>
    <row r="608" ht="15.75" customHeight="1">
      <c r="A608" s="20"/>
    </row>
    <row r="609" ht="15.75" customHeight="1">
      <c r="A609" s="20"/>
    </row>
    <row r="610" ht="15.75" customHeight="1">
      <c r="A610" s="20"/>
    </row>
    <row r="611" ht="15.75" customHeight="1">
      <c r="A611" s="20"/>
    </row>
    <row r="612" ht="15.75" customHeight="1">
      <c r="A612" s="20"/>
    </row>
    <row r="613" ht="15.75" customHeight="1">
      <c r="A613" s="20"/>
    </row>
    <row r="614" ht="15.75" customHeight="1">
      <c r="A614" s="20"/>
    </row>
    <row r="615" ht="15.75" customHeight="1">
      <c r="A615" s="20"/>
    </row>
    <row r="616" ht="15.75" customHeight="1">
      <c r="A616" s="20"/>
    </row>
    <row r="617" ht="15.75" customHeight="1">
      <c r="A617" s="20"/>
    </row>
    <row r="618" ht="15.75" customHeight="1">
      <c r="A618" s="20"/>
    </row>
    <row r="619" ht="15.75" customHeight="1">
      <c r="A619" s="20"/>
    </row>
    <row r="620" ht="15.75" customHeight="1">
      <c r="A620" s="20"/>
    </row>
    <row r="621" ht="15.75" customHeight="1">
      <c r="A621" s="20"/>
    </row>
    <row r="622" ht="15.75" customHeight="1">
      <c r="A622" s="20"/>
    </row>
    <row r="623" ht="15.75" customHeight="1">
      <c r="A623" s="20"/>
    </row>
    <row r="624" ht="15.75" customHeight="1">
      <c r="A624" s="20"/>
    </row>
    <row r="625" ht="15.75" customHeight="1">
      <c r="A625" s="20"/>
    </row>
    <row r="626" ht="15.75" customHeight="1">
      <c r="A626" s="20"/>
    </row>
    <row r="627" ht="15.75" customHeight="1">
      <c r="A627" s="20"/>
    </row>
    <row r="628" ht="15.75" customHeight="1">
      <c r="A628" s="20"/>
    </row>
    <row r="629" ht="15.75" customHeight="1">
      <c r="A629" s="20"/>
    </row>
    <row r="630" ht="15.75" customHeight="1">
      <c r="A630" s="20"/>
    </row>
    <row r="631" ht="15.75" customHeight="1">
      <c r="A631" s="20"/>
    </row>
    <row r="632" ht="15.75" customHeight="1">
      <c r="A632" s="20"/>
    </row>
    <row r="633" ht="15.75" customHeight="1">
      <c r="A633" s="20"/>
    </row>
    <row r="634" ht="15.75" customHeight="1">
      <c r="A634" s="20"/>
    </row>
    <row r="635" ht="15.75" customHeight="1">
      <c r="A635" s="20"/>
    </row>
    <row r="636" ht="15.75" customHeight="1">
      <c r="A636" s="20"/>
    </row>
    <row r="637" ht="15.75" customHeight="1">
      <c r="A637" s="20"/>
    </row>
    <row r="638" ht="15.75" customHeight="1">
      <c r="A638" s="20"/>
    </row>
    <row r="639" ht="15.75" customHeight="1">
      <c r="A639" s="20"/>
    </row>
    <row r="640" ht="15.75" customHeight="1">
      <c r="A640" s="20"/>
    </row>
    <row r="641" ht="15.75" customHeight="1">
      <c r="A641" s="20"/>
    </row>
    <row r="642" ht="15.75" customHeight="1">
      <c r="A642" s="20"/>
    </row>
    <row r="643" ht="15.75" customHeight="1">
      <c r="A643" s="20"/>
    </row>
    <row r="644" ht="15.75" customHeight="1">
      <c r="A644" s="20"/>
    </row>
    <row r="645" ht="15.75" customHeight="1">
      <c r="A645" s="20"/>
    </row>
    <row r="646" ht="15.75" customHeight="1">
      <c r="A646" s="20"/>
    </row>
    <row r="647" ht="15.75" customHeight="1">
      <c r="A647" s="20"/>
    </row>
    <row r="648" ht="15.75" customHeight="1">
      <c r="A648" s="20"/>
    </row>
    <row r="649" ht="15.75" customHeight="1">
      <c r="A649" s="20"/>
    </row>
    <row r="650" ht="15.75" customHeight="1">
      <c r="A650" s="20"/>
    </row>
    <row r="651" ht="15.75" customHeight="1">
      <c r="A651" s="20"/>
    </row>
    <row r="652" ht="15.75" customHeight="1">
      <c r="A652" s="20"/>
    </row>
    <row r="653" ht="15.75" customHeight="1">
      <c r="A653" s="20"/>
    </row>
    <row r="654" ht="15.75" customHeight="1">
      <c r="A654" s="20"/>
    </row>
    <row r="655" ht="15.75" customHeight="1">
      <c r="A655" s="20"/>
    </row>
    <row r="656" ht="15.75" customHeight="1">
      <c r="A656" s="20"/>
    </row>
    <row r="657" ht="15.75" customHeight="1">
      <c r="A657" s="20"/>
    </row>
    <row r="658" ht="15.75" customHeight="1">
      <c r="A658" s="20"/>
    </row>
    <row r="659" ht="15.75" customHeight="1">
      <c r="A659" s="20"/>
    </row>
    <row r="660" ht="15.75" customHeight="1">
      <c r="A660" s="20"/>
    </row>
    <row r="661" ht="15.75" customHeight="1">
      <c r="A661" s="20"/>
    </row>
    <row r="662" ht="15.75" customHeight="1">
      <c r="A662" s="20"/>
    </row>
    <row r="663" ht="15.75" customHeight="1">
      <c r="A663" s="20"/>
    </row>
    <row r="664" ht="15.75" customHeight="1">
      <c r="A664" s="20"/>
    </row>
    <row r="665" ht="15.75" customHeight="1">
      <c r="A665" s="20"/>
    </row>
    <row r="666" ht="15.75" customHeight="1">
      <c r="A666" s="20"/>
    </row>
    <row r="667" ht="15.75" customHeight="1">
      <c r="A667" s="20"/>
    </row>
    <row r="668" ht="15.75" customHeight="1">
      <c r="A668" s="20"/>
    </row>
    <row r="669" ht="15.75" customHeight="1">
      <c r="A669" s="20"/>
    </row>
    <row r="670" ht="15.75" customHeight="1">
      <c r="A670" s="20"/>
    </row>
    <row r="671" ht="15.75" customHeight="1">
      <c r="A671" s="20"/>
    </row>
    <row r="672" ht="15.75" customHeight="1">
      <c r="A672" s="20"/>
    </row>
    <row r="673" ht="15.75" customHeight="1">
      <c r="A673" s="20"/>
    </row>
    <row r="674" ht="15.75" customHeight="1">
      <c r="A674" s="20"/>
    </row>
    <row r="675" ht="15.75" customHeight="1">
      <c r="A675" s="20"/>
    </row>
    <row r="676" ht="15.75" customHeight="1">
      <c r="A676" s="20"/>
    </row>
    <row r="677" ht="15.75" customHeight="1">
      <c r="A677" s="20"/>
    </row>
    <row r="678" ht="15.75" customHeight="1">
      <c r="A678" s="20"/>
    </row>
    <row r="679" ht="15.75" customHeight="1">
      <c r="A679" s="20"/>
    </row>
    <row r="680" ht="15.75" customHeight="1">
      <c r="A680" s="20"/>
    </row>
    <row r="681" ht="15.75" customHeight="1">
      <c r="A681" s="20"/>
    </row>
    <row r="682" ht="15.75" customHeight="1">
      <c r="A682" s="20"/>
    </row>
    <row r="683" ht="15.75" customHeight="1">
      <c r="A683" s="20"/>
    </row>
    <row r="684" ht="15.75" customHeight="1">
      <c r="A684" s="20"/>
    </row>
    <row r="685" ht="15.75" customHeight="1">
      <c r="A685" s="20"/>
    </row>
    <row r="686" ht="15.75" customHeight="1">
      <c r="A686" s="20"/>
    </row>
    <row r="687" ht="15.75" customHeight="1">
      <c r="A687" s="20"/>
    </row>
    <row r="688" ht="15.75" customHeight="1">
      <c r="A688" s="20"/>
    </row>
    <row r="689" ht="15.75" customHeight="1">
      <c r="A689" s="20"/>
    </row>
    <row r="690" ht="15.75" customHeight="1">
      <c r="A690" s="20"/>
    </row>
    <row r="691" ht="15.75" customHeight="1">
      <c r="A691" s="20"/>
    </row>
    <row r="692" ht="15.75" customHeight="1">
      <c r="A692" s="20"/>
    </row>
    <row r="693" ht="15.75" customHeight="1">
      <c r="A693" s="20"/>
    </row>
    <row r="694" ht="15.75" customHeight="1">
      <c r="A694" s="20"/>
    </row>
    <row r="695" ht="15.75" customHeight="1">
      <c r="A695" s="20"/>
    </row>
    <row r="696" ht="15.75" customHeight="1">
      <c r="A696" s="20"/>
    </row>
    <row r="697" ht="15.75" customHeight="1">
      <c r="A697" s="20"/>
    </row>
    <row r="698" ht="15.75" customHeight="1">
      <c r="A698" s="20"/>
    </row>
    <row r="699" ht="15.75" customHeight="1">
      <c r="A699" s="20"/>
    </row>
    <row r="700" ht="15.75" customHeight="1">
      <c r="A700" s="20"/>
    </row>
    <row r="701" ht="15.75" customHeight="1">
      <c r="A701" s="20"/>
    </row>
    <row r="702" ht="15.75" customHeight="1">
      <c r="A702" s="20"/>
    </row>
    <row r="703" ht="15.75" customHeight="1">
      <c r="A703" s="20"/>
    </row>
    <row r="704" ht="15.75" customHeight="1">
      <c r="A704" s="20"/>
    </row>
    <row r="705" ht="15.75" customHeight="1">
      <c r="A705" s="20"/>
    </row>
    <row r="706" ht="15.75" customHeight="1">
      <c r="A706" s="20"/>
    </row>
    <row r="707" ht="15.75" customHeight="1">
      <c r="A707" s="20"/>
    </row>
    <row r="708" ht="15.75" customHeight="1">
      <c r="A708" s="20"/>
    </row>
    <row r="709" ht="15.75" customHeight="1">
      <c r="A709" s="20"/>
    </row>
    <row r="710" ht="15.75" customHeight="1">
      <c r="A710" s="20"/>
    </row>
    <row r="711" ht="15.75" customHeight="1">
      <c r="A711" s="20"/>
    </row>
    <row r="712" ht="15.75" customHeight="1">
      <c r="A712" s="20"/>
    </row>
    <row r="713" ht="15.75" customHeight="1">
      <c r="A713" s="20"/>
    </row>
    <row r="714" ht="15.75" customHeight="1">
      <c r="A714" s="20"/>
    </row>
    <row r="715" ht="15.75" customHeight="1">
      <c r="A715" s="20"/>
    </row>
    <row r="716" ht="15.75" customHeight="1">
      <c r="A716" s="20"/>
    </row>
    <row r="717" ht="15.75" customHeight="1">
      <c r="A717" s="20"/>
    </row>
    <row r="718" ht="15.75" customHeight="1">
      <c r="A718" s="20"/>
    </row>
    <row r="719" ht="15.75" customHeight="1">
      <c r="A719" s="20"/>
    </row>
    <row r="720" ht="15.75" customHeight="1">
      <c r="A720" s="20"/>
    </row>
    <row r="721" ht="15.75" customHeight="1">
      <c r="A721" s="20"/>
    </row>
    <row r="722" ht="15.75" customHeight="1">
      <c r="A722" s="20"/>
    </row>
    <row r="723" ht="15.75" customHeight="1">
      <c r="A723" s="20"/>
    </row>
    <row r="724" ht="15.75" customHeight="1">
      <c r="A724" s="20"/>
    </row>
    <row r="725" ht="15.75" customHeight="1">
      <c r="A725" s="20"/>
    </row>
    <row r="726" ht="15.75" customHeight="1">
      <c r="A726" s="20"/>
    </row>
    <row r="727" ht="15.75" customHeight="1">
      <c r="A727" s="20"/>
    </row>
    <row r="728" ht="15.75" customHeight="1">
      <c r="A728" s="20"/>
    </row>
    <row r="729" ht="15.75" customHeight="1">
      <c r="A729" s="20"/>
    </row>
    <row r="730" ht="15.75" customHeight="1">
      <c r="A730" s="20"/>
    </row>
    <row r="731" ht="15.75" customHeight="1">
      <c r="A731" s="20"/>
    </row>
    <row r="732" ht="15.75" customHeight="1">
      <c r="A732" s="20"/>
    </row>
    <row r="733" ht="15.75" customHeight="1">
      <c r="A733" s="20"/>
    </row>
    <row r="734" ht="15.75" customHeight="1">
      <c r="A734" s="20"/>
    </row>
    <row r="735" ht="15.75" customHeight="1">
      <c r="A735" s="20"/>
    </row>
    <row r="736" ht="15.75" customHeight="1">
      <c r="A736" s="20"/>
    </row>
    <row r="737" ht="15.75" customHeight="1">
      <c r="A737" s="20"/>
    </row>
    <row r="738" ht="15.75" customHeight="1">
      <c r="A738" s="20"/>
    </row>
    <row r="739" ht="15.75" customHeight="1">
      <c r="A739" s="20"/>
    </row>
    <row r="740" ht="15.75" customHeight="1">
      <c r="A740" s="20"/>
    </row>
    <row r="741" ht="15.75" customHeight="1">
      <c r="A741" s="20"/>
    </row>
    <row r="742" ht="15.75" customHeight="1">
      <c r="A742" s="20"/>
    </row>
    <row r="743" ht="15.75" customHeight="1">
      <c r="A743" s="20"/>
    </row>
    <row r="744" ht="15.75" customHeight="1">
      <c r="A744" s="20"/>
    </row>
    <row r="745" ht="15.75" customHeight="1">
      <c r="A745" s="20"/>
    </row>
    <row r="746" ht="15.75" customHeight="1">
      <c r="A746" s="20"/>
    </row>
    <row r="747" ht="15.75" customHeight="1">
      <c r="A747" s="20"/>
    </row>
    <row r="748" ht="15.75" customHeight="1">
      <c r="A748" s="20"/>
    </row>
    <row r="749" ht="15.75" customHeight="1">
      <c r="A749" s="20"/>
    </row>
    <row r="750" ht="15.75" customHeight="1">
      <c r="A750" s="20"/>
    </row>
    <row r="751" ht="15.75" customHeight="1">
      <c r="A751" s="20"/>
    </row>
    <row r="752" ht="15.75" customHeight="1">
      <c r="A752" s="20"/>
    </row>
    <row r="753" ht="15.75" customHeight="1">
      <c r="A753" s="20"/>
    </row>
    <row r="754" ht="15.75" customHeight="1">
      <c r="A754" s="20"/>
    </row>
    <row r="755" ht="15.75" customHeight="1">
      <c r="A755" s="20"/>
    </row>
    <row r="756" ht="15.75" customHeight="1">
      <c r="A756" s="20"/>
    </row>
    <row r="757" ht="15.75" customHeight="1">
      <c r="A757" s="20"/>
    </row>
    <row r="758" ht="15.75" customHeight="1">
      <c r="A758" s="20"/>
    </row>
    <row r="759" ht="15.75" customHeight="1">
      <c r="A759" s="20"/>
    </row>
    <row r="760" ht="15.75" customHeight="1">
      <c r="A760" s="20"/>
    </row>
    <row r="761" ht="15.75" customHeight="1">
      <c r="A761" s="20"/>
    </row>
    <row r="762" ht="15.75" customHeight="1">
      <c r="A762" s="20"/>
    </row>
    <row r="763" ht="15.75" customHeight="1">
      <c r="A763" s="20"/>
    </row>
    <row r="764" ht="15.75" customHeight="1">
      <c r="A764" s="20"/>
    </row>
    <row r="765" ht="15.75" customHeight="1">
      <c r="A765" s="20"/>
    </row>
    <row r="766" ht="15.75" customHeight="1">
      <c r="A766" s="20"/>
    </row>
    <row r="767" ht="15.75" customHeight="1">
      <c r="A767" s="20"/>
    </row>
    <row r="768" ht="15.75" customHeight="1">
      <c r="A768" s="20"/>
    </row>
    <row r="769" ht="15.75" customHeight="1">
      <c r="A769" s="20"/>
    </row>
    <row r="770" ht="15.75" customHeight="1">
      <c r="A770" s="20"/>
    </row>
    <row r="771" ht="15.75" customHeight="1">
      <c r="A771" s="20"/>
    </row>
    <row r="772" ht="15.75" customHeight="1">
      <c r="A772" s="20"/>
    </row>
    <row r="773" ht="15.75" customHeight="1">
      <c r="A773" s="20"/>
    </row>
    <row r="774" ht="15.75" customHeight="1">
      <c r="A774" s="20"/>
    </row>
    <row r="775" ht="15.75" customHeight="1">
      <c r="A775" s="20"/>
    </row>
    <row r="776" ht="15.75" customHeight="1">
      <c r="A776" s="20"/>
    </row>
    <row r="777" ht="15.75" customHeight="1">
      <c r="A777" s="20"/>
    </row>
    <row r="778" ht="15.75" customHeight="1">
      <c r="A778" s="20"/>
    </row>
    <row r="779" ht="15.75" customHeight="1">
      <c r="A779" s="20"/>
    </row>
    <row r="780" ht="15.75" customHeight="1">
      <c r="A780" s="20"/>
    </row>
    <row r="781" ht="15.75" customHeight="1">
      <c r="A781" s="20"/>
    </row>
    <row r="782" ht="15.75" customHeight="1">
      <c r="A782" s="20"/>
    </row>
    <row r="783" ht="15.75" customHeight="1">
      <c r="A783" s="20"/>
    </row>
    <row r="784" ht="15.75" customHeight="1">
      <c r="A784" s="20"/>
    </row>
    <row r="785" ht="15.75" customHeight="1">
      <c r="A785" s="20"/>
    </row>
    <row r="786" ht="15.75" customHeight="1">
      <c r="A786" s="20"/>
    </row>
    <row r="787" ht="15.75" customHeight="1">
      <c r="A787" s="20"/>
    </row>
    <row r="788" ht="15.75" customHeight="1">
      <c r="A788" s="20"/>
    </row>
    <row r="789" ht="15.75" customHeight="1">
      <c r="A789" s="20"/>
    </row>
    <row r="790" ht="15.75" customHeight="1">
      <c r="A790" s="20"/>
    </row>
    <row r="791" ht="15.75" customHeight="1">
      <c r="A791" s="20"/>
    </row>
    <row r="792" ht="15.75" customHeight="1">
      <c r="A792" s="20"/>
    </row>
    <row r="793" ht="15.75" customHeight="1">
      <c r="A793" s="20"/>
    </row>
    <row r="794" ht="15.75" customHeight="1">
      <c r="A794" s="20"/>
    </row>
    <row r="795" ht="15.75" customHeight="1">
      <c r="A795" s="20"/>
    </row>
    <row r="796" ht="15.75" customHeight="1">
      <c r="A796" s="20"/>
    </row>
    <row r="797" ht="15.75" customHeight="1">
      <c r="A797" s="20"/>
    </row>
    <row r="798" ht="15.75" customHeight="1">
      <c r="A798" s="20"/>
    </row>
    <row r="799" ht="15.75" customHeight="1">
      <c r="A799" s="20"/>
    </row>
    <row r="800" ht="15.75" customHeight="1">
      <c r="A800" s="20"/>
    </row>
    <row r="801" ht="15.75" customHeight="1">
      <c r="A801" s="20"/>
    </row>
    <row r="802" ht="15.75" customHeight="1">
      <c r="A802" s="20"/>
    </row>
    <row r="803" ht="15.75" customHeight="1">
      <c r="A803" s="20"/>
    </row>
    <row r="804" ht="15.75" customHeight="1">
      <c r="A804" s="20"/>
    </row>
    <row r="805" ht="15.75" customHeight="1">
      <c r="A805" s="20"/>
    </row>
    <row r="806" ht="15.75" customHeight="1">
      <c r="A806" s="20"/>
    </row>
    <row r="807" ht="15.75" customHeight="1">
      <c r="A807" s="20"/>
    </row>
    <row r="808" ht="15.75" customHeight="1">
      <c r="A808" s="20"/>
    </row>
    <row r="809" ht="15.75" customHeight="1">
      <c r="A809" s="20"/>
    </row>
    <row r="810" ht="15.75" customHeight="1">
      <c r="A810" s="20"/>
    </row>
    <row r="811" ht="15.75" customHeight="1">
      <c r="A811" s="20"/>
    </row>
    <row r="812" ht="15.75" customHeight="1">
      <c r="A812" s="20"/>
    </row>
    <row r="813" ht="15.75" customHeight="1">
      <c r="A813" s="20"/>
    </row>
    <row r="814" ht="15.75" customHeight="1">
      <c r="A814" s="20"/>
    </row>
    <row r="815" ht="15.75" customHeight="1">
      <c r="A815" s="20"/>
    </row>
    <row r="816" ht="15.75" customHeight="1">
      <c r="A816" s="20"/>
    </row>
    <row r="817" ht="15.75" customHeight="1">
      <c r="A817" s="20"/>
    </row>
    <row r="818" ht="15.75" customHeight="1">
      <c r="A818" s="20"/>
    </row>
    <row r="819" ht="15.75" customHeight="1">
      <c r="A819" s="20"/>
    </row>
    <row r="820" ht="15.75" customHeight="1">
      <c r="A820" s="20"/>
    </row>
    <row r="821" ht="15.75" customHeight="1">
      <c r="A821" s="20"/>
    </row>
    <row r="822" ht="15.75" customHeight="1">
      <c r="A822" s="20"/>
    </row>
    <row r="823" ht="15.75" customHeight="1">
      <c r="A823" s="20"/>
    </row>
    <row r="824" ht="15.75" customHeight="1">
      <c r="A824" s="20"/>
    </row>
    <row r="825" ht="15.75" customHeight="1">
      <c r="A825" s="20"/>
    </row>
    <row r="826" ht="15.75" customHeight="1">
      <c r="A826" s="20"/>
    </row>
    <row r="827" ht="15.75" customHeight="1">
      <c r="A827" s="20"/>
    </row>
    <row r="828" ht="15.75" customHeight="1">
      <c r="A828" s="20"/>
    </row>
    <row r="829" ht="15.75" customHeight="1">
      <c r="A829" s="20"/>
    </row>
    <row r="830" ht="15.75" customHeight="1">
      <c r="A830" s="20"/>
    </row>
    <row r="831" ht="15.75" customHeight="1">
      <c r="A831" s="20"/>
    </row>
    <row r="832" ht="15.75" customHeight="1">
      <c r="A832" s="20"/>
    </row>
    <row r="833" ht="15.75" customHeight="1">
      <c r="A833" s="20"/>
    </row>
    <row r="834" ht="15.75" customHeight="1">
      <c r="A834" s="20"/>
    </row>
    <row r="835" ht="15.75" customHeight="1">
      <c r="A835" s="20"/>
    </row>
    <row r="836" ht="15.75" customHeight="1">
      <c r="A836" s="20"/>
    </row>
    <row r="837" ht="15.75" customHeight="1">
      <c r="A837" s="20"/>
    </row>
    <row r="838" ht="15.75" customHeight="1">
      <c r="A838" s="20"/>
    </row>
    <row r="839" ht="15.75" customHeight="1">
      <c r="A839" s="20"/>
    </row>
    <row r="840" ht="15.75" customHeight="1">
      <c r="A840" s="20"/>
    </row>
    <row r="841" ht="15.75" customHeight="1">
      <c r="A841" s="20"/>
    </row>
    <row r="842" ht="15.75" customHeight="1">
      <c r="A842" s="20"/>
    </row>
    <row r="843" ht="15.75" customHeight="1">
      <c r="A843" s="20"/>
    </row>
    <row r="844" ht="15.75" customHeight="1">
      <c r="A844" s="20"/>
    </row>
    <row r="845" ht="15.75" customHeight="1">
      <c r="A845" s="20"/>
    </row>
    <row r="846" ht="15.75" customHeight="1">
      <c r="A846" s="20"/>
    </row>
    <row r="847" ht="15.75" customHeight="1">
      <c r="A847" s="20"/>
    </row>
    <row r="848" ht="15.75" customHeight="1">
      <c r="A848" s="20"/>
    </row>
    <row r="849" ht="15.75" customHeight="1">
      <c r="A849" s="20"/>
    </row>
    <row r="850" ht="15.75" customHeight="1">
      <c r="A850" s="20"/>
    </row>
    <row r="851" ht="15.75" customHeight="1">
      <c r="A851" s="20"/>
    </row>
    <row r="852" ht="15.75" customHeight="1">
      <c r="A852" s="20"/>
    </row>
    <row r="853" ht="15.75" customHeight="1">
      <c r="A853" s="20"/>
    </row>
    <row r="854" ht="15.75" customHeight="1">
      <c r="A854" s="20"/>
    </row>
    <row r="855" ht="15.75" customHeight="1">
      <c r="A855" s="20"/>
    </row>
    <row r="856" ht="15.75" customHeight="1">
      <c r="A856" s="20"/>
    </row>
    <row r="857" ht="15.75" customHeight="1">
      <c r="A857" s="20"/>
    </row>
    <row r="858" ht="15.75" customHeight="1">
      <c r="A858" s="20"/>
    </row>
    <row r="859" ht="15.75" customHeight="1">
      <c r="A859" s="20"/>
    </row>
    <row r="860" ht="15.75" customHeight="1">
      <c r="A860" s="20"/>
    </row>
    <row r="861" ht="15.75" customHeight="1">
      <c r="A861" s="20"/>
    </row>
    <row r="862" ht="15.75" customHeight="1">
      <c r="A862" s="20"/>
    </row>
    <row r="863" ht="15.75" customHeight="1">
      <c r="A863" s="20"/>
    </row>
    <row r="864" ht="15.75" customHeight="1">
      <c r="A864" s="20"/>
    </row>
    <row r="865" ht="15.75" customHeight="1">
      <c r="A865" s="20"/>
    </row>
    <row r="866" ht="15.75" customHeight="1">
      <c r="A866" s="20"/>
    </row>
    <row r="867" ht="15.75" customHeight="1">
      <c r="A867" s="20"/>
    </row>
    <row r="868" ht="15.75" customHeight="1">
      <c r="A868" s="20"/>
    </row>
    <row r="869" ht="15.75" customHeight="1">
      <c r="A869" s="20"/>
    </row>
    <row r="870" ht="15.75" customHeight="1">
      <c r="A870" s="20"/>
    </row>
    <row r="871" ht="15.75" customHeight="1">
      <c r="A871" s="20"/>
    </row>
    <row r="872" ht="15.75" customHeight="1">
      <c r="A872" s="20"/>
    </row>
    <row r="873" ht="15.75" customHeight="1">
      <c r="A873" s="20"/>
    </row>
    <row r="874" ht="15.75" customHeight="1">
      <c r="A874" s="20"/>
    </row>
    <row r="875" ht="15.75" customHeight="1">
      <c r="A875" s="20"/>
    </row>
    <row r="876" ht="15.75" customHeight="1">
      <c r="A876" s="20"/>
    </row>
    <row r="877" ht="15.75" customHeight="1">
      <c r="A877" s="20"/>
    </row>
    <row r="878" ht="15.75" customHeight="1">
      <c r="A878" s="20"/>
    </row>
    <row r="879" ht="15.75" customHeight="1">
      <c r="A879" s="20"/>
    </row>
    <row r="880" ht="15.75" customHeight="1">
      <c r="A880" s="20"/>
    </row>
    <row r="881" ht="15.75" customHeight="1">
      <c r="A881" s="20"/>
    </row>
    <row r="882" ht="15.75" customHeight="1">
      <c r="A882" s="20"/>
    </row>
    <row r="883" ht="15.75" customHeight="1">
      <c r="A883" s="20"/>
    </row>
    <row r="884" ht="15.75" customHeight="1">
      <c r="A884" s="20"/>
    </row>
    <row r="885" ht="15.75" customHeight="1">
      <c r="A885" s="20"/>
    </row>
    <row r="886" ht="15.75" customHeight="1">
      <c r="A886" s="20"/>
    </row>
    <row r="887" ht="15.75" customHeight="1">
      <c r="A887" s="20"/>
    </row>
    <row r="888" ht="15.75" customHeight="1">
      <c r="A888" s="20"/>
    </row>
    <row r="889" ht="15.75" customHeight="1">
      <c r="A889" s="20"/>
    </row>
    <row r="890" ht="15.75" customHeight="1">
      <c r="A890" s="20"/>
    </row>
    <row r="891" ht="15.75" customHeight="1">
      <c r="A891" s="20"/>
    </row>
    <row r="892" ht="15.75" customHeight="1">
      <c r="A892" s="20"/>
    </row>
    <row r="893" ht="15.75" customHeight="1">
      <c r="A893" s="20"/>
    </row>
    <row r="894" ht="15.75" customHeight="1">
      <c r="A894" s="20"/>
    </row>
    <row r="895" ht="15.75" customHeight="1">
      <c r="A895" s="20"/>
    </row>
    <row r="896" ht="15.75" customHeight="1">
      <c r="A896" s="20"/>
    </row>
    <row r="897" ht="15.75" customHeight="1">
      <c r="A897" s="20"/>
    </row>
    <row r="898" ht="15.75" customHeight="1">
      <c r="A898" s="20"/>
    </row>
    <row r="899" ht="15.75" customHeight="1">
      <c r="A899" s="20"/>
    </row>
    <row r="900" ht="15.75" customHeight="1">
      <c r="A900" s="20"/>
    </row>
    <row r="901" ht="15.75" customHeight="1">
      <c r="A901" s="20"/>
    </row>
    <row r="902" ht="15.75" customHeight="1">
      <c r="A902" s="20"/>
    </row>
    <row r="903" ht="15.75" customHeight="1">
      <c r="A903" s="20"/>
    </row>
    <row r="904" ht="15.75" customHeight="1">
      <c r="A904" s="20"/>
    </row>
    <row r="905" ht="15.75" customHeight="1">
      <c r="A905" s="20"/>
    </row>
    <row r="906" ht="15.75" customHeight="1">
      <c r="A906" s="20"/>
    </row>
    <row r="907" ht="15.75" customHeight="1">
      <c r="A907" s="20"/>
    </row>
    <row r="908" ht="15.75" customHeight="1">
      <c r="A908" s="20"/>
    </row>
    <row r="909" ht="15.75" customHeight="1">
      <c r="A909" s="20"/>
    </row>
    <row r="910" ht="15.75" customHeight="1">
      <c r="A910" s="20"/>
    </row>
    <row r="911" ht="15.75" customHeight="1">
      <c r="A911" s="20"/>
    </row>
    <row r="912" ht="15.75" customHeight="1">
      <c r="A912" s="20"/>
    </row>
    <row r="913" ht="15.75" customHeight="1">
      <c r="A913" s="20"/>
    </row>
    <row r="914" ht="15.75" customHeight="1">
      <c r="A914" s="20"/>
    </row>
    <row r="915" ht="15.75" customHeight="1">
      <c r="A915" s="20"/>
    </row>
    <row r="916" ht="15.75" customHeight="1">
      <c r="A916" s="20"/>
    </row>
    <row r="917" ht="15.75" customHeight="1">
      <c r="A917" s="20"/>
    </row>
    <row r="918" ht="15.75" customHeight="1">
      <c r="A918" s="20"/>
    </row>
    <row r="919" ht="15.75" customHeight="1">
      <c r="A919" s="20"/>
    </row>
    <row r="920" ht="15.75" customHeight="1">
      <c r="A920" s="20"/>
    </row>
    <row r="921" ht="15.75" customHeight="1">
      <c r="A921" s="20"/>
    </row>
    <row r="922" ht="15.75" customHeight="1">
      <c r="A922" s="20"/>
    </row>
    <row r="923" ht="15.75" customHeight="1">
      <c r="A923" s="20"/>
    </row>
    <row r="924" ht="15.75" customHeight="1">
      <c r="A924" s="20"/>
    </row>
    <row r="925" ht="15.75" customHeight="1">
      <c r="A925" s="20"/>
    </row>
    <row r="926" ht="15.75" customHeight="1">
      <c r="A926" s="20"/>
    </row>
    <row r="927" ht="15.75" customHeight="1">
      <c r="A927" s="20"/>
    </row>
    <row r="928" ht="15.75" customHeight="1">
      <c r="A928" s="20"/>
    </row>
    <row r="929" ht="15.75" customHeight="1">
      <c r="A929" s="20"/>
    </row>
    <row r="930" ht="15.75" customHeight="1">
      <c r="A930" s="20"/>
    </row>
    <row r="931" ht="15.75" customHeight="1">
      <c r="A931" s="20"/>
    </row>
    <row r="932" ht="15.75" customHeight="1">
      <c r="A932" s="20"/>
    </row>
    <row r="933" ht="15.75" customHeight="1">
      <c r="A933" s="20"/>
    </row>
    <row r="934" ht="15.75" customHeight="1">
      <c r="A934" s="20"/>
    </row>
    <row r="935" ht="15.75" customHeight="1">
      <c r="A935" s="20"/>
    </row>
    <row r="936" ht="15.75" customHeight="1">
      <c r="A936" s="20"/>
    </row>
    <row r="937" ht="15.75" customHeight="1">
      <c r="A937" s="20"/>
    </row>
    <row r="938" ht="15.75" customHeight="1">
      <c r="A938" s="20"/>
    </row>
    <row r="939" ht="15.75" customHeight="1">
      <c r="A939" s="20"/>
    </row>
    <row r="940" ht="15.75" customHeight="1">
      <c r="A940" s="20"/>
    </row>
    <row r="941" ht="15.75" customHeight="1">
      <c r="A941" s="20"/>
    </row>
    <row r="942" ht="15.75" customHeight="1">
      <c r="A942" s="20"/>
    </row>
    <row r="943" ht="15.75" customHeight="1">
      <c r="A943" s="20"/>
    </row>
    <row r="944" ht="15.75" customHeight="1">
      <c r="A944" s="20"/>
    </row>
    <row r="945" ht="15.75" customHeight="1">
      <c r="A945" s="20"/>
    </row>
    <row r="946" ht="15.75" customHeight="1">
      <c r="A946" s="20"/>
    </row>
    <row r="947" ht="15.75" customHeight="1">
      <c r="A947" s="20"/>
    </row>
    <row r="948" ht="15.75" customHeight="1">
      <c r="A948" s="20"/>
    </row>
    <row r="949" ht="15.75" customHeight="1">
      <c r="A949" s="20"/>
    </row>
    <row r="950" ht="15.75" customHeight="1">
      <c r="A950" s="20"/>
    </row>
    <row r="951" ht="15.75" customHeight="1">
      <c r="A951" s="20"/>
    </row>
    <row r="952" ht="15.75" customHeight="1">
      <c r="A952" s="20"/>
    </row>
    <row r="953" ht="15.75" customHeight="1">
      <c r="A953" s="20"/>
    </row>
    <row r="954" ht="15.75" customHeight="1">
      <c r="A954" s="20"/>
    </row>
    <row r="955" ht="15.75" customHeight="1">
      <c r="A955" s="20"/>
    </row>
    <row r="956" ht="15.75" customHeight="1">
      <c r="A956" s="20"/>
    </row>
    <row r="957" ht="15.75" customHeight="1">
      <c r="A957" s="20"/>
    </row>
    <row r="958" ht="15.75" customHeight="1">
      <c r="A958" s="20"/>
    </row>
    <row r="959" ht="15.75" customHeight="1">
      <c r="A959" s="20"/>
    </row>
    <row r="960" ht="15.75" customHeight="1">
      <c r="A960" s="20"/>
    </row>
    <row r="961" ht="15.75" customHeight="1">
      <c r="A961" s="20"/>
    </row>
    <row r="962" ht="15.75" customHeight="1">
      <c r="A962" s="20"/>
    </row>
    <row r="963" ht="15.75" customHeight="1">
      <c r="A963" s="20"/>
    </row>
    <row r="964" ht="15.75" customHeight="1">
      <c r="A964" s="20"/>
    </row>
    <row r="965" ht="15.75" customHeight="1">
      <c r="A965" s="20"/>
    </row>
    <row r="966" ht="15.75" customHeight="1">
      <c r="A966" s="20"/>
    </row>
    <row r="967" ht="15.75" customHeight="1">
      <c r="A967" s="20"/>
    </row>
    <row r="968" ht="15.75" customHeight="1">
      <c r="A968" s="20"/>
    </row>
    <row r="969" ht="15.75" customHeight="1">
      <c r="A969" s="20"/>
    </row>
    <row r="970" ht="15.75" customHeight="1">
      <c r="A970" s="20"/>
    </row>
    <row r="971" ht="15.75" customHeight="1">
      <c r="A971" s="20"/>
    </row>
    <row r="972" ht="15.75" customHeight="1">
      <c r="A972" s="20"/>
    </row>
    <row r="973" ht="15.75" customHeight="1">
      <c r="A973" s="20"/>
    </row>
    <row r="974" ht="15.75" customHeight="1">
      <c r="A974" s="20"/>
    </row>
    <row r="975" ht="15.75" customHeight="1">
      <c r="A975" s="20"/>
    </row>
    <row r="976" ht="15.75" customHeight="1">
      <c r="A976" s="20"/>
    </row>
    <row r="977" ht="15.75" customHeight="1">
      <c r="A977" s="20"/>
    </row>
    <row r="978" ht="15.75" customHeight="1">
      <c r="A978" s="20"/>
    </row>
    <row r="979" ht="15.75" customHeight="1">
      <c r="A979" s="20"/>
    </row>
    <row r="980" ht="15.75" customHeight="1">
      <c r="A980" s="20"/>
    </row>
    <row r="981" ht="15.75" customHeight="1">
      <c r="A981" s="20"/>
    </row>
    <row r="982" ht="15.75" customHeight="1">
      <c r="A982" s="20"/>
    </row>
    <row r="983" ht="15.75" customHeight="1">
      <c r="A983" s="20"/>
    </row>
    <row r="984" ht="15.75" customHeight="1">
      <c r="A984" s="20"/>
    </row>
    <row r="985" ht="15.75" customHeight="1">
      <c r="A985" s="20"/>
    </row>
    <row r="986" ht="15.75" customHeight="1">
      <c r="A986" s="20"/>
    </row>
    <row r="987" ht="15.75" customHeight="1">
      <c r="A987" s="20"/>
    </row>
    <row r="988" ht="15.75" customHeight="1">
      <c r="A988" s="20"/>
    </row>
    <row r="989" ht="15.75" customHeight="1">
      <c r="A989" s="20"/>
    </row>
    <row r="990" ht="15.75" customHeight="1">
      <c r="A990" s="20"/>
    </row>
    <row r="991" ht="15.75" customHeight="1">
      <c r="A991" s="20"/>
    </row>
    <row r="992" ht="15.75" customHeight="1">
      <c r="A992" s="20"/>
    </row>
    <row r="993" ht="15.75" customHeight="1">
      <c r="A993" s="20"/>
    </row>
    <row r="994" ht="15.75" customHeight="1">
      <c r="A994" s="20"/>
    </row>
    <row r="995" ht="15.75" customHeight="1">
      <c r="A995" s="20"/>
    </row>
    <row r="996" ht="15.75" customHeight="1">
      <c r="A996" s="20"/>
    </row>
    <row r="997" ht="15.75" customHeight="1">
      <c r="A997" s="20"/>
    </row>
    <row r="998" ht="15.75" customHeight="1">
      <c r="A998" s="20"/>
    </row>
    <row r="999" ht="15.75" customHeight="1">
      <c r="A999" s="20"/>
    </row>
    <row r="1000" ht="15.75" customHeight="1">
      <c r="A1000" s="20"/>
    </row>
  </sheetData>
  <drawing r:id="rId1"/>
</worksheet>
</file>