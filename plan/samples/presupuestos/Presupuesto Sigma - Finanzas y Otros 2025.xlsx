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Otros" sheetId="2" r:id="rId5"/>
    <sheet state="hidden" name="Menus" sheetId="3" r:id="rId6"/>
  </sheets>
  <definedNames>
    <definedName hidden="1" localSheetId="0" name="_xlnm._FilterDatabase">Presupuesto!$A$2:$Q$394</definedName>
  </definedNames>
  <calcPr/>
</workbook>
</file>

<file path=xl/sharedStrings.xml><?xml version="1.0" encoding="utf-8"?>
<sst xmlns="http://schemas.openxmlformats.org/spreadsheetml/2006/main" count="455" uniqueCount="89">
  <si>
    <t>Presupuesto</t>
  </si>
  <si>
    <t>(06) Finanzas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</si>
  <si>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</si>
  <si>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</si>
  <si>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</si>
  <si>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</si>
  <si>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</si>
  <si>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</si>
  <si>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</si>
  <si>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</si>
  <si>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</si>
  <si>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</si>
  <si>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</si>
  <si>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</si>
  <si>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</si>
  <si>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</si>
  <si>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</si>
  <si>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</si>
  <si>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</si>
  <si>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(01) C. Polanco</t>
  </si>
  <si>
    <t>A01 Seguridad</t>
  </si>
  <si>
    <t>(02) Wepark</t>
  </si>
  <si>
    <t>(03) Lagrange</t>
  </si>
  <si>
    <t>(04) T. Prisma</t>
  </si>
  <si>
    <t>(07) Andes 120</t>
  </si>
  <si>
    <t>(08) Xochimilco</t>
  </si>
  <si>
    <t>(09) M. Pelvoux</t>
  </si>
  <si>
    <t>(10) Quadrata</t>
  </si>
  <si>
    <t>(11) Panorama</t>
  </si>
  <si>
    <t>(12) Andes 105</t>
  </si>
  <si>
    <t>(14) Bodega Sicario Chalco</t>
  </si>
  <si>
    <t>(16) Onix</t>
  </si>
  <si>
    <t>(17) Alce Blanco</t>
  </si>
  <si>
    <t>(21) Sur Oxidado</t>
  </si>
  <si>
    <t>(36) Embajada de Australia</t>
  </si>
  <si>
    <t>(24) Las Armas</t>
  </si>
  <si>
    <t>(18) Campos Eliseos</t>
  </si>
  <si>
    <t>(22) Summit</t>
  </si>
  <si>
    <t>se mete igual 2024</t>
  </si>
  <si>
    <t>(26) For Promocional</t>
  </si>
  <si>
    <t>(48) Sonda-Nuevo León</t>
  </si>
  <si>
    <t>(35) Plaza Polanco</t>
  </si>
  <si>
    <t>(40) Aliah</t>
  </si>
  <si>
    <t>(42) Palmas</t>
  </si>
  <si>
    <t>(43) Negra Modelo</t>
  </si>
  <si>
    <t>A02 Monitoreo</t>
  </si>
  <si>
    <t xml:space="preserve">monitoreo </t>
  </si>
  <si>
    <t>(47) IB-Group</t>
  </si>
  <si>
    <t>(51) Revlon</t>
  </si>
  <si>
    <t>(53) Aliah-Chapultepec</t>
  </si>
  <si>
    <t>(28) Embajada de Canadá</t>
  </si>
  <si>
    <t xml:space="preserve">(29) VFS Arquimedes </t>
  </si>
  <si>
    <t>(50) Ampliequipos</t>
  </si>
  <si>
    <t>queda igual que el 2024</t>
  </si>
  <si>
    <t>(46) Green Tower</t>
  </si>
  <si>
    <t>(00) Administración</t>
  </si>
  <si>
    <t>B11 Telefonía</t>
  </si>
  <si>
    <t xml:space="preserve">telmex oficina y cabos </t>
  </si>
  <si>
    <t>B27 Publicidad</t>
  </si>
  <si>
    <t>dmx y cuidado</t>
  </si>
  <si>
    <t>B13 Honorarios</t>
  </si>
  <si>
    <t>avendaño incremento 6%</t>
  </si>
  <si>
    <t xml:space="preserve">sin incremento - Zavala </t>
  </si>
  <si>
    <t>sin incremento - Gleeson</t>
  </si>
  <si>
    <t>B29 Varios</t>
  </si>
  <si>
    <t>orientacion medica incremento 6%</t>
  </si>
  <si>
    <t>B21 Equipo de operación</t>
  </si>
  <si>
    <t>plataforma Faceit incremento 6%</t>
  </si>
  <si>
    <t>B07 Comisiones Bancarias</t>
  </si>
  <si>
    <t>telcel</t>
  </si>
  <si>
    <t xml:space="preserve">equipo telefonico </t>
  </si>
  <si>
    <t xml:space="preserve">gasolina </t>
  </si>
  <si>
    <t>B18 Depreciación</t>
  </si>
  <si>
    <t>B31 No deducibles</t>
  </si>
  <si>
    <t xml:space="preserve">transporte para traslados </t>
  </si>
  <si>
    <t xml:space="preserve">varios </t>
  </si>
  <si>
    <t xml:space="preserve">regalos loyal </t>
  </si>
  <si>
    <t>host loyal</t>
  </si>
  <si>
    <t>B20 Asesoría y gestoría</t>
  </si>
  <si>
    <t>marcial icremento 6%</t>
  </si>
  <si>
    <t>trackforce  tc $20</t>
  </si>
  <si>
    <t>B01 Nomina</t>
  </si>
  <si>
    <t>asimilados Gabriel y Rafael</t>
  </si>
  <si>
    <t>Otros</t>
  </si>
  <si>
    <t>C01 Otros ingresos</t>
  </si>
  <si>
    <t>D02 Comisiones</t>
  </si>
  <si>
    <t>intec 5%</t>
  </si>
  <si>
    <t xml:space="preserve">leon </t>
  </si>
  <si>
    <t>D04 Comisiones Rafa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</si>
</sst>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0" fontId="2" numFmtId="0" xfId="0" applyBorder="1" applyFont="1"/>
    <xf borderId="0" fillId="0" fontId="3" numFmtId="164" xfId="0" applyAlignment="1" applyFont="1" applyNumberFormat="1">
      <alignment horizontal="right" vertical="bottom"/>
    </xf>
    <xf borderId="2" fillId="0" fontId="3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1" fillId="0" fontId="5" numFmtId="164" xfId="0" applyAlignment="1" applyBorder="1" applyFont="1" applyNumberFormat="1">
      <alignment readingOrder="0"/>
    </xf>
    <xf borderId="0" fillId="0" fontId="6" numFmtId="164" xfId="0" applyAlignment="1" applyFont="1" applyNumberFormat="1">
      <alignment horizontal="right" readingOrder="0" vertical="bottom"/>
    </xf>
    <xf borderId="2" fillId="0" fontId="6" numFmtId="164" xfId="0" applyAlignment="1" applyBorder="1" applyFont="1" applyNumberFormat="1">
      <alignment horizontal="right" vertical="bottom"/>
    </xf>
    <xf borderId="0" fillId="0" fontId="6" numFmtId="164" xfId="0" applyAlignment="1" applyFont="1" applyNumberFormat="1">
      <alignment readingOrder="0" vertical="bottom"/>
    </xf>
    <xf borderId="1" fillId="2" fontId="5" numFmtId="164" xfId="0" applyAlignment="1" applyBorder="1" applyFill="1" applyFont="1" applyNumberFormat="1">
      <alignment readingOrder="0"/>
    </xf>
    <xf borderId="1" fillId="0" fontId="5" numFmtId="164" xfId="0" applyBorder="1" applyFont="1" applyNumberFormat="1"/>
    <xf borderId="0" fillId="0" fontId="6" numFmtId="164" xfId="0" applyAlignment="1" applyFont="1" applyNumberFormat="1">
      <alignment vertical="bottom"/>
    </xf>
    <xf borderId="0" fillId="0" fontId="5" numFmtId="0" xfId="0" applyFont="1"/>
    <xf borderId="0" fillId="0" fontId="4" numFmtId="0" xfId="0" applyAlignment="1" applyFont="1">
      <alignment readingOrder="0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1.38"/>
    <col customWidth="1" min="2" max="2" width="26.25"/>
    <col customWidth="1" min="3" max="3" width="16.13"/>
    <col customWidth="1" min="4" max="4" width="26.25"/>
    <col customWidth="1" min="5" max="16" width="10.25"/>
    <col customWidth="1" min="17" max="17" width="11.63"/>
  </cols>
  <sheetData>
    <row r="1">
      <c r="B1" s="1" t="s">
        <v>0</v>
      </c>
      <c r="C1" s="2" t="s">
        <v>1</v>
      </c>
      <c r="D1" s="3"/>
      <c r="E1" s="4">
        <f>IFERROR(__xludf.DUMMYFUNCTION("SUM(FILTER(E3:E394, $C$3:$C394&lt;&gt;""Seguridad""))
"),3977349.800000004)</f>
        <v>3977349.8</v>
      </c>
      <c r="F1" s="4">
        <f>IFERROR(__xludf.DUMMYFUNCTION("SUM(FILTER(F3:F394, $C$3:$C394&lt;&gt;""Seguridad""))
"),3984743.130000004)</f>
        <v>3984743.13</v>
      </c>
      <c r="G1" s="4">
        <f>IFERROR(__xludf.DUMMYFUNCTION("SUM(FILTER(G3:G394, $C$3:$C394&lt;&gt;""Seguridad""))
"),3978543.130000004)</f>
        <v>3978543.13</v>
      </c>
      <c r="H1" s="4">
        <f>IFERROR(__xludf.DUMMYFUNCTION("SUM(FILTER(H3:H394, $C$3:$C394&lt;&gt;""Seguridad""))
"),3984743.130000004)</f>
        <v>3984743.13</v>
      </c>
      <c r="I1" s="4">
        <f>IFERROR(__xludf.DUMMYFUNCTION("SUM(FILTER(I3:I394, $C$3:$C394&lt;&gt;""Seguridad""))
"),3978543.130000004)</f>
        <v>3978543.13</v>
      </c>
      <c r="J1" s="4">
        <f>IFERROR(__xludf.DUMMYFUNCTION("SUM(FILTER(J3:J394, $C$3:$C394&lt;&gt;""Seguridad""))
"),4046743.130000004)</f>
        <v>4046743.13</v>
      </c>
      <c r="K1" s="4">
        <f>IFERROR(__xludf.DUMMYFUNCTION("SUM(FILTER(K3:K394, $C$3:$C394&lt;&gt;""Seguridad""))
"),3978543.130000004)</f>
        <v>3978543.13</v>
      </c>
      <c r="L1" s="4">
        <f>IFERROR(__xludf.DUMMYFUNCTION("SUM(FILTER(L3:L394, $C$3:$C394&lt;&gt;""Seguridad""))
"),3984743.130000004)</f>
        <v>3984743.13</v>
      </c>
      <c r="M1" s="4">
        <f>IFERROR(__xludf.DUMMYFUNCTION("SUM(FILTER(M3:M394, $C$3:$C394&lt;&gt;""Seguridad""))
"),3978543.130000004)</f>
        <v>3978543.13</v>
      </c>
      <c r="N1" s="4">
        <f>IFERROR(__xludf.DUMMYFUNCTION("SUM(FILTER(N3:N394, $C$3:$C394&lt;&gt;""Seguridad""))
"),3984743.130000004)</f>
        <v>3984743.13</v>
      </c>
      <c r="O1" s="4">
        <f>IFERROR(__xludf.DUMMYFUNCTION("SUM(FILTER(O3:O394, $C$3:$C394&lt;&gt;""Seguridad""))
"),3978543.130000004)</f>
        <v>3978543.13</v>
      </c>
      <c r="P1" s="4">
        <f>IFERROR(__xludf.DUMMYFUNCTION("SUM(FILTER(P3:P394, $C$3:$C394&lt;&gt;""Seguridad""))
"),3984743.130000004)</f>
        <v>3984743.13</v>
      </c>
      <c r="Q1" s="5">
        <f>IFERROR(__xludf.DUMMYFUNCTION("SUM(FILTER(Q3:Q394, $C$3:$C394&lt;&gt;""Seguridad""))
"),4.784052422999994E7)</f>
        <v>47840524.23</v>
      </c>
    </row>
    <row r="2">
      <c r="A2" s="6" t="s">
        <v>2</v>
      </c>
      <c r="B2" s="6" t="s">
        <v>3</v>
      </c>
      <c r="C2" s="6" t="s">
        <v>4</v>
      </c>
      <c r="D2" s="7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9" t="s">
        <v>18</v>
      </c>
    </row>
    <row r="3">
      <c r="A3" s="10" t="str">
        <f t="shared" ref="A3:A394" si="1">$C$1</f>
        <v>(06) Finanzas</v>
      </c>
      <c r="B3" s="10" t="s">
        <v>19</v>
      </c>
      <c r="C3" s="10" t="s">
        <v>20</v>
      </c>
      <c r="D3" s="11"/>
      <c r="E3" s="12">
        <v>314500.0</v>
      </c>
      <c r="F3" s="12">
        <v>314500.0</v>
      </c>
      <c r="G3" s="12">
        <v>314500.0</v>
      </c>
      <c r="H3" s="12">
        <v>314500.0</v>
      </c>
      <c r="I3" s="12">
        <v>314500.0</v>
      </c>
      <c r="J3" s="12">
        <v>314500.0</v>
      </c>
      <c r="K3" s="12">
        <v>314500.0</v>
      </c>
      <c r="L3" s="12">
        <v>314500.0</v>
      </c>
      <c r="M3" s="12">
        <v>314500.0</v>
      </c>
      <c r="N3" s="12">
        <v>314500.0</v>
      </c>
      <c r="O3" s="12">
        <v>314500.0</v>
      </c>
      <c r="P3" s="12">
        <v>314500.0</v>
      </c>
      <c r="Q3" s="13">
        <f t="shared" ref="Q3:Q394" si="2">SUM(E3:P3)</f>
        <v>3774000</v>
      </c>
    </row>
    <row r="4">
      <c r="A4" s="10" t="str">
        <f t="shared" si="1"/>
        <v>(06) Finanzas</v>
      </c>
      <c r="B4" s="10" t="s">
        <v>21</v>
      </c>
      <c r="C4" s="10" t="s">
        <v>20</v>
      </c>
      <c r="D4" s="11"/>
      <c r="E4" s="12">
        <v>105500.0</v>
      </c>
      <c r="F4" s="12">
        <v>105500.0</v>
      </c>
      <c r="G4" s="12">
        <v>105500.0</v>
      </c>
      <c r="H4" s="12">
        <v>105500.0</v>
      </c>
      <c r="I4" s="12">
        <v>105500.0</v>
      </c>
      <c r="J4" s="12">
        <v>105500.0</v>
      </c>
      <c r="K4" s="12">
        <v>105500.0</v>
      </c>
      <c r="L4" s="12">
        <v>105500.0</v>
      </c>
      <c r="M4" s="12">
        <v>105500.0</v>
      </c>
      <c r="N4" s="12">
        <v>105500.0</v>
      </c>
      <c r="O4" s="12">
        <v>105500.0</v>
      </c>
      <c r="P4" s="12">
        <v>105500.0</v>
      </c>
      <c r="Q4" s="13">
        <f t="shared" si="2"/>
        <v>1266000</v>
      </c>
    </row>
    <row r="5">
      <c r="A5" s="10" t="str">
        <f t="shared" si="1"/>
        <v>(06) Finanzas</v>
      </c>
      <c r="B5" s="10" t="s">
        <v>22</v>
      </c>
      <c r="C5" s="10" t="s">
        <v>20</v>
      </c>
      <c r="D5" s="11"/>
      <c r="E5" s="12">
        <v>279000.0</v>
      </c>
      <c r="F5" s="12">
        <v>279000.0</v>
      </c>
      <c r="G5" s="12">
        <v>279000.0</v>
      </c>
      <c r="H5" s="12">
        <v>279000.0</v>
      </c>
      <c r="I5" s="12">
        <v>279000.0</v>
      </c>
      <c r="J5" s="12">
        <v>279000.0</v>
      </c>
      <c r="K5" s="12">
        <v>279000.0</v>
      </c>
      <c r="L5" s="12">
        <v>279000.0</v>
      </c>
      <c r="M5" s="12">
        <v>279000.0</v>
      </c>
      <c r="N5" s="12">
        <v>279000.0</v>
      </c>
      <c r="O5" s="12">
        <v>279000.0</v>
      </c>
      <c r="P5" s="12">
        <v>279000.0</v>
      </c>
      <c r="Q5" s="13">
        <f t="shared" si="2"/>
        <v>3348000</v>
      </c>
    </row>
    <row r="6">
      <c r="A6" s="10" t="str">
        <f t="shared" si="1"/>
        <v>(06) Finanzas</v>
      </c>
      <c r="B6" s="10" t="s">
        <v>23</v>
      </c>
      <c r="C6" s="10" t="s">
        <v>20</v>
      </c>
      <c r="D6" s="11"/>
      <c r="E6" s="14">
        <v>475750.0</v>
      </c>
      <c r="F6" s="14">
        <v>475750.0</v>
      </c>
      <c r="G6" s="14">
        <v>475750.0</v>
      </c>
      <c r="H6" s="14">
        <v>475750.0</v>
      </c>
      <c r="I6" s="14">
        <v>475750.0</v>
      </c>
      <c r="J6" s="14">
        <v>475750.0</v>
      </c>
      <c r="K6" s="14">
        <v>475750.0</v>
      </c>
      <c r="L6" s="14">
        <v>475750.0</v>
      </c>
      <c r="M6" s="14">
        <v>475750.0</v>
      </c>
      <c r="N6" s="14">
        <v>475750.0</v>
      </c>
      <c r="O6" s="14">
        <v>475750.0</v>
      </c>
      <c r="P6" s="14">
        <v>475750.0</v>
      </c>
      <c r="Q6" s="13">
        <f t="shared" si="2"/>
        <v>5709000</v>
      </c>
    </row>
    <row r="7">
      <c r="A7" s="10" t="str">
        <f t="shared" si="1"/>
        <v>(06) Finanzas</v>
      </c>
      <c r="B7" s="10" t="s">
        <v>24</v>
      </c>
      <c r="C7" s="10" t="s">
        <v>20</v>
      </c>
      <c r="D7" s="11"/>
      <c r="E7" s="14">
        <v>78250.0</v>
      </c>
      <c r="F7" s="14">
        <v>78250.0</v>
      </c>
      <c r="G7" s="14">
        <v>78250.0</v>
      </c>
      <c r="H7" s="14">
        <v>78250.0</v>
      </c>
      <c r="I7" s="14">
        <v>78250.0</v>
      </c>
      <c r="J7" s="14">
        <v>78250.0</v>
      </c>
      <c r="K7" s="14">
        <v>78250.0</v>
      </c>
      <c r="L7" s="14">
        <v>78250.0</v>
      </c>
      <c r="M7" s="14">
        <v>78250.0</v>
      </c>
      <c r="N7" s="14">
        <v>78250.0</v>
      </c>
      <c r="O7" s="14">
        <v>78250.0</v>
      </c>
      <c r="P7" s="14">
        <v>78250.0</v>
      </c>
      <c r="Q7" s="13">
        <f t="shared" si="2"/>
        <v>939000</v>
      </c>
    </row>
    <row r="8">
      <c r="A8" s="10" t="str">
        <f t="shared" si="1"/>
        <v>(06) Finanzas</v>
      </c>
      <c r="B8" s="10" t="s">
        <v>25</v>
      </c>
      <c r="C8" s="10" t="s">
        <v>20</v>
      </c>
      <c r="D8" s="11"/>
      <c r="E8" s="14">
        <v>24000.0</v>
      </c>
      <c r="F8" s="14">
        <v>24000.0</v>
      </c>
      <c r="G8" s="14">
        <v>24000.0</v>
      </c>
      <c r="H8" s="14">
        <v>24000.0</v>
      </c>
      <c r="I8" s="14">
        <v>24000.0</v>
      </c>
      <c r="J8" s="14">
        <v>24000.0</v>
      </c>
      <c r="K8" s="14">
        <v>24000.0</v>
      </c>
      <c r="L8" s="14">
        <v>24000.0</v>
      </c>
      <c r="M8" s="14">
        <v>24000.0</v>
      </c>
      <c r="N8" s="14">
        <v>24000.0</v>
      </c>
      <c r="O8" s="14">
        <v>24000.0</v>
      </c>
      <c r="P8" s="14">
        <v>24000.0</v>
      </c>
      <c r="Q8" s="13">
        <f t="shared" si="2"/>
        <v>288000</v>
      </c>
    </row>
    <row r="9">
      <c r="A9" s="10" t="str">
        <f t="shared" si="1"/>
        <v>(06) Finanzas</v>
      </c>
      <c r="B9" s="10" t="s">
        <v>26</v>
      </c>
      <c r="C9" s="10" t="s">
        <v>20</v>
      </c>
      <c r="D9" s="11"/>
      <c r="E9" s="14">
        <v>97750.0</v>
      </c>
      <c r="F9" s="14">
        <v>97750.0</v>
      </c>
      <c r="G9" s="14">
        <v>97750.0</v>
      </c>
      <c r="H9" s="14">
        <v>97750.0</v>
      </c>
      <c r="I9" s="14">
        <v>97750.0</v>
      </c>
      <c r="J9" s="14">
        <v>97750.0</v>
      </c>
      <c r="K9" s="14">
        <v>97750.0</v>
      </c>
      <c r="L9" s="14">
        <v>97750.0</v>
      </c>
      <c r="M9" s="14">
        <v>97750.0</v>
      </c>
      <c r="N9" s="14">
        <v>97750.0</v>
      </c>
      <c r="O9" s="14">
        <v>97750.0</v>
      </c>
      <c r="P9" s="14">
        <v>97750.0</v>
      </c>
      <c r="Q9" s="13">
        <f t="shared" si="2"/>
        <v>1173000</v>
      </c>
    </row>
    <row r="10">
      <c r="A10" s="10" t="str">
        <f t="shared" si="1"/>
        <v>(06) Finanzas</v>
      </c>
      <c r="B10" s="10" t="s">
        <v>27</v>
      </c>
      <c r="C10" s="10" t="s">
        <v>20</v>
      </c>
      <c r="D10" s="11"/>
      <c r="E10" s="14">
        <v>78500.0</v>
      </c>
      <c r="F10" s="14">
        <v>78500.0</v>
      </c>
      <c r="G10" s="14">
        <v>78500.0</v>
      </c>
      <c r="H10" s="14">
        <v>78500.0</v>
      </c>
      <c r="I10" s="14">
        <v>78500.0</v>
      </c>
      <c r="J10" s="14">
        <v>78500.0</v>
      </c>
      <c r="K10" s="14">
        <v>78500.0</v>
      </c>
      <c r="L10" s="14">
        <v>78500.0</v>
      </c>
      <c r="M10" s="14">
        <v>78500.0</v>
      </c>
      <c r="N10" s="14">
        <v>78500.0</v>
      </c>
      <c r="O10" s="14">
        <v>78500.0</v>
      </c>
      <c r="P10" s="14">
        <v>78500.0</v>
      </c>
      <c r="Q10" s="13">
        <f t="shared" si="2"/>
        <v>942000</v>
      </c>
    </row>
    <row r="11">
      <c r="A11" s="10" t="str">
        <f t="shared" si="1"/>
        <v>(06) Finanzas</v>
      </c>
      <c r="B11" s="10" t="s">
        <v>28</v>
      </c>
      <c r="C11" s="10" t="s">
        <v>20</v>
      </c>
      <c r="D11" s="11"/>
      <c r="E11" s="14">
        <v>55750.0</v>
      </c>
      <c r="F11" s="14">
        <v>55750.0</v>
      </c>
      <c r="G11" s="14">
        <v>55750.0</v>
      </c>
      <c r="H11" s="14">
        <v>55750.0</v>
      </c>
      <c r="I11" s="14">
        <v>55750.0</v>
      </c>
      <c r="J11" s="14">
        <v>55750.0</v>
      </c>
      <c r="K11" s="14">
        <v>55750.0</v>
      </c>
      <c r="L11" s="14">
        <v>55750.0</v>
      </c>
      <c r="M11" s="14">
        <v>55750.0</v>
      </c>
      <c r="N11" s="14">
        <v>55750.0</v>
      </c>
      <c r="O11" s="14">
        <v>55750.0</v>
      </c>
      <c r="P11" s="14">
        <v>55750.0</v>
      </c>
      <c r="Q11" s="13">
        <f t="shared" si="2"/>
        <v>669000</v>
      </c>
    </row>
    <row r="12">
      <c r="A12" s="10" t="str">
        <f t="shared" si="1"/>
        <v>(06) Finanzas</v>
      </c>
      <c r="B12" s="10" t="s">
        <v>29</v>
      </c>
      <c r="C12" s="10" t="s">
        <v>20</v>
      </c>
      <c r="D12" s="11"/>
      <c r="E12" s="14">
        <v>56250.0</v>
      </c>
      <c r="F12" s="14">
        <v>56250.0</v>
      </c>
      <c r="G12" s="14">
        <v>56250.0</v>
      </c>
      <c r="H12" s="14">
        <v>56250.0</v>
      </c>
      <c r="I12" s="14">
        <v>56250.0</v>
      </c>
      <c r="J12" s="14">
        <v>56250.0</v>
      </c>
      <c r="K12" s="14">
        <v>56250.0</v>
      </c>
      <c r="L12" s="14">
        <v>56250.0</v>
      </c>
      <c r="M12" s="14">
        <v>56250.0</v>
      </c>
      <c r="N12" s="14">
        <v>56250.0</v>
      </c>
      <c r="O12" s="14">
        <v>56250.0</v>
      </c>
      <c r="P12" s="14">
        <v>56250.0</v>
      </c>
      <c r="Q12" s="13">
        <f t="shared" si="2"/>
        <v>675000</v>
      </c>
    </row>
    <row r="13">
      <c r="A13" s="10" t="str">
        <f t="shared" si="1"/>
        <v>(06) Finanzas</v>
      </c>
      <c r="B13" s="10" t="s">
        <v>30</v>
      </c>
      <c r="C13" s="10" t="s">
        <v>20</v>
      </c>
      <c r="D13" s="11"/>
      <c r="E13" s="14">
        <v>38000.0</v>
      </c>
      <c r="F13" s="14">
        <v>38000.0</v>
      </c>
      <c r="G13" s="14">
        <v>38000.0</v>
      </c>
      <c r="H13" s="14">
        <v>38000.0</v>
      </c>
      <c r="I13" s="14">
        <v>38000.0</v>
      </c>
      <c r="J13" s="14">
        <v>38000.0</v>
      </c>
      <c r="K13" s="14">
        <v>38000.0</v>
      </c>
      <c r="L13" s="14">
        <v>38000.0</v>
      </c>
      <c r="M13" s="14">
        <v>38000.0</v>
      </c>
      <c r="N13" s="14">
        <v>38000.0</v>
      </c>
      <c r="O13" s="14">
        <v>38000.0</v>
      </c>
      <c r="P13" s="14">
        <v>38000.0</v>
      </c>
      <c r="Q13" s="13">
        <f t="shared" si="2"/>
        <v>456000</v>
      </c>
    </row>
    <row r="14">
      <c r="A14" s="10" t="str">
        <f t="shared" si="1"/>
        <v>(06) Finanzas</v>
      </c>
      <c r="B14" s="10" t="s">
        <v>31</v>
      </c>
      <c r="C14" s="10" t="s">
        <v>20</v>
      </c>
      <c r="D14" s="11"/>
      <c r="E14" s="14">
        <v>100500.0</v>
      </c>
      <c r="F14" s="14">
        <v>100500.0</v>
      </c>
      <c r="G14" s="14">
        <v>100500.0</v>
      </c>
      <c r="H14" s="14">
        <v>100500.0</v>
      </c>
      <c r="I14" s="14">
        <v>100500.0</v>
      </c>
      <c r="J14" s="14">
        <v>100500.0</v>
      </c>
      <c r="K14" s="14">
        <v>100500.0</v>
      </c>
      <c r="L14" s="14">
        <v>100500.0</v>
      </c>
      <c r="M14" s="14">
        <v>100500.0</v>
      </c>
      <c r="N14" s="14">
        <v>100500.0</v>
      </c>
      <c r="O14" s="14">
        <v>100500.0</v>
      </c>
      <c r="P14" s="14">
        <v>100500.0</v>
      </c>
      <c r="Q14" s="13">
        <f t="shared" si="2"/>
        <v>1206000</v>
      </c>
    </row>
    <row r="15">
      <c r="A15" s="10" t="str">
        <f t="shared" si="1"/>
        <v>(06) Finanzas</v>
      </c>
      <c r="B15" s="10" t="s">
        <v>32</v>
      </c>
      <c r="C15" s="10" t="s">
        <v>20</v>
      </c>
      <c r="D15" s="11"/>
      <c r="E15" s="14">
        <v>38000.0</v>
      </c>
      <c r="F15" s="14">
        <v>38000.0</v>
      </c>
      <c r="G15" s="14">
        <v>38000.0</v>
      </c>
      <c r="H15" s="14">
        <v>38000.0</v>
      </c>
      <c r="I15" s="14">
        <v>38000.0</v>
      </c>
      <c r="J15" s="14">
        <v>38000.0</v>
      </c>
      <c r="K15" s="14">
        <v>38000.0</v>
      </c>
      <c r="L15" s="14">
        <v>38000.0</v>
      </c>
      <c r="M15" s="14">
        <v>38000.0</v>
      </c>
      <c r="N15" s="14">
        <v>38000.0</v>
      </c>
      <c r="O15" s="14">
        <v>38000.0</v>
      </c>
      <c r="P15" s="14">
        <v>38000.0</v>
      </c>
      <c r="Q15" s="13">
        <f t="shared" si="2"/>
        <v>456000</v>
      </c>
    </row>
    <row r="16">
      <c r="A16" s="10" t="str">
        <f t="shared" si="1"/>
        <v>(06) Finanzas</v>
      </c>
      <c r="B16" s="10" t="s">
        <v>33</v>
      </c>
      <c r="C16" s="10" t="s">
        <v>20</v>
      </c>
      <c r="D16" s="11"/>
      <c r="E16" s="14">
        <v>84500.0</v>
      </c>
      <c r="F16" s="14">
        <v>84500.0</v>
      </c>
      <c r="G16" s="14">
        <v>84500.0</v>
      </c>
      <c r="H16" s="14">
        <v>84500.0</v>
      </c>
      <c r="I16" s="14">
        <v>84500.0</v>
      </c>
      <c r="J16" s="14">
        <v>84500.0</v>
      </c>
      <c r="K16" s="14">
        <v>84500.0</v>
      </c>
      <c r="L16" s="14">
        <v>84500.0</v>
      </c>
      <c r="M16" s="14">
        <v>84500.0</v>
      </c>
      <c r="N16" s="14">
        <v>84500.0</v>
      </c>
      <c r="O16" s="14">
        <v>84500.0</v>
      </c>
      <c r="P16" s="14">
        <v>84500.0</v>
      </c>
      <c r="Q16" s="13">
        <f t="shared" si="2"/>
        <v>1014000</v>
      </c>
    </row>
    <row r="17">
      <c r="A17" s="10" t="str">
        <f t="shared" si="1"/>
        <v>(06) Finanzas</v>
      </c>
      <c r="B17" s="10" t="s">
        <v>34</v>
      </c>
      <c r="C17" s="10" t="s">
        <v>20</v>
      </c>
      <c r="D17" s="11"/>
      <c r="E17" s="14">
        <v>19500.0</v>
      </c>
      <c r="F17" s="14">
        <v>19500.0</v>
      </c>
      <c r="G17" s="14">
        <v>19500.0</v>
      </c>
      <c r="H17" s="14">
        <v>19500.0</v>
      </c>
      <c r="I17" s="14">
        <v>19500.0</v>
      </c>
      <c r="J17" s="14">
        <v>19500.0</v>
      </c>
      <c r="K17" s="14">
        <v>19500.0</v>
      </c>
      <c r="L17" s="14">
        <v>19500.0</v>
      </c>
      <c r="M17" s="14">
        <v>19500.0</v>
      </c>
      <c r="N17" s="14">
        <v>19500.0</v>
      </c>
      <c r="O17" s="14">
        <v>19500.0</v>
      </c>
      <c r="P17" s="14">
        <v>19500.0</v>
      </c>
      <c r="Q17" s="13">
        <f t="shared" si="2"/>
        <v>234000</v>
      </c>
    </row>
    <row r="18">
      <c r="A18" s="10" t="str">
        <f t="shared" si="1"/>
        <v>(06) Finanzas</v>
      </c>
      <c r="B18" s="10" t="s">
        <v>35</v>
      </c>
      <c r="C18" s="10" t="s">
        <v>20</v>
      </c>
      <c r="D18" s="11"/>
      <c r="E18" s="14">
        <v>55750.0</v>
      </c>
      <c r="F18" s="14">
        <v>55750.0</v>
      </c>
      <c r="G18" s="14">
        <v>55750.0</v>
      </c>
      <c r="H18" s="14">
        <v>55750.0</v>
      </c>
      <c r="I18" s="14">
        <v>55750.0</v>
      </c>
      <c r="J18" s="14">
        <v>55750.0</v>
      </c>
      <c r="K18" s="14">
        <v>55750.0</v>
      </c>
      <c r="L18" s="14">
        <v>55750.0</v>
      </c>
      <c r="M18" s="14">
        <v>55750.0</v>
      </c>
      <c r="N18" s="14">
        <v>55750.0</v>
      </c>
      <c r="O18" s="14">
        <v>55750.0</v>
      </c>
      <c r="P18" s="14">
        <v>55750.0</v>
      </c>
      <c r="Q18" s="13">
        <f t="shared" si="2"/>
        <v>669000</v>
      </c>
    </row>
    <row r="19">
      <c r="A19" s="10" t="str">
        <f t="shared" si="1"/>
        <v>(06) Finanzas</v>
      </c>
      <c r="B19" s="10" t="s">
        <v>36</v>
      </c>
      <c r="C19" s="10" t="s">
        <v>20</v>
      </c>
      <c r="D19" s="11"/>
      <c r="E19" s="14">
        <v>18500.0</v>
      </c>
      <c r="F19" s="14">
        <v>18500.0</v>
      </c>
      <c r="G19" s="14">
        <v>18500.0</v>
      </c>
      <c r="H19" s="14">
        <v>18500.0</v>
      </c>
      <c r="I19" s="14">
        <v>18500.0</v>
      </c>
      <c r="J19" s="14">
        <v>18500.0</v>
      </c>
      <c r="K19" s="14">
        <v>18500.0</v>
      </c>
      <c r="L19" s="14">
        <v>18500.0</v>
      </c>
      <c r="M19" s="14">
        <v>18500.0</v>
      </c>
      <c r="N19" s="14">
        <v>18500.0</v>
      </c>
      <c r="O19" s="14">
        <v>18500.0</v>
      </c>
      <c r="P19" s="14">
        <v>18500.0</v>
      </c>
      <c r="Q19" s="13">
        <f t="shared" si="2"/>
        <v>222000</v>
      </c>
    </row>
    <row r="20">
      <c r="A20" s="10" t="str">
        <f t="shared" si="1"/>
        <v>(06) Finanzas</v>
      </c>
      <c r="B20" s="10" t="s">
        <v>37</v>
      </c>
      <c r="C20" s="10" t="s">
        <v>20</v>
      </c>
      <c r="D20" s="15" t="s">
        <v>38</v>
      </c>
      <c r="E20" s="14">
        <v>230000.0</v>
      </c>
      <c r="F20" s="14">
        <v>230000.0</v>
      </c>
      <c r="G20" s="14">
        <v>230000.0</v>
      </c>
      <c r="H20" s="14">
        <v>230000.0</v>
      </c>
      <c r="I20" s="14">
        <v>230000.0</v>
      </c>
      <c r="J20" s="14">
        <v>230000.0</v>
      </c>
      <c r="K20" s="14">
        <v>230000.0</v>
      </c>
      <c r="L20" s="14">
        <v>230000.0</v>
      </c>
      <c r="M20" s="14">
        <v>230000.0</v>
      </c>
      <c r="N20" s="14">
        <v>230000.0</v>
      </c>
      <c r="O20" s="14">
        <v>230000.0</v>
      </c>
      <c r="P20" s="14">
        <v>230000.0</v>
      </c>
      <c r="Q20" s="13">
        <f t="shared" si="2"/>
        <v>2760000</v>
      </c>
    </row>
    <row r="21">
      <c r="A21" s="10" t="str">
        <f t="shared" si="1"/>
        <v>(06) Finanzas</v>
      </c>
      <c r="B21" s="10" t="s">
        <v>39</v>
      </c>
      <c r="C21" s="10" t="s">
        <v>20</v>
      </c>
      <c r="D21" s="11"/>
      <c r="E21" s="14">
        <v>58000.0</v>
      </c>
      <c r="F21" s="14">
        <v>58000.0</v>
      </c>
      <c r="G21" s="14">
        <v>58000.0</v>
      </c>
      <c r="H21" s="14">
        <v>58000.0</v>
      </c>
      <c r="I21" s="14">
        <v>58000.0</v>
      </c>
      <c r="J21" s="14">
        <v>58000.0</v>
      </c>
      <c r="K21" s="14">
        <v>58000.0</v>
      </c>
      <c r="L21" s="14">
        <v>58000.0</v>
      </c>
      <c r="M21" s="14">
        <v>58000.0</v>
      </c>
      <c r="N21" s="14">
        <v>58000.0</v>
      </c>
      <c r="O21" s="14">
        <v>58000.0</v>
      </c>
      <c r="P21" s="14">
        <v>58000.0</v>
      </c>
      <c r="Q21" s="13">
        <f t="shared" si="2"/>
        <v>696000</v>
      </c>
    </row>
    <row r="22">
      <c r="A22" s="10" t="str">
        <f t="shared" si="1"/>
        <v>(06) Finanzas</v>
      </c>
      <c r="B22" s="10" t="s">
        <v>40</v>
      </c>
      <c r="C22" s="10" t="s">
        <v>20</v>
      </c>
      <c r="D22" s="11"/>
      <c r="E22" s="14">
        <v>57500.0</v>
      </c>
      <c r="F22" s="14">
        <v>57500.0</v>
      </c>
      <c r="G22" s="14">
        <v>57500.0</v>
      </c>
      <c r="H22" s="14">
        <v>57500.0</v>
      </c>
      <c r="I22" s="14">
        <v>57500.0</v>
      </c>
      <c r="J22" s="14">
        <v>57500.0</v>
      </c>
      <c r="K22" s="14">
        <v>57500.0</v>
      </c>
      <c r="L22" s="14">
        <v>57500.0</v>
      </c>
      <c r="M22" s="14">
        <v>57500.0</v>
      </c>
      <c r="N22" s="14">
        <v>57500.0</v>
      </c>
      <c r="O22" s="14">
        <v>57500.0</v>
      </c>
      <c r="P22" s="14">
        <v>57500.0</v>
      </c>
      <c r="Q22" s="13">
        <f t="shared" si="2"/>
        <v>690000</v>
      </c>
    </row>
    <row r="23">
      <c r="A23" s="10" t="str">
        <f t="shared" si="1"/>
        <v>(06) Finanzas</v>
      </c>
      <c r="B23" s="10" t="s">
        <v>41</v>
      </c>
      <c r="C23" s="10" t="s">
        <v>20</v>
      </c>
      <c r="D23" s="11"/>
      <c r="E23" s="14">
        <v>195250.0</v>
      </c>
      <c r="F23" s="14">
        <v>195250.0</v>
      </c>
      <c r="G23" s="14">
        <v>195250.0</v>
      </c>
      <c r="H23" s="14">
        <v>195250.0</v>
      </c>
      <c r="I23" s="14">
        <v>195250.0</v>
      </c>
      <c r="J23" s="14">
        <v>195250.0</v>
      </c>
      <c r="K23" s="14">
        <v>195250.0</v>
      </c>
      <c r="L23" s="14">
        <v>195250.0</v>
      </c>
      <c r="M23" s="14">
        <v>195250.0</v>
      </c>
      <c r="N23" s="14">
        <v>195250.0</v>
      </c>
      <c r="O23" s="14">
        <v>195250.0</v>
      </c>
      <c r="P23" s="14">
        <v>195250.0</v>
      </c>
      <c r="Q23" s="13">
        <f t="shared" si="2"/>
        <v>2343000</v>
      </c>
    </row>
    <row r="24">
      <c r="A24" s="10" t="str">
        <f t="shared" si="1"/>
        <v>(06) Finanzas</v>
      </c>
      <c r="B24" s="10" t="s">
        <v>42</v>
      </c>
      <c r="C24" s="10" t="s">
        <v>20</v>
      </c>
      <c r="D24" s="11"/>
      <c r="E24" s="14">
        <v>97500.0</v>
      </c>
      <c r="F24" s="14">
        <v>97500.0</v>
      </c>
      <c r="G24" s="14">
        <v>97500.0</v>
      </c>
      <c r="H24" s="14">
        <v>97500.0</v>
      </c>
      <c r="I24" s="14">
        <v>97500.0</v>
      </c>
      <c r="J24" s="14">
        <v>97500.0</v>
      </c>
      <c r="K24" s="14">
        <v>97500.0</v>
      </c>
      <c r="L24" s="14">
        <v>97500.0</v>
      </c>
      <c r="M24" s="14">
        <v>97500.0</v>
      </c>
      <c r="N24" s="14">
        <v>97500.0</v>
      </c>
      <c r="O24" s="14">
        <v>97500.0</v>
      </c>
      <c r="P24" s="14">
        <v>97500.0</v>
      </c>
      <c r="Q24" s="13">
        <f t="shared" si="2"/>
        <v>1170000</v>
      </c>
    </row>
    <row r="25">
      <c r="A25" s="10" t="str">
        <f t="shared" si="1"/>
        <v>(06) Finanzas</v>
      </c>
      <c r="B25" s="10" t="s">
        <v>43</v>
      </c>
      <c r="C25" s="10" t="s">
        <v>20</v>
      </c>
      <c r="D25" s="11"/>
      <c r="E25" s="14">
        <v>62500.0</v>
      </c>
      <c r="F25" s="14">
        <v>62500.0</v>
      </c>
      <c r="G25" s="14">
        <v>62500.0</v>
      </c>
      <c r="H25" s="14">
        <v>62500.0</v>
      </c>
      <c r="I25" s="14">
        <v>62500.0</v>
      </c>
      <c r="J25" s="14">
        <v>62500.0</v>
      </c>
      <c r="K25" s="14">
        <v>62500.0</v>
      </c>
      <c r="L25" s="14">
        <v>62500.0</v>
      </c>
      <c r="M25" s="14">
        <v>62500.0</v>
      </c>
      <c r="N25" s="14">
        <v>62500.0</v>
      </c>
      <c r="O25" s="14">
        <v>62500.0</v>
      </c>
      <c r="P25" s="14">
        <v>62500.0</v>
      </c>
      <c r="Q25" s="13">
        <f t="shared" si="2"/>
        <v>750000</v>
      </c>
    </row>
    <row r="26">
      <c r="A26" s="10" t="str">
        <f t="shared" si="1"/>
        <v>(06) Finanzas</v>
      </c>
      <c r="B26" s="10" t="s">
        <v>44</v>
      </c>
      <c r="C26" s="10" t="s">
        <v>20</v>
      </c>
      <c r="D26" s="11"/>
      <c r="E26" s="14">
        <v>56000.0</v>
      </c>
      <c r="F26" s="14">
        <v>56000.0</v>
      </c>
      <c r="G26" s="14">
        <v>56000.0</v>
      </c>
      <c r="H26" s="14">
        <v>56000.0</v>
      </c>
      <c r="I26" s="14">
        <v>56000.0</v>
      </c>
      <c r="J26" s="14">
        <v>56000.0</v>
      </c>
      <c r="K26" s="14">
        <v>56000.0</v>
      </c>
      <c r="L26" s="14">
        <v>56000.0</v>
      </c>
      <c r="M26" s="14">
        <v>56000.0</v>
      </c>
      <c r="N26" s="14">
        <v>56000.0</v>
      </c>
      <c r="O26" s="14">
        <v>56000.0</v>
      </c>
      <c r="P26" s="14">
        <v>56000.0</v>
      </c>
      <c r="Q26" s="13">
        <f t="shared" si="2"/>
        <v>672000</v>
      </c>
    </row>
    <row r="27">
      <c r="A27" s="10" t="str">
        <f t="shared" si="1"/>
        <v>(06) Finanzas</v>
      </c>
      <c r="B27" s="10" t="s">
        <v>44</v>
      </c>
      <c r="C27" s="10" t="s">
        <v>45</v>
      </c>
      <c r="D27" s="11" t="s">
        <v>46</v>
      </c>
      <c r="E27" s="14">
        <v>21600.0</v>
      </c>
      <c r="F27" s="14">
        <v>21600.0</v>
      </c>
      <c r="G27" s="14">
        <v>21600.0</v>
      </c>
      <c r="H27" s="14">
        <v>21600.0</v>
      </c>
      <c r="I27" s="14">
        <v>21600.0</v>
      </c>
      <c r="J27" s="14">
        <v>21600.0</v>
      </c>
      <c r="K27" s="14">
        <v>21600.0</v>
      </c>
      <c r="L27" s="14">
        <v>21600.0</v>
      </c>
      <c r="M27" s="14">
        <v>21600.0</v>
      </c>
      <c r="N27" s="14">
        <v>21600.0</v>
      </c>
      <c r="O27" s="14">
        <v>21600.0</v>
      </c>
      <c r="P27" s="14">
        <v>21600.0</v>
      </c>
      <c r="Q27" s="13">
        <f t="shared" si="2"/>
        <v>259200</v>
      </c>
    </row>
    <row r="28">
      <c r="A28" s="10" t="str">
        <f t="shared" si="1"/>
        <v>(06) Finanzas</v>
      </c>
      <c r="B28" s="10" t="s">
        <v>47</v>
      </c>
      <c r="C28" s="10" t="s">
        <v>20</v>
      </c>
      <c r="D28" s="11"/>
      <c r="E28" s="14">
        <v>100500.0</v>
      </c>
      <c r="F28" s="14">
        <v>100500.0</v>
      </c>
      <c r="G28" s="14">
        <v>100500.0</v>
      </c>
      <c r="H28" s="14">
        <v>100500.0</v>
      </c>
      <c r="I28" s="14">
        <v>100500.0</v>
      </c>
      <c r="J28" s="14">
        <v>100500.0</v>
      </c>
      <c r="K28" s="14">
        <v>100500.0</v>
      </c>
      <c r="L28" s="14">
        <v>100500.0</v>
      </c>
      <c r="M28" s="14">
        <v>100500.0</v>
      </c>
      <c r="N28" s="14">
        <v>100500.0</v>
      </c>
      <c r="O28" s="14">
        <v>100500.0</v>
      </c>
      <c r="P28" s="14">
        <v>100500.0</v>
      </c>
      <c r="Q28" s="13">
        <f t="shared" si="2"/>
        <v>1206000</v>
      </c>
    </row>
    <row r="29">
      <c r="A29" s="10" t="str">
        <f t="shared" si="1"/>
        <v>(06) Finanzas</v>
      </c>
      <c r="B29" s="10" t="s">
        <v>48</v>
      </c>
      <c r="C29" s="10" t="s">
        <v>20</v>
      </c>
      <c r="D29" s="11"/>
      <c r="E29" s="14">
        <v>20000.0</v>
      </c>
      <c r="F29" s="14">
        <v>20000.0</v>
      </c>
      <c r="G29" s="14">
        <v>20000.0</v>
      </c>
      <c r="H29" s="14">
        <v>20000.0</v>
      </c>
      <c r="I29" s="14">
        <v>20000.0</v>
      </c>
      <c r="J29" s="14">
        <v>20000.0</v>
      </c>
      <c r="K29" s="14">
        <v>20000.0</v>
      </c>
      <c r="L29" s="14">
        <v>20000.0</v>
      </c>
      <c r="M29" s="14">
        <v>20000.0</v>
      </c>
      <c r="N29" s="14">
        <v>20000.0</v>
      </c>
      <c r="O29" s="14">
        <v>20000.0</v>
      </c>
      <c r="P29" s="14">
        <v>20000.0</v>
      </c>
      <c r="Q29" s="13">
        <f t="shared" si="2"/>
        <v>240000</v>
      </c>
    </row>
    <row r="30">
      <c r="A30" s="10" t="str">
        <f t="shared" si="1"/>
        <v>(06) Finanzas</v>
      </c>
      <c r="B30" s="10" t="s">
        <v>49</v>
      </c>
      <c r="C30" s="10" t="s">
        <v>20</v>
      </c>
      <c r="D30" s="11"/>
      <c r="E30" s="14">
        <v>38000.0</v>
      </c>
      <c r="F30" s="14">
        <v>38000.0</v>
      </c>
      <c r="G30" s="14">
        <v>38000.0</v>
      </c>
      <c r="H30" s="14">
        <v>38000.0</v>
      </c>
      <c r="I30" s="14">
        <v>38000.0</v>
      </c>
      <c r="J30" s="14">
        <v>38000.0</v>
      </c>
      <c r="K30" s="14">
        <v>38000.0</v>
      </c>
      <c r="L30" s="14">
        <v>38000.0</v>
      </c>
      <c r="M30" s="14">
        <v>38000.0</v>
      </c>
      <c r="N30" s="14">
        <v>38000.0</v>
      </c>
      <c r="O30" s="14">
        <v>38000.0</v>
      </c>
      <c r="P30" s="14">
        <v>38000.0</v>
      </c>
      <c r="Q30" s="13">
        <f t="shared" si="2"/>
        <v>456000</v>
      </c>
    </row>
    <row r="31">
      <c r="A31" s="10" t="str">
        <f t="shared" si="1"/>
        <v>(06) Finanzas</v>
      </c>
      <c r="B31" s="10" t="s">
        <v>50</v>
      </c>
      <c r="C31" s="10" t="s">
        <v>20</v>
      </c>
      <c r="D31" s="11"/>
      <c r="E31" s="14">
        <v>61500.0</v>
      </c>
      <c r="F31" s="14">
        <v>61500.0</v>
      </c>
      <c r="G31" s="14">
        <v>61500.0</v>
      </c>
      <c r="H31" s="14">
        <v>61500.0</v>
      </c>
      <c r="I31" s="14">
        <v>61500.0</v>
      </c>
      <c r="J31" s="14">
        <v>61500.0</v>
      </c>
      <c r="K31" s="14">
        <v>61500.0</v>
      </c>
      <c r="L31" s="14">
        <v>61500.0</v>
      </c>
      <c r="M31" s="14">
        <v>61500.0</v>
      </c>
      <c r="N31" s="14">
        <v>61500.0</v>
      </c>
      <c r="O31" s="14">
        <v>61500.0</v>
      </c>
      <c r="P31" s="14">
        <v>61500.0</v>
      </c>
      <c r="Q31" s="13">
        <f t="shared" si="2"/>
        <v>738000</v>
      </c>
    </row>
    <row r="32">
      <c r="A32" s="10" t="str">
        <f t="shared" si="1"/>
        <v>(06) Finanzas</v>
      </c>
      <c r="B32" s="10" t="s">
        <v>51</v>
      </c>
      <c r="C32" s="10" t="s">
        <v>20</v>
      </c>
      <c r="D32" s="11"/>
      <c r="E32" s="14">
        <v>18700.0</v>
      </c>
      <c r="F32" s="14">
        <v>18700.0</v>
      </c>
      <c r="G32" s="14">
        <v>18700.0</v>
      </c>
      <c r="H32" s="14">
        <v>18700.0</v>
      </c>
      <c r="I32" s="14">
        <v>18700.0</v>
      </c>
      <c r="J32" s="14">
        <v>18700.0</v>
      </c>
      <c r="K32" s="14">
        <v>18700.0</v>
      </c>
      <c r="L32" s="14">
        <v>18700.0</v>
      </c>
      <c r="M32" s="14">
        <v>18700.0</v>
      </c>
      <c r="N32" s="14">
        <v>18700.0</v>
      </c>
      <c r="O32" s="14">
        <v>18700.0</v>
      </c>
      <c r="P32" s="14">
        <v>18700.0</v>
      </c>
      <c r="Q32" s="13">
        <f t="shared" si="2"/>
        <v>224400</v>
      </c>
    </row>
    <row r="33">
      <c r="A33" s="10" t="str">
        <f t="shared" si="1"/>
        <v>(06) Finanzas</v>
      </c>
      <c r="B33" s="10" t="s">
        <v>52</v>
      </c>
      <c r="C33" s="10" t="s">
        <v>20</v>
      </c>
      <c r="D33" s="11" t="s">
        <v>53</v>
      </c>
      <c r="E33" s="14">
        <v>18500.0</v>
      </c>
      <c r="F33" s="14">
        <v>18500.0</v>
      </c>
      <c r="G33" s="14">
        <v>18500.0</v>
      </c>
      <c r="H33" s="14">
        <v>18500.0</v>
      </c>
      <c r="I33" s="14">
        <v>18500.0</v>
      </c>
      <c r="J33" s="14">
        <v>18500.0</v>
      </c>
      <c r="K33" s="14">
        <v>18500.0</v>
      </c>
      <c r="L33" s="14">
        <v>18500.0</v>
      </c>
      <c r="M33" s="14">
        <v>18500.0</v>
      </c>
      <c r="N33" s="14">
        <v>18500.0</v>
      </c>
      <c r="O33" s="14">
        <v>18500.0</v>
      </c>
      <c r="P33" s="14">
        <v>18500.0</v>
      </c>
      <c r="Q33" s="13">
        <f t="shared" si="2"/>
        <v>222000</v>
      </c>
    </row>
    <row r="34">
      <c r="A34" s="10" t="str">
        <f t="shared" si="1"/>
        <v>(06) Finanzas</v>
      </c>
      <c r="B34" s="10" t="s">
        <v>54</v>
      </c>
      <c r="C34" s="10" t="s">
        <v>20</v>
      </c>
      <c r="D34" s="16"/>
      <c r="E34" s="14">
        <v>232000.0</v>
      </c>
      <c r="F34" s="14">
        <v>232000.0</v>
      </c>
      <c r="G34" s="14">
        <v>232000.0</v>
      </c>
      <c r="H34" s="14">
        <v>232000.0</v>
      </c>
      <c r="I34" s="14">
        <v>232000.0</v>
      </c>
      <c r="J34" s="14">
        <v>232000.0</v>
      </c>
      <c r="K34" s="14">
        <v>232000.0</v>
      </c>
      <c r="L34" s="14">
        <v>232000.0</v>
      </c>
      <c r="M34" s="14">
        <v>232000.0</v>
      </c>
      <c r="N34" s="14">
        <v>232000.0</v>
      </c>
      <c r="O34" s="14">
        <v>232000.0</v>
      </c>
      <c r="P34" s="14">
        <v>232000.0</v>
      </c>
      <c r="Q34" s="13">
        <f t="shared" si="2"/>
        <v>2784000</v>
      </c>
    </row>
    <row r="35">
      <c r="A35" s="10" t="str">
        <f t="shared" si="1"/>
        <v>(06) Finanzas</v>
      </c>
      <c r="B35" s="10" t="s">
        <v>55</v>
      </c>
      <c r="C35" s="10" t="s">
        <v>56</v>
      </c>
      <c r="D35" s="11" t="s">
        <v>57</v>
      </c>
      <c r="E35" s="14">
        <v>687.94</v>
      </c>
      <c r="F35" s="14">
        <v>687.94</v>
      </c>
      <c r="G35" s="14">
        <v>687.94</v>
      </c>
      <c r="H35" s="14">
        <v>687.94</v>
      </c>
      <c r="I35" s="14">
        <v>687.94</v>
      </c>
      <c r="J35" s="14">
        <v>687.94</v>
      </c>
      <c r="K35" s="14">
        <v>687.94</v>
      </c>
      <c r="L35" s="14">
        <v>687.94</v>
      </c>
      <c r="M35" s="14">
        <v>687.94</v>
      </c>
      <c r="N35" s="14">
        <v>687.94</v>
      </c>
      <c r="O35" s="14">
        <v>687.94</v>
      </c>
      <c r="P35" s="14">
        <v>687.94</v>
      </c>
      <c r="Q35" s="13">
        <f t="shared" si="2"/>
        <v>8255.28</v>
      </c>
    </row>
    <row r="36">
      <c r="A36" s="10" t="str">
        <f t="shared" si="1"/>
        <v>(06) Finanzas</v>
      </c>
      <c r="B36" s="10" t="s">
        <v>55</v>
      </c>
      <c r="C36" s="10" t="s">
        <v>58</v>
      </c>
      <c r="D36" s="15" t="s">
        <v>59</v>
      </c>
      <c r="E36" s="14">
        <v>500000.0</v>
      </c>
      <c r="F36" s="14">
        <v>500000.0</v>
      </c>
      <c r="G36" s="14">
        <v>500000.0</v>
      </c>
      <c r="H36" s="14">
        <v>500000.0</v>
      </c>
      <c r="I36" s="14">
        <v>500000.0</v>
      </c>
      <c r="J36" s="14">
        <v>500000.0</v>
      </c>
      <c r="K36" s="14">
        <v>500000.0</v>
      </c>
      <c r="L36" s="14">
        <v>500000.0</v>
      </c>
      <c r="M36" s="14">
        <v>500000.0</v>
      </c>
      <c r="N36" s="14">
        <v>500000.0</v>
      </c>
      <c r="O36" s="14">
        <v>500000.0</v>
      </c>
      <c r="P36" s="14">
        <v>500000.0</v>
      </c>
      <c r="Q36" s="13">
        <f t="shared" si="2"/>
        <v>6000000</v>
      </c>
    </row>
    <row r="37">
      <c r="A37" s="10" t="str">
        <f t="shared" si="1"/>
        <v>(06) Finanzas</v>
      </c>
      <c r="B37" s="10" t="s">
        <v>55</v>
      </c>
      <c r="C37" s="10" t="s">
        <v>60</v>
      </c>
      <c r="D37" s="11" t="s">
        <v>61</v>
      </c>
      <c r="E37" s="14">
        <v>19888.79</v>
      </c>
      <c r="F37" s="14">
        <v>21082.12</v>
      </c>
      <c r="G37" s="14">
        <v>21082.12</v>
      </c>
      <c r="H37" s="14">
        <v>21082.12</v>
      </c>
      <c r="I37" s="14">
        <v>21082.12</v>
      </c>
      <c r="J37" s="14">
        <v>21082.12</v>
      </c>
      <c r="K37" s="14">
        <v>21082.12</v>
      </c>
      <c r="L37" s="14">
        <v>21082.12</v>
      </c>
      <c r="M37" s="14">
        <v>21082.12</v>
      </c>
      <c r="N37" s="14">
        <v>21082.12</v>
      </c>
      <c r="O37" s="14">
        <v>21082.12</v>
      </c>
      <c r="P37" s="14">
        <v>21082.12</v>
      </c>
      <c r="Q37" s="13">
        <f t="shared" si="2"/>
        <v>251792.11</v>
      </c>
    </row>
    <row r="38">
      <c r="A38" s="10" t="str">
        <f t="shared" si="1"/>
        <v>(06) Finanzas</v>
      </c>
      <c r="B38" s="10" t="s">
        <v>55</v>
      </c>
      <c r="C38" s="10" t="s">
        <v>60</v>
      </c>
      <c r="D38" s="11" t="s">
        <v>62</v>
      </c>
      <c r="E38" s="14">
        <v>12587.41</v>
      </c>
      <c r="F38" s="14">
        <v>12587.41</v>
      </c>
      <c r="G38" s="14">
        <v>12587.41</v>
      </c>
      <c r="H38" s="14">
        <v>12587.41</v>
      </c>
      <c r="I38" s="14">
        <v>12587.41</v>
      </c>
      <c r="J38" s="14">
        <v>12587.41</v>
      </c>
      <c r="K38" s="14">
        <v>12587.41</v>
      </c>
      <c r="L38" s="14">
        <v>12587.41</v>
      </c>
      <c r="M38" s="14">
        <v>12587.41</v>
      </c>
      <c r="N38" s="14">
        <v>12587.41</v>
      </c>
      <c r="O38" s="14">
        <v>12587.41</v>
      </c>
      <c r="P38" s="14">
        <v>12587.41</v>
      </c>
      <c r="Q38" s="13">
        <f t="shared" si="2"/>
        <v>151048.92</v>
      </c>
    </row>
    <row r="39">
      <c r="A39" s="10" t="str">
        <f t="shared" si="1"/>
        <v>(06) Finanzas</v>
      </c>
      <c r="B39" s="10" t="s">
        <v>55</v>
      </c>
      <c r="C39" s="10" t="s">
        <v>60</v>
      </c>
      <c r="D39" s="11" t="s">
        <v>63</v>
      </c>
      <c r="E39" s="14">
        <v>11485.84</v>
      </c>
      <c r="F39" s="14">
        <v>11485.84</v>
      </c>
      <c r="G39" s="14">
        <v>11485.84</v>
      </c>
      <c r="H39" s="14">
        <v>11485.84</v>
      </c>
      <c r="I39" s="14">
        <v>11485.84</v>
      </c>
      <c r="J39" s="14">
        <v>11485.84</v>
      </c>
      <c r="K39" s="14">
        <v>11485.84</v>
      </c>
      <c r="L39" s="14">
        <v>11485.84</v>
      </c>
      <c r="M39" s="14">
        <v>11485.84</v>
      </c>
      <c r="N39" s="14">
        <v>11485.84</v>
      </c>
      <c r="O39" s="14">
        <v>11485.84</v>
      </c>
      <c r="P39" s="14">
        <v>11485.84</v>
      </c>
      <c r="Q39" s="13">
        <f t="shared" si="2"/>
        <v>137830.08</v>
      </c>
    </row>
    <row r="40">
      <c r="A40" s="10" t="str">
        <f t="shared" si="1"/>
        <v>(06) Finanzas</v>
      </c>
      <c r="B40" s="10" t="s">
        <v>55</v>
      </c>
      <c r="C40" s="10" t="s">
        <v>64</v>
      </c>
      <c r="D40" s="11" t="s">
        <v>65</v>
      </c>
      <c r="E40" s="14">
        <v>5300.0</v>
      </c>
      <c r="F40" s="14">
        <v>5300.0</v>
      </c>
      <c r="G40" s="14">
        <v>5300.0</v>
      </c>
      <c r="H40" s="14">
        <v>5300.0</v>
      </c>
      <c r="I40" s="14">
        <v>5300.0</v>
      </c>
      <c r="J40" s="14">
        <v>5300.0</v>
      </c>
      <c r="K40" s="14">
        <v>5300.0</v>
      </c>
      <c r="L40" s="14">
        <v>5300.0</v>
      </c>
      <c r="M40" s="14">
        <v>5300.0</v>
      </c>
      <c r="N40" s="14">
        <v>5300.0</v>
      </c>
      <c r="O40" s="14">
        <v>5300.0</v>
      </c>
      <c r="P40" s="14">
        <v>5300.0</v>
      </c>
      <c r="Q40" s="13">
        <f t="shared" si="2"/>
        <v>63600</v>
      </c>
    </row>
    <row r="41">
      <c r="A41" s="10" t="str">
        <f t="shared" si="1"/>
        <v>(06) Finanzas</v>
      </c>
      <c r="B41" s="10" t="s">
        <v>55</v>
      </c>
      <c r="C41" s="10" t="s">
        <v>66</v>
      </c>
      <c r="D41" s="11" t="s">
        <v>67</v>
      </c>
      <c r="E41" s="14">
        <v>19504.0</v>
      </c>
      <c r="F41" s="14">
        <v>19504.0</v>
      </c>
      <c r="G41" s="14">
        <v>19504.0</v>
      </c>
      <c r="H41" s="14">
        <v>19504.0</v>
      </c>
      <c r="I41" s="14">
        <v>19504.0</v>
      </c>
      <c r="J41" s="14">
        <v>19504.0</v>
      </c>
      <c r="K41" s="14">
        <v>19504.0</v>
      </c>
      <c r="L41" s="14">
        <v>19504.0</v>
      </c>
      <c r="M41" s="14">
        <v>19504.0</v>
      </c>
      <c r="N41" s="14">
        <v>19504.0</v>
      </c>
      <c r="O41" s="14">
        <v>19504.0</v>
      </c>
      <c r="P41" s="14">
        <v>19504.0</v>
      </c>
      <c r="Q41" s="13">
        <f t="shared" si="2"/>
        <v>234048</v>
      </c>
    </row>
    <row r="42">
      <c r="A42" s="10" t="str">
        <f t="shared" si="1"/>
        <v>(06) Finanzas</v>
      </c>
      <c r="B42" s="10" t="s">
        <v>55</v>
      </c>
      <c r="C42" s="10" t="s">
        <v>68</v>
      </c>
      <c r="D42" s="11"/>
      <c r="E42" s="14">
        <v>2200.0</v>
      </c>
      <c r="F42" s="14">
        <v>2200.0</v>
      </c>
      <c r="G42" s="14">
        <v>2200.0</v>
      </c>
      <c r="H42" s="14">
        <v>2200.0</v>
      </c>
      <c r="I42" s="14">
        <v>2200.0</v>
      </c>
      <c r="J42" s="14">
        <v>2200.0</v>
      </c>
      <c r="K42" s="14">
        <v>2200.0</v>
      </c>
      <c r="L42" s="14">
        <v>2200.0</v>
      </c>
      <c r="M42" s="14">
        <v>2200.0</v>
      </c>
      <c r="N42" s="14">
        <v>2200.0</v>
      </c>
      <c r="O42" s="14">
        <v>2200.0</v>
      </c>
      <c r="P42" s="14">
        <v>2200.0</v>
      </c>
      <c r="Q42" s="13">
        <f t="shared" si="2"/>
        <v>26400</v>
      </c>
    </row>
    <row r="43">
      <c r="A43" s="10" t="str">
        <f t="shared" si="1"/>
        <v>(06) Finanzas</v>
      </c>
      <c r="B43" s="10" t="s">
        <v>55</v>
      </c>
      <c r="C43" s="10" t="s">
        <v>56</v>
      </c>
      <c r="D43" s="11" t="s">
        <v>69</v>
      </c>
      <c r="E43" s="14">
        <v>3000.0</v>
      </c>
      <c r="F43" s="14">
        <v>3000.0</v>
      </c>
      <c r="G43" s="14">
        <v>3000.0</v>
      </c>
      <c r="H43" s="14">
        <v>3000.0</v>
      </c>
      <c r="I43" s="14">
        <v>3000.0</v>
      </c>
      <c r="J43" s="14">
        <v>3000.0</v>
      </c>
      <c r="K43" s="14">
        <v>3000.0</v>
      </c>
      <c r="L43" s="14">
        <v>3000.0</v>
      </c>
      <c r="M43" s="14">
        <v>3000.0</v>
      </c>
      <c r="N43" s="14">
        <v>3000.0</v>
      </c>
      <c r="O43" s="14">
        <v>3000.0</v>
      </c>
      <c r="P43" s="14">
        <v>3000.0</v>
      </c>
      <c r="Q43" s="13">
        <f t="shared" si="2"/>
        <v>36000</v>
      </c>
    </row>
    <row r="44">
      <c r="A44" s="10" t="str">
        <f t="shared" si="1"/>
        <v>(06) Finanzas</v>
      </c>
      <c r="B44" s="10" t="s">
        <v>19</v>
      </c>
      <c r="C44" s="10" t="s">
        <v>56</v>
      </c>
      <c r="D44" s="11" t="s">
        <v>69</v>
      </c>
      <c r="E44" s="14">
        <v>283.62</v>
      </c>
      <c r="F44" s="14">
        <v>283.62</v>
      </c>
      <c r="G44" s="14">
        <v>283.62</v>
      </c>
      <c r="H44" s="14">
        <v>283.62</v>
      </c>
      <c r="I44" s="14">
        <v>283.62</v>
      </c>
      <c r="J44" s="14">
        <v>283.62</v>
      </c>
      <c r="K44" s="14">
        <v>283.62</v>
      </c>
      <c r="L44" s="14">
        <v>283.62</v>
      </c>
      <c r="M44" s="14">
        <v>283.62</v>
      </c>
      <c r="N44" s="14">
        <v>283.62</v>
      </c>
      <c r="O44" s="14">
        <v>283.62</v>
      </c>
      <c r="P44" s="14">
        <v>283.62</v>
      </c>
      <c r="Q44" s="13">
        <f t="shared" si="2"/>
        <v>3403.44</v>
      </c>
    </row>
    <row r="45">
      <c r="A45" s="10" t="str">
        <f t="shared" si="1"/>
        <v>(06) Finanzas</v>
      </c>
      <c r="B45" s="10" t="s">
        <v>21</v>
      </c>
      <c r="C45" s="10" t="s">
        <v>56</v>
      </c>
      <c r="D45" s="11" t="s">
        <v>69</v>
      </c>
      <c r="E45" s="14">
        <v>283.62</v>
      </c>
      <c r="F45" s="14">
        <v>283.62</v>
      </c>
      <c r="G45" s="14">
        <v>283.62</v>
      </c>
      <c r="H45" s="14">
        <v>283.62</v>
      </c>
      <c r="I45" s="14">
        <v>283.62</v>
      </c>
      <c r="J45" s="14">
        <v>283.62</v>
      </c>
      <c r="K45" s="14">
        <v>283.62</v>
      </c>
      <c r="L45" s="14">
        <v>283.62</v>
      </c>
      <c r="M45" s="14">
        <v>283.62</v>
      </c>
      <c r="N45" s="14">
        <v>283.62</v>
      </c>
      <c r="O45" s="14">
        <v>283.62</v>
      </c>
      <c r="P45" s="14">
        <v>283.62</v>
      </c>
      <c r="Q45" s="13">
        <f t="shared" si="2"/>
        <v>3403.44</v>
      </c>
    </row>
    <row r="46">
      <c r="A46" s="10" t="str">
        <f t="shared" si="1"/>
        <v>(06) Finanzas</v>
      </c>
      <c r="B46" s="10" t="s">
        <v>40</v>
      </c>
      <c r="C46" s="10" t="s">
        <v>56</v>
      </c>
      <c r="D46" s="11" t="s">
        <v>69</v>
      </c>
      <c r="E46" s="14">
        <v>283.62</v>
      </c>
      <c r="F46" s="14">
        <v>283.62</v>
      </c>
      <c r="G46" s="14">
        <v>283.62</v>
      </c>
      <c r="H46" s="14">
        <v>283.62</v>
      </c>
      <c r="I46" s="14">
        <v>283.62</v>
      </c>
      <c r="J46" s="14">
        <v>283.62</v>
      </c>
      <c r="K46" s="14">
        <v>283.62</v>
      </c>
      <c r="L46" s="14">
        <v>283.62</v>
      </c>
      <c r="M46" s="14">
        <v>283.62</v>
      </c>
      <c r="N46" s="14">
        <v>283.62</v>
      </c>
      <c r="O46" s="14">
        <v>283.62</v>
      </c>
      <c r="P46" s="14">
        <v>283.62</v>
      </c>
      <c r="Q46" s="13">
        <f t="shared" si="2"/>
        <v>3403.44</v>
      </c>
    </row>
    <row r="47">
      <c r="A47" s="10" t="str">
        <f t="shared" si="1"/>
        <v>(06) Finanzas</v>
      </c>
      <c r="B47" s="10" t="s">
        <v>42</v>
      </c>
      <c r="C47" s="10" t="s">
        <v>56</v>
      </c>
      <c r="D47" s="11" t="s">
        <v>69</v>
      </c>
      <c r="E47" s="14">
        <v>283.62</v>
      </c>
      <c r="F47" s="14">
        <v>283.62</v>
      </c>
      <c r="G47" s="14">
        <v>283.62</v>
      </c>
      <c r="H47" s="14">
        <v>283.62</v>
      </c>
      <c r="I47" s="14">
        <v>283.62</v>
      </c>
      <c r="J47" s="14">
        <v>283.62</v>
      </c>
      <c r="K47" s="14">
        <v>283.62</v>
      </c>
      <c r="L47" s="14">
        <v>283.62</v>
      </c>
      <c r="M47" s="14">
        <v>283.62</v>
      </c>
      <c r="N47" s="14">
        <v>283.62</v>
      </c>
      <c r="O47" s="14">
        <v>283.62</v>
      </c>
      <c r="P47" s="14">
        <v>283.62</v>
      </c>
      <c r="Q47" s="13">
        <f t="shared" si="2"/>
        <v>3403.44</v>
      </c>
    </row>
    <row r="48">
      <c r="A48" s="10" t="str">
        <f t="shared" si="1"/>
        <v>(06) Finanzas</v>
      </c>
      <c r="B48" s="10" t="s">
        <v>22</v>
      </c>
      <c r="C48" s="10" t="s">
        <v>56</v>
      </c>
      <c r="D48" s="11" t="s">
        <v>69</v>
      </c>
      <c r="E48" s="14">
        <v>283.62</v>
      </c>
      <c r="F48" s="14">
        <v>283.62</v>
      </c>
      <c r="G48" s="14">
        <v>283.62</v>
      </c>
      <c r="H48" s="14">
        <v>283.62</v>
      </c>
      <c r="I48" s="14">
        <v>283.62</v>
      </c>
      <c r="J48" s="14">
        <v>283.62</v>
      </c>
      <c r="K48" s="14">
        <v>283.62</v>
      </c>
      <c r="L48" s="14">
        <v>283.62</v>
      </c>
      <c r="M48" s="14">
        <v>283.62</v>
      </c>
      <c r="N48" s="14">
        <v>283.62</v>
      </c>
      <c r="O48" s="14">
        <v>283.62</v>
      </c>
      <c r="P48" s="14">
        <v>283.62</v>
      </c>
      <c r="Q48" s="13">
        <f t="shared" si="2"/>
        <v>3403.44</v>
      </c>
    </row>
    <row r="49">
      <c r="A49" s="10" t="str">
        <f t="shared" si="1"/>
        <v>(06) Finanzas</v>
      </c>
      <c r="B49" s="10" t="s">
        <v>43</v>
      </c>
      <c r="C49" s="10" t="s">
        <v>56</v>
      </c>
      <c r="D49" s="11" t="s">
        <v>69</v>
      </c>
      <c r="E49" s="14">
        <v>283.62</v>
      </c>
      <c r="F49" s="14">
        <v>283.62</v>
      </c>
      <c r="G49" s="14">
        <v>283.62</v>
      </c>
      <c r="H49" s="14">
        <v>283.62</v>
      </c>
      <c r="I49" s="14">
        <v>283.62</v>
      </c>
      <c r="J49" s="14">
        <v>283.62</v>
      </c>
      <c r="K49" s="14">
        <v>283.62</v>
      </c>
      <c r="L49" s="14">
        <v>283.62</v>
      </c>
      <c r="M49" s="14">
        <v>283.62</v>
      </c>
      <c r="N49" s="14">
        <v>283.62</v>
      </c>
      <c r="O49" s="14">
        <v>283.62</v>
      </c>
      <c r="P49" s="14">
        <v>283.62</v>
      </c>
      <c r="Q49" s="13">
        <f t="shared" si="2"/>
        <v>3403.44</v>
      </c>
    </row>
    <row r="50">
      <c r="A50" s="10" t="str">
        <f t="shared" si="1"/>
        <v>(06) Finanzas</v>
      </c>
      <c r="B50" s="10" t="s">
        <v>23</v>
      </c>
      <c r="C50" s="10" t="s">
        <v>56</v>
      </c>
      <c r="D50" s="11" t="s">
        <v>69</v>
      </c>
      <c r="E50" s="14">
        <v>283.62</v>
      </c>
      <c r="F50" s="14">
        <v>283.62</v>
      </c>
      <c r="G50" s="14">
        <v>283.62</v>
      </c>
      <c r="H50" s="14">
        <v>283.62</v>
      </c>
      <c r="I50" s="14">
        <v>283.62</v>
      </c>
      <c r="J50" s="14">
        <v>283.62</v>
      </c>
      <c r="K50" s="14">
        <v>283.62</v>
      </c>
      <c r="L50" s="14">
        <v>283.62</v>
      </c>
      <c r="M50" s="14">
        <v>283.62</v>
      </c>
      <c r="N50" s="14">
        <v>283.62</v>
      </c>
      <c r="O50" s="14">
        <v>283.62</v>
      </c>
      <c r="P50" s="14">
        <v>283.62</v>
      </c>
      <c r="Q50" s="13">
        <f t="shared" si="2"/>
        <v>3403.44</v>
      </c>
    </row>
    <row r="51">
      <c r="A51" s="10" t="str">
        <f t="shared" si="1"/>
        <v>(06) Finanzas</v>
      </c>
      <c r="B51" s="10" t="s">
        <v>41</v>
      </c>
      <c r="C51" s="10" t="s">
        <v>56</v>
      </c>
      <c r="D51" s="11" t="s">
        <v>69</v>
      </c>
      <c r="E51" s="14">
        <v>283.62</v>
      </c>
      <c r="F51" s="14">
        <v>283.62</v>
      </c>
      <c r="G51" s="14">
        <v>283.62</v>
      </c>
      <c r="H51" s="14">
        <v>283.62</v>
      </c>
      <c r="I51" s="14">
        <v>283.62</v>
      </c>
      <c r="J51" s="14">
        <v>283.62</v>
      </c>
      <c r="K51" s="14">
        <v>283.62</v>
      </c>
      <c r="L51" s="14">
        <v>283.62</v>
      </c>
      <c r="M51" s="14">
        <v>283.62</v>
      </c>
      <c r="N51" s="14">
        <v>283.62</v>
      </c>
      <c r="O51" s="14">
        <v>283.62</v>
      </c>
      <c r="P51" s="14">
        <v>283.62</v>
      </c>
      <c r="Q51" s="13">
        <f t="shared" si="2"/>
        <v>3403.44</v>
      </c>
    </row>
    <row r="52">
      <c r="A52" s="10" t="str">
        <f t="shared" si="1"/>
        <v>(06) Finanzas</v>
      </c>
      <c r="B52" s="10" t="s">
        <v>47</v>
      </c>
      <c r="C52" s="10" t="s">
        <v>56</v>
      </c>
      <c r="D52" s="11" t="s">
        <v>69</v>
      </c>
      <c r="E52" s="14">
        <v>283.62</v>
      </c>
      <c r="F52" s="14">
        <v>283.62</v>
      </c>
      <c r="G52" s="14">
        <v>283.62</v>
      </c>
      <c r="H52" s="14">
        <v>283.62</v>
      </c>
      <c r="I52" s="14">
        <v>283.62</v>
      </c>
      <c r="J52" s="14">
        <v>283.62</v>
      </c>
      <c r="K52" s="14">
        <v>283.62</v>
      </c>
      <c r="L52" s="14">
        <v>283.62</v>
      </c>
      <c r="M52" s="14">
        <v>283.62</v>
      </c>
      <c r="N52" s="14">
        <v>283.62</v>
      </c>
      <c r="O52" s="14">
        <v>283.62</v>
      </c>
      <c r="P52" s="14">
        <v>283.62</v>
      </c>
      <c r="Q52" s="13">
        <f t="shared" si="2"/>
        <v>3403.44</v>
      </c>
    </row>
    <row r="53">
      <c r="A53" s="10" t="str">
        <f t="shared" si="1"/>
        <v>(06) Finanzas</v>
      </c>
      <c r="B53" s="10" t="s">
        <v>44</v>
      </c>
      <c r="C53" s="10" t="s">
        <v>56</v>
      </c>
      <c r="D53" s="11" t="s">
        <v>69</v>
      </c>
      <c r="E53" s="14">
        <v>283.62</v>
      </c>
      <c r="F53" s="14">
        <v>283.62</v>
      </c>
      <c r="G53" s="14">
        <v>283.62</v>
      </c>
      <c r="H53" s="14">
        <v>283.62</v>
      </c>
      <c r="I53" s="14">
        <v>283.62</v>
      </c>
      <c r="J53" s="14">
        <v>283.62</v>
      </c>
      <c r="K53" s="14">
        <v>283.62</v>
      </c>
      <c r="L53" s="14">
        <v>283.62</v>
      </c>
      <c r="M53" s="14">
        <v>283.62</v>
      </c>
      <c r="N53" s="14">
        <v>283.62</v>
      </c>
      <c r="O53" s="14">
        <v>283.62</v>
      </c>
      <c r="P53" s="14">
        <v>283.62</v>
      </c>
      <c r="Q53" s="13">
        <f t="shared" si="2"/>
        <v>3403.44</v>
      </c>
    </row>
    <row r="54">
      <c r="A54" s="10" t="str">
        <f t="shared" si="1"/>
        <v>(06) Finanzas</v>
      </c>
      <c r="B54" s="10" t="s">
        <v>48</v>
      </c>
      <c r="C54" s="10" t="s">
        <v>56</v>
      </c>
      <c r="D54" s="11" t="s">
        <v>69</v>
      </c>
      <c r="E54" s="14">
        <v>283.62</v>
      </c>
      <c r="F54" s="14">
        <v>283.62</v>
      </c>
      <c r="G54" s="14">
        <v>283.62</v>
      </c>
      <c r="H54" s="14">
        <v>283.62</v>
      </c>
      <c r="I54" s="14">
        <v>283.62</v>
      </c>
      <c r="J54" s="14">
        <v>283.62</v>
      </c>
      <c r="K54" s="14">
        <v>283.62</v>
      </c>
      <c r="L54" s="14">
        <v>283.62</v>
      </c>
      <c r="M54" s="14">
        <v>283.62</v>
      </c>
      <c r="N54" s="14">
        <v>283.62</v>
      </c>
      <c r="O54" s="14">
        <v>283.62</v>
      </c>
      <c r="P54" s="14">
        <v>283.62</v>
      </c>
      <c r="Q54" s="13">
        <f t="shared" si="2"/>
        <v>3403.44</v>
      </c>
    </row>
    <row r="55">
      <c r="A55" s="10" t="str">
        <f t="shared" si="1"/>
        <v>(06) Finanzas</v>
      </c>
      <c r="B55" s="10" t="s">
        <v>24</v>
      </c>
      <c r="C55" s="10" t="s">
        <v>56</v>
      </c>
      <c r="D55" s="11" t="s">
        <v>69</v>
      </c>
      <c r="E55" s="14">
        <v>283.62</v>
      </c>
      <c r="F55" s="14">
        <v>283.62</v>
      </c>
      <c r="G55" s="14">
        <v>283.62</v>
      </c>
      <c r="H55" s="14">
        <v>283.62</v>
      </c>
      <c r="I55" s="14">
        <v>283.62</v>
      </c>
      <c r="J55" s="14">
        <v>283.62</v>
      </c>
      <c r="K55" s="14">
        <v>283.62</v>
      </c>
      <c r="L55" s="14">
        <v>283.62</v>
      </c>
      <c r="M55" s="14">
        <v>283.62</v>
      </c>
      <c r="N55" s="14">
        <v>283.62</v>
      </c>
      <c r="O55" s="14">
        <v>283.62</v>
      </c>
      <c r="P55" s="14">
        <v>283.62</v>
      </c>
      <c r="Q55" s="13">
        <f t="shared" si="2"/>
        <v>3403.44</v>
      </c>
    </row>
    <row r="56">
      <c r="A56" s="10" t="str">
        <f t="shared" si="1"/>
        <v>(06) Finanzas</v>
      </c>
      <c r="B56" s="10" t="s">
        <v>25</v>
      </c>
      <c r="C56" s="10" t="s">
        <v>56</v>
      </c>
      <c r="D56" s="11" t="s">
        <v>69</v>
      </c>
      <c r="E56" s="14">
        <v>283.62</v>
      </c>
      <c r="F56" s="14">
        <v>283.62</v>
      </c>
      <c r="G56" s="14">
        <v>283.62</v>
      </c>
      <c r="H56" s="14">
        <v>283.62</v>
      </c>
      <c r="I56" s="14">
        <v>283.62</v>
      </c>
      <c r="J56" s="14">
        <v>283.62</v>
      </c>
      <c r="K56" s="14">
        <v>283.62</v>
      </c>
      <c r="L56" s="14">
        <v>283.62</v>
      </c>
      <c r="M56" s="14">
        <v>283.62</v>
      </c>
      <c r="N56" s="14">
        <v>283.62</v>
      </c>
      <c r="O56" s="14">
        <v>283.62</v>
      </c>
      <c r="P56" s="14">
        <v>283.62</v>
      </c>
      <c r="Q56" s="13">
        <f t="shared" si="2"/>
        <v>3403.44</v>
      </c>
    </row>
    <row r="57">
      <c r="A57" s="10" t="str">
        <f t="shared" si="1"/>
        <v>(06) Finanzas</v>
      </c>
      <c r="B57" s="10" t="s">
        <v>26</v>
      </c>
      <c r="C57" s="10" t="s">
        <v>56</v>
      </c>
      <c r="D57" s="11" t="s">
        <v>69</v>
      </c>
      <c r="E57" s="14">
        <v>567.24</v>
      </c>
      <c r="F57" s="14">
        <v>567.24</v>
      </c>
      <c r="G57" s="14">
        <v>567.24</v>
      </c>
      <c r="H57" s="14">
        <v>567.24</v>
      </c>
      <c r="I57" s="14">
        <v>567.24</v>
      </c>
      <c r="J57" s="14">
        <v>567.24</v>
      </c>
      <c r="K57" s="14">
        <v>567.24</v>
      </c>
      <c r="L57" s="14">
        <v>567.24</v>
      </c>
      <c r="M57" s="14">
        <v>567.24</v>
      </c>
      <c r="N57" s="14">
        <v>567.24</v>
      </c>
      <c r="O57" s="14">
        <v>567.24</v>
      </c>
      <c r="P57" s="14">
        <v>567.24</v>
      </c>
      <c r="Q57" s="13">
        <f t="shared" si="2"/>
        <v>6806.88</v>
      </c>
    </row>
    <row r="58">
      <c r="A58" s="10" t="str">
        <f t="shared" si="1"/>
        <v>(06) Finanzas</v>
      </c>
      <c r="B58" s="10" t="s">
        <v>27</v>
      </c>
      <c r="C58" s="10" t="s">
        <v>56</v>
      </c>
      <c r="D58" s="11" t="s">
        <v>69</v>
      </c>
      <c r="E58" s="14">
        <v>283.62</v>
      </c>
      <c r="F58" s="14">
        <v>283.62</v>
      </c>
      <c r="G58" s="14">
        <v>283.62</v>
      </c>
      <c r="H58" s="14">
        <v>283.62</v>
      </c>
      <c r="I58" s="14">
        <v>283.62</v>
      </c>
      <c r="J58" s="14">
        <v>283.62</v>
      </c>
      <c r="K58" s="14">
        <v>283.62</v>
      </c>
      <c r="L58" s="14">
        <v>283.62</v>
      </c>
      <c r="M58" s="14">
        <v>283.62</v>
      </c>
      <c r="N58" s="14">
        <v>283.62</v>
      </c>
      <c r="O58" s="14">
        <v>283.62</v>
      </c>
      <c r="P58" s="14">
        <v>283.62</v>
      </c>
      <c r="Q58" s="13">
        <f t="shared" si="2"/>
        <v>3403.44</v>
      </c>
    </row>
    <row r="59">
      <c r="A59" s="10" t="str">
        <f t="shared" si="1"/>
        <v>(06) Finanzas</v>
      </c>
      <c r="B59" s="10" t="s">
        <v>28</v>
      </c>
      <c r="C59" s="10" t="s">
        <v>56</v>
      </c>
      <c r="D59" s="11" t="s">
        <v>69</v>
      </c>
      <c r="E59" s="14">
        <v>283.62</v>
      </c>
      <c r="F59" s="14">
        <v>283.62</v>
      </c>
      <c r="G59" s="14">
        <v>283.62</v>
      </c>
      <c r="H59" s="14">
        <v>283.62</v>
      </c>
      <c r="I59" s="14">
        <v>283.62</v>
      </c>
      <c r="J59" s="14">
        <v>283.62</v>
      </c>
      <c r="K59" s="14">
        <v>283.62</v>
      </c>
      <c r="L59" s="14">
        <v>283.62</v>
      </c>
      <c r="M59" s="14">
        <v>283.62</v>
      </c>
      <c r="N59" s="14">
        <v>283.62</v>
      </c>
      <c r="O59" s="14">
        <v>283.62</v>
      </c>
      <c r="P59" s="14">
        <v>283.62</v>
      </c>
      <c r="Q59" s="13">
        <f t="shared" si="2"/>
        <v>3403.44</v>
      </c>
    </row>
    <row r="60">
      <c r="A60" s="10" t="str">
        <f t="shared" si="1"/>
        <v>(06) Finanzas</v>
      </c>
      <c r="B60" s="10" t="s">
        <v>29</v>
      </c>
      <c r="C60" s="10" t="s">
        <v>56</v>
      </c>
      <c r="D60" s="11" t="s">
        <v>69</v>
      </c>
      <c r="E60" s="14">
        <v>283.62</v>
      </c>
      <c r="F60" s="14">
        <v>283.62</v>
      </c>
      <c r="G60" s="14">
        <v>283.62</v>
      </c>
      <c r="H60" s="14">
        <v>283.62</v>
      </c>
      <c r="I60" s="14">
        <v>283.62</v>
      </c>
      <c r="J60" s="14">
        <v>283.62</v>
      </c>
      <c r="K60" s="14">
        <v>283.62</v>
      </c>
      <c r="L60" s="14">
        <v>283.62</v>
      </c>
      <c r="M60" s="14">
        <v>283.62</v>
      </c>
      <c r="N60" s="14">
        <v>283.62</v>
      </c>
      <c r="O60" s="14">
        <v>283.62</v>
      </c>
      <c r="P60" s="14">
        <v>283.62</v>
      </c>
      <c r="Q60" s="13">
        <f t="shared" si="2"/>
        <v>3403.44</v>
      </c>
    </row>
    <row r="61">
      <c r="A61" s="10" t="str">
        <f t="shared" si="1"/>
        <v>(06) Finanzas</v>
      </c>
      <c r="B61" s="10" t="s">
        <v>40</v>
      </c>
      <c r="C61" s="10" t="s">
        <v>56</v>
      </c>
      <c r="D61" s="11" t="s">
        <v>69</v>
      </c>
      <c r="E61" s="14">
        <v>283.62</v>
      </c>
      <c r="F61" s="14">
        <v>283.62</v>
      </c>
      <c r="G61" s="14">
        <v>283.62</v>
      </c>
      <c r="H61" s="14">
        <v>283.62</v>
      </c>
      <c r="I61" s="14">
        <v>283.62</v>
      </c>
      <c r="J61" s="14">
        <v>283.62</v>
      </c>
      <c r="K61" s="14">
        <v>283.62</v>
      </c>
      <c r="L61" s="14">
        <v>283.62</v>
      </c>
      <c r="M61" s="14">
        <v>283.62</v>
      </c>
      <c r="N61" s="14">
        <v>283.62</v>
      </c>
      <c r="O61" s="14">
        <v>283.62</v>
      </c>
      <c r="P61" s="14">
        <v>283.62</v>
      </c>
      <c r="Q61" s="13">
        <f t="shared" si="2"/>
        <v>3403.44</v>
      </c>
    </row>
    <row r="62">
      <c r="A62" s="10" t="str">
        <f t="shared" si="1"/>
        <v>(06) Finanzas</v>
      </c>
      <c r="B62" s="10" t="s">
        <v>49</v>
      </c>
      <c r="C62" s="10" t="s">
        <v>56</v>
      </c>
      <c r="D62" s="11" t="s">
        <v>69</v>
      </c>
      <c r="E62" s="14">
        <v>283.62</v>
      </c>
      <c r="F62" s="14">
        <v>283.62</v>
      </c>
      <c r="G62" s="14">
        <v>283.62</v>
      </c>
      <c r="H62" s="14">
        <v>283.62</v>
      </c>
      <c r="I62" s="14">
        <v>283.62</v>
      </c>
      <c r="J62" s="14">
        <v>283.62</v>
      </c>
      <c r="K62" s="14">
        <v>283.62</v>
      </c>
      <c r="L62" s="14">
        <v>283.62</v>
      </c>
      <c r="M62" s="14">
        <v>283.62</v>
      </c>
      <c r="N62" s="14">
        <v>283.62</v>
      </c>
      <c r="O62" s="14">
        <v>283.62</v>
      </c>
      <c r="P62" s="14">
        <v>283.62</v>
      </c>
      <c r="Q62" s="13">
        <f t="shared" si="2"/>
        <v>3403.44</v>
      </c>
    </row>
    <row r="63">
      <c r="A63" s="10" t="str">
        <f t="shared" si="1"/>
        <v>(06) Finanzas</v>
      </c>
      <c r="B63" s="10" t="s">
        <v>30</v>
      </c>
      <c r="C63" s="10" t="s">
        <v>56</v>
      </c>
      <c r="D63" s="11" t="s">
        <v>69</v>
      </c>
      <c r="E63" s="14">
        <v>283.62</v>
      </c>
      <c r="F63" s="14">
        <v>283.62</v>
      </c>
      <c r="G63" s="14">
        <v>283.62</v>
      </c>
      <c r="H63" s="14">
        <v>283.62</v>
      </c>
      <c r="I63" s="14">
        <v>283.62</v>
      </c>
      <c r="J63" s="14">
        <v>283.62</v>
      </c>
      <c r="K63" s="14">
        <v>283.62</v>
      </c>
      <c r="L63" s="14">
        <v>283.62</v>
      </c>
      <c r="M63" s="14">
        <v>283.62</v>
      </c>
      <c r="N63" s="14">
        <v>283.62</v>
      </c>
      <c r="O63" s="14">
        <v>283.62</v>
      </c>
      <c r="P63" s="14">
        <v>283.62</v>
      </c>
      <c r="Q63" s="13">
        <f t="shared" si="2"/>
        <v>3403.44</v>
      </c>
    </row>
    <row r="64">
      <c r="A64" s="10" t="str">
        <f t="shared" si="1"/>
        <v>(06) Finanzas</v>
      </c>
      <c r="B64" s="10" t="s">
        <v>36</v>
      </c>
      <c r="C64" s="10" t="s">
        <v>56</v>
      </c>
      <c r="D64" s="11" t="s">
        <v>69</v>
      </c>
      <c r="E64" s="14">
        <v>283.62</v>
      </c>
      <c r="F64" s="14">
        <v>283.62</v>
      </c>
      <c r="G64" s="14">
        <v>283.62</v>
      </c>
      <c r="H64" s="14">
        <v>283.62</v>
      </c>
      <c r="I64" s="14">
        <v>283.62</v>
      </c>
      <c r="J64" s="14">
        <v>283.62</v>
      </c>
      <c r="K64" s="14">
        <v>283.62</v>
      </c>
      <c r="L64" s="14">
        <v>283.62</v>
      </c>
      <c r="M64" s="14">
        <v>283.62</v>
      </c>
      <c r="N64" s="14">
        <v>283.62</v>
      </c>
      <c r="O64" s="14">
        <v>283.62</v>
      </c>
      <c r="P64" s="14">
        <v>283.62</v>
      </c>
      <c r="Q64" s="13">
        <f t="shared" si="2"/>
        <v>3403.44</v>
      </c>
    </row>
    <row r="65">
      <c r="A65" s="10" t="str">
        <f t="shared" si="1"/>
        <v>(06) Finanzas</v>
      </c>
      <c r="B65" s="10" t="s">
        <v>31</v>
      </c>
      <c r="C65" s="10" t="s">
        <v>56</v>
      </c>
      <c r="D65" s="11" t="s">
        <v>69</v>
      </c>
      <c r="E65" s="14">
        <v>283.62</v>
      </c>
      <c r="F65" s="14">
        <v>283.62</v>
      </c>
      <c r="G65" s="14">
        <v>283.62</v>
      </c>
      <c r="H65" s="14">
        <v>283.62</v>
      </c>
      <c r="I65" s="14">
        <v>283.62</v>
      </c>
      <c r="J65" s="14">
        <v>283.62</v>
      </c>
      <c r="K65" s="14">
        <v>283.62</v>
      </c>
      <c r="L65" s="14">
        <v>283.62</v>
      </c>
      <c r="M65" s="14">
        <v>283.62</v>
      </c>
      <c r="N65" s="14">
        <v>283.62</v>
      </c>
      <c r="O65" s="14">
        <v>283.62</v>
      </c>
      <c r="P65" s="14">
        <v>283.62</v>
      </c>
      <c r="Q65" s="13">
        <f t="shared" si="2"/>
        <v>3403.44</v>
      </c>
    </row>
    <row r="66">
      <c r="A66" s="10" t="str">
        <f t="shared" si="1"/>
        <v>(06) Finanzas</v>
      </c>
      <c r="B66" s="10" t="s">
        <v>32</v>
      </c>
      <c r="C66" s="10" t="s">
        <v>56</v>
      </c>
      <c r="D66" s="11" t="s">
        <v>69</v>
      </c>
      <c r="E66" s="14">
        <v>283.62</v>
      </c>
      <c r="F66" s="14">
        <v>283.62</v>
      </c>
      <c r="G66" s="14">
        <v>283.62</v>
      </c>
      <c r="H66" s="14">
        <v>283.62</v>
      </c>
      <c r="I66" s="14">
        <v>283.62</v>
      </c>
      <c r="J66" s="14">
        <v>283.62</v>
      </c>
      <c r="K66" s="14">
        <v>283.62</v>
      </c>
      <c r="L66" s="14">
        <v>283.62</v>
      </c>
      <c r="M66" s="14">
        <v>283.62</v>
      </c>
      <c r="N66" s="14">
        <v>283.62</v>
      </c>
      <c r="O66" s="14">
        <v>283.62</v>
      </c>
      <c r="P66" s="14">
        <v>283.62</v>
      </c>
      <c r="Q66" s="13">
        <f t="shared" si="2"/>
        <v>3403.44</v>
      </c>
    </row>
    <row r="67">
      <c r="A67" s="10" t="str">
        <f t="shared" si="1"/>
        <v>(06) Finanzas</v>
      </c>
      <c r="B67" s="10" t="s">
        <v>34</v>
      </c>
      <c r="C67" s="10" t="s">
        <v>56</v>
      </c>
      <c r="D67" s="11" t="s">
        <v>69</v>
      </c>
      <c r="E67" s="14">
        <v>283.62</v>
      </c>
      <c r="F67" s="14">
        <v>283.62</v>
      </c>
      <c r="G67" s="14">
        <v>283.62</v>
      </c>
      <c r="H67" s="14">
        <v>283.62</v>
      </c>
      <c r="I67" s="14">
        <v>283.62</v>
      </c>
      <c r="J67" s="14">
        <v>283.62</v>
      </c>
      <c r="K67" s="14">
        <v>283.62</v>
      </c>
      <c r="L67" s="14">
        <v>283.62</v>
      </c>
      <c r="M67" s="14">
        <v>283.62</v>
      </c>
      <c r="N67" s="14">
        <v>283.62</v>
      </c>
      <c r="O67" s="14">
        <v>283.62</v>
      </c>
      <c r="P67" s="14">
        <v>283.62</v>
      </c>
      <c r="Q67" s="13">
        <f t="shared" si="2"/>
        <v>3403.44</v>
      </c>
    </row>
    <row r="68">
      <c r="A68" s="10" t="str">
        <f t="shared" si="1"/>
        <v>(06) Finanzas</v>
      </c>
      <c r="B68" s="10" t="s">
        <v>33</v>
      </c>
      <c r="C68" s="10" t="s">
        <v>56</v>
      </c>
      <c r="D68" s="11" t="s">
        <v>69</v>
      </c>
      <c r="E68" s="14">
        <v>567.24</v>
      </c>
      <c r="F68" s="14">
        <v>567.24</v>
      </c>
      <c r="G68" s="14">
        <v>567.24</v>
      </c>
      <c r="H68" s="14">
        <v>567.24</v>
      </c>
      <c r="I68" s="14">
        <v>567.24</v>
      </c>
      <c r="J68" s="14">
        <v>567.24</v>
      </c>
      <c r="K68" s="14">
        <v>567.24</v>
      </c>
      <c r="L68" s="14">
        <v>567.24</v>
      </c>
      <c r="M68" s="14">
        <v>567.24</v>
      </c>
      <c r="N68" s="14">
        <v>567.24</v>
      </c>
      <c r="O68" s="14">
        <v>567.24</v>
      </c>
      <c r="P68" s="14">
        <v>567.24</v>
      </c>
      <c r="Q68" s="13">
        <f t="shared" si="2"/>
        <v>6806.88</v>
      </c>
    </row>
    <row r="69">
      <c r="A69" s="10" t="str">
        <f t="shared" si="1"/>
        <v>(06) Finanzas</v>
      </c>
      <c r="B69" s="10" t="s">
        <v>37</v>
      </c>
      <c r="C69" s="10" t="s">
        <v>56</v>
      </c>
      <c r="D69" s="11" t="s">
        <v>69</v>
      </c>
      <c r="E69" s="14">
        <v>283.62</v>
      </c>
      <c r="F69" s="14">
        <v>283.62</v>
      </c>
      <c r="G69" s="14">
        <v>283.62</v>
      </c>
      <c r="H69" s="14">
        <v>283.62</v>
      </c>
      <c r="I69" s="14">
        <v>283.62</v>
      </c>
      <c r="J69" s="14">
        <v>283.62</v>
      </c>
      <c r="K69" s="14">
        <v>283.62</v>
      </c>
      <c r="L69" s="14">
        <v>283.62</v>
      </c>
      <c r="M69" s="14">
        <v>283.62</v>
      </c>
      <c r="N69" s="14">
        <v>283.62</v>
      </c>
      <c r="O69" s="14">
        <v>283.62</v>
      </c>
      <c r="P69" s="14">
        <v>283.62</v>
      </c>
      <c r="Q69" s="13">
        <f t="shared" si="2"/>
        <v>3403.44</v>
      </c>
    </row>
    <row r="70">
      <c r="A70" s="10" t="str">
        <f t="shared" si="1"/>
        <v>(06) Finanzas</v>
      </c>
      <c r="B70" s="10" t="s">
        <v>35</v>
      </c>
      <c r="C70" s="10" t="s">
        <v>56</v>
      </c>
      <c r="D70" s="11" t="s">
        <v>69</v>
      </c>
      <c r="E70" s="14">
        <v>283.62</v>
      </c>
      <c r="F70" s="14">
        <v>283.62</v>
      </c>
      <c r="G70" s="14">
        <v>283.62</v>
      </c>
      <c r="H70" s="14">
        <v>283.62</v>
      </c>
      <c r="I70" s="14">
        <v>283.62</v>
      </c>
      <c r="J70" s="14">
        <v>283.62</v>
      </c>
      <c r="K70" s="14">
        <v>283.62</v>
      </c>
      <c r="L70" s="14">
        <v>283.62</v>
      </c>
      <c r="M70" s="14">
        <v>283.62</v>
      </c>
      <c r="N70" s="14">
        <v>283.62</v>
      </c>
      <c r="O70" s="14">
        <v>283.62</v>
      </c>
      <c r="P70" s="14">
        <v>283.62</v>
      </c>
      <c r="Q70" s="13">
        <f t="shared" si="2"/>
        <v>3403.44</v>
      </c>
    </row>
    <row r="71">
      <c r="A71" s="10" t="str">
        <f t="shared" si="1"/>
        <v>(06) Finanzas</v>
      </c>
      <c r="B71" s="10" t="s">
        <v>39</v>
      </c>
      <c r="C71" s="10" t="s">
        <v>56</v>
      </c>
      <c r="D71" s="11" t="s">
        <v>69</v>
      </c>
      <c r="E71" s="14">
        <v>283.62</v>
      </c>
      <c r="F71" s="14">
        <v>283.62</v>
      </c>
      <c r="G71" s="14">
        <v>283.62</v>
      </c>
      <c r="H71" s="14">
        <v>283.62</v>
      </c>
      <c r="I71" s="14">
        <v>283.62</v>
      </c>
      <c r="J71" s="14">
        <v>283.62</v>
      </c>
      <c r="K71" s="14">
        <v>283.62</v>
      </c>
      <c r="L71" s="14">
        <v>283.62</v>
      </c>
      <c r="M71" s="14">
        <v>283.62</v>
      </c>
      <c r="N71" s="14">
        <v>283.62</v>
      </c>
      <c r="O71" s="14">
        <v>283.62</v>
      </c>
      <c r="P71" s="14">
        <v>283.62</v>
      </c>
      <c r="Q71" s="13">
        <f t="shared" si="2"/>
        <v>3403.44</v>
      </c>
    </row>
    <row r="72">
      <c r="A72" s="10" t="str">
        <f t="shared" si="1"/>
        <v>(06) Finanzas</v>
      </c>
      <c r="B72" s="10" t="s">
        <v>50</v>
      </c>
      <c r="C72" s="10" t="s">
        <v>56</v>
      </c>
      <c r="D72" s="11" t="s">
        <v>69</v>
      </c>
      <c r="E72" s="14">
        <v>283.62</v>
      </c>
      <c r="F72" s="14">
        <v>283.62</v>
      </c>
      <c r="G72" s="14">
        <v>283.62</v>
      </c>
      <c r="H72" s="14">
        <v>283.62</v>
      </c>
      <c r="I72" s="14">
        <v>283.62</v>
      </c>
      <c r="J72" s="14">
        <v>283.62</v>
      </c>
      <c r="K72" s="14">
        <v>283.62</v>
      </c>
      <c r="L72" s="14">
        <v>283.62</v>
      </c>
      <c r="M72" s="14">
        <v>283.62</v>
      </c>
      <c r="N72" s="14">
        <v>283.62</v>
      </c>
      <c r="O72" s="14">
        <v>283.62</v>
      </c>
      <c r="P72" s="14">
        <v>283.62</v>
      </c>
      <c r="Q72" s="13">
        <f t="shared" si="2"/>
        <v>3403.44</v>
      </c>
    </row>
    <row r="73">
      <c r="A73" s="10" t="str">
        <f t="shared" si="1"/>
        <v>(06) Finanzas</v>
      </c>
      <c r="B73" s="10" t="s">
        <v>52</v>
      </c>
      <c r="C73" s="10" t="s">
        <v>56</v>
      </c>
      <c r="D73" s="11" t="s">
        <v>69</v>
      </c>
      <c r="E73" s="14">
        <v>283.62</v>
      </c>
      <c r="F73" s="14">
        <v>283.62</v>
      </c>
      <c r="G73" s="14">
        <v>283.62</v>
      </c>
      <c r="H73" s="14">
        <v>283.62</v>
      </c>
      <c r="I73" s="14">
        <v>283.62</v>
      </c>
      <c r="J73" s="14">
        <v>283.62</v>
      </c>
      <c r="K73" s="14">
        <v>283.62</v>
      </c>
      <c r="L73" s="14">
        <v>283.62</v>
      </c>
      <c r="M73" s="14">
        <v>283.62</v>
      </c>
      <c r="N73" s="14">
        <v>283.62</v>
      </c>
      <c r="O73" s="14">
        <v>283.62</v>
      </c>
      <c r="P73" s="14">
        <v>283.62</v>
      </c>
      <c r="Q73" s="13">
        <f t="shared" si="2"/>
        <v>3403.44</v>
      </c>
    </row>
    <row r="74">
      <c r="A74" s="10" t="str">
        <f t="shared" si="1"/>
        <v>(06) Finanzas</v>
      </c>
      <c r="B74" s="10" t="s">
        <v>54</v>
      </c>
      <c r="C74" s="10" t="s">
        <v>56</v>
      </c>
      <c r="D74" s="11" t="s">
        <v>69</v>
      </c>
      <c r="E74" s="14">
        <v>567.24</v>
      </c>
      <c r="F74" s="14">
        <v>567.24</v>
      </c>
      <c r="G74" s="14">
        <v>567.24</v>
      </c>
      <c r="H74" s="14">
        <v>567.24</v>
      </c>
      <c r="I74" s="14">
        <v>567.24</v>
      </c>
      <c r="J74" s="14">
        <v>567.24</v>
      </c>
      <c r="K74" s="14">
        <v>567.24</v>
      </c>
      <c r="L74" s="14">
        <v>567.24</v>
      </c>
      <c r="M74" s="14">
        <v>567.24</v>
      </c>
      <c r="N74" s="14">
        <v>567.24</v>
      </c>
      <c r="O74" s="14">
        <v>567.24</v>
      </c>
      <c r="P74" s="14">
        <v>567.24</v>
      </c>
      <c r="Q74" s="13">
        <f t="shared" si="2"/>
        <v>6806.88</v>
      </c>
    </row>
    <row r="75">
      <c r="A75" s="10" t="str">
        <f t="shared" si="1"/>
        <v>(06) Finanzas</v>
      </c>
      <c r="B75" s="10" t="s">
        <v>19</v>
      </c>
      <c r="C75" s="10" t="s">
        <v>56</v>
      </c>
      <c r="D75" s="11" t="s">
        <v>70</v>
      </c>
      <c r="E75" s="14"/>
      <c r="F75" s="14"/>
      <c r="G75" s="14"/>
      <c r="H75" s="14"/>
      <c r="I75" s="14"/>
      <c r="J75" s="14">
        <v>2000.0</v>
      </c>
      <c r="K75" s="14"/>
      <c r="L75" s="14"/>
      <c r="M75" s="14"/>
      <c r="N75" s="14"/>
      <c r="O75" s="14"/>
      <c r="P75" s="14"/>
      <c r="Q75" s="13">
        <f t="shared" si="2"/>
        <v>2000</v>
      </c>
    </row>
    <row r="76">
      <c r="A76" s="10" t="str">
        <f t="shared" si="1"/>
        <v>(06) Finanzas</v>
      </c>
      <c r="B76" s="10" t="s">
        <v>21</v>
      </c>
      <c r="C76" s="10" t="s">
        <v>56</v>
      </c>
      <c r="D76" s="11" t="s">
        <v>70</v>
      </c>
      <c r="E76" s="14"/>
      <c r="F76" s="14"/>
      <c r="G76" s="14"/>
      <c r="H76" s="14"/>
      <c r="I76" s="14"/>
      <c r="J76" s="14">
        <v>2000.0</v>
      </c>
      <c r="K76" s="14"/>
      <c r="L76" s="14"/>
      <c r="M76" s="14"/>
      <c r="N76" s="14"/>
      <c r="O76" s="14"/>
      <c r="P76" s="14"/>
      <c r="Q76" s="13">
        <f t="shared" si="2"/>
        <v>2000</v>
      </c>
    </row>
    <row r="77">
      <c r="A77" s="10" t="str">
        <f t="shared" si="1"/>
        <v>(06) Finanzas</v>
      </c>
      <c r="B77" s="10" t="s">
        <v>40</v>
      </c>
      <c r="C77" s="10" t="s">
        <v>56</v>
      </c>
      <c r="D77" s="11" t="s">
        <v>70</v>
      </c>
      <c r="E77" s="14"/>
      <c r="F77" s="14"/>
      <c r="G77" s="14"/>
      <c r="H77" s="14"/>
      <c r="I77" s="14"/>
      <c r="J77" s="14">
        <v>2000.0</v>
      </c>
      <c r="K77" s="14"/>
      <c r="L77" s="14"/>
      <c r="M77" s="14"/>
      <c r="N77" s="14"/>
      <c r="O77" s="14"/>
      <c r="P77" s="14"/>
      <c r="Q77" s="13">
        <f t="shared" si="2"/>
        <v>2000</v>
      </c>
    </row>
    <row r="78">
      <c r="A78" s="10" t="str">
        <f t="shared" si="1"/>
        <v>(06) Finanzas</v>
      </c>
      <c r="B78" s="10" t="s">
        <v>42</v>
      </c>
      <c r="C78" s="10" t="s">
        <v>56</v>
      </c>
      <c r="D78" s="11" t="s">
        <v>70</v>
      </c>
      <c r="E78" s="14"/>
      <c r="F78" s="14"/>
      <c r="G78" s="14"/>
      <c r="H78" s="14"/>
      <c r="I78" s="14"/>
      <c r="J78" s="14">
        <v>2000.0</v>
      </c>
      <c r="K78" s="14"/>
      <c r="L78" s="14"/>
      <c r="M78" s="14"/>
      <c r="N78" s="14"/>
      <c r="O78" s="14"/>
      <c r="P78" s="14"/>
      <c r="Q78" s="13">
        <f t="shared" si="2"/>
        <v>2000</v>
      </c>
    </row>
    <row r="79">
      <c r="A79" s="10" t="str">
        <f t="shared" si="1"/>
        <v>(06) Finanzas</v>
      </c>
      <c r="B79" s="10" t="s">
        <v>22</v>
      </c>
      <c r="C79" s="10" t="s">
        <v>56</v>
      </c>
      <c r="D79" s="11" t="s">
        <v>70</v>
      </c>
      <c r="E79" s="14"/>
      <c r="F79" s="14"/>
      <c r="G79" s="14"/>
      <c r="H79" s="14"/>
      <c r="I79" s="14"/>
      <c r="J79" s="14">
        <v>2000.0</v>
      </c>
      <c r="K79" s="14"/>
      <c r="L79" s="14"/>
      <c r="M79" s="14"/>
      <c r="N79" s="14"/>
      <c r="O79" s="14"/>
      <c r="P79" s="14"/>
      <c r="Q79" s="13">
        <f t="shared" si="2"/>
        <v>2000</v>
      </c>
    </row>
    <row r="80">
      <c r="A80" s="10" t="str">
        <f t="shared" si="1"/>
        <v>(06) Finanzas</v>
      </c>
      <c r="B80" s="10" t="s">
        <v>43</v>
      </c>
      <c r="C80" s="10" t="s">
        <v>56</v>
      </c>
      <c r="D80" s="11" t="s">
        <v>70</v>
      </c>
      <c r="E80" s="14"/>
      <c r="F80" s="14"/>
      <c r="G80" s="14"/>
      <c r="H80" s="14"/>
      <c r="I80" s="14"/>
      <c r="J80" s="14">
        <v>2000.0</v>
      </c>
      <c r="K80" s="14"/>
      <c r="L80" s="14"/>
      <c r="M80" s="14"/>
      <c r="N80" s="14"/>
      <c r="O80" s="14"/>
      <c r="P80" s="14"/>
      <c r="Q80" s="13">
        <f t="shared" si="2"/>
        <v>2000</v>
      </c>
    </row>
    <row r="81">
      <c r="A81" s="10" t="str">
        <f t="shared" si="1"/>
        <v>(06) Finanzas</v>
      </c>
      <c r="B81" s="10" t="s">
        <v>23</v>
      </c>
      <c r="C81" s="10" t="s">
        <v>56</v>
      </c>
      <c r="D81" s="11" t="s">
        <v>70</v>
      </c>
      <c r="E81" s="14"/>
      <c r="F81" s="14"/>
      <c r="G81" s="14"/>
      <c r="H81" s="14"/>
      <c r="I81" s="14"/>
      <c r="J81" s="14">
        <v>2000.0</v>
      </c>
      <c r="K81" s="14"/>
      <c r="L81" s="14"/>
      <c r="M81" s="14"/>
      <c r="N81" s="14"/>
      <c r="O81" s="14"/>
      <c r="P81" s="14"/>
      <c r="Q81" s="13">
        <f t="shared" si="2"/>
        <v>2000</v>
      </c>
    </row>
    <row r="82">
      <c r="A82" s="10" t="str">
        <f t="shared" si="1"/>
        <v>(06) Finanzas</v>
      </c>
      <c r="B82" s="10" t="s">
        <v>41</v>
      </c>
      <c r="C82" s="10" t="s">
        <v>56</v>
      </c>
      <c r="D82" s="11" t="s">
        <v>70</v>
      </c>
      <c r="E82" s="14"/>
      <c r="F82" s="14"/>
      <c r="G82" s="14"/>
      <c r="H82" s="14"/>
      <c r="I82" s="14"/>
      <c r="J82" s="14">
        <v>2000.0</v>
      </c>
      <c r="K82" s="14"/>
      <c r="L82" s="14"/>
      <c r="M82" s="14"/>
      <c r="N82" s="14"/>
      <c r="O82" s="14"/>
      <c r="P82" s="14"/>
      <c r="Q82" s="13">
        <f t="shared" si="2"/>
        <v>2000</v>
      </c>
    </row>
    <row r="83">
      <c r="A83" s="10" t="str">
        <f t="shared" si="1"/>
        <v>(06) Finanzas</v>
      </c>
      <c r="B83" s="10" t="s">
        <v>47</v>
      </c>
      <c r="C83" s="10" t="s">
        <v>56</v>
      </c>
      <c r="D83" s="11" t="s">
        <v>70</v>
      </c>
      <c r="E83" s="14"/>
      <c r="F83" s="14"/>
      <c r="G83" s="14"/>
      <c r="H83" s="14"/>
      <c r="I83" s="14"/>
      <c r="J83" s="14">
        <v>2000.0</v>
      </c>
      <c r="K83" s="14"/>
      <c r="L83" s="14"/>
      <c r="M83" s="14"/>
      <c r="N83" s="14"/>
      <c r="O83" s="14"/>
      <c r="P83" s="14"/>
      <c r="Q83" s="13">
        <f t="shared" si="2"/>
        <v>2000</v>
      </c>
    </row>
    <row r="84">
      <c r="A84" s="10" t="str">
        <f t="shared" si="1"/>
        <v>(06) Finanzas</v>
      </c>
      <c r="B84" s="10" t="s">
        <v>44</v>
      </c>
      <c r="C84" s="10" t="s">
        <v>56</v>
      </c>
      <c r="D84" s="11" t="s">
        <v>70</v>
      </c>
      <c r="E84" s="14"/>
      <c r="F84" s="14"/>
      <c r="G84" s="14"/>
      <c r="H84" s="14"/>
      <c r="I84" s="14"/>
      <c r="J84" s="14">
        <v>2000.0</v>
      </c>
      <c r="K84" s="14"/>
      <c r="L84" s="14"/>
      <c r="M84" s="14"/>
      <c r="N84" s="14"/>
      <c r="O84" s="14"/>
      <c r="P84" s="14"/>
      <c r="Q84" s="13">
        <f t="shared" si="2"/>
        <v>2000</v>
      </c>
    </row>
    <row r="85">
      <c r="A85" s="10" t="str">
        <f t="shared" si="1"/>
        <v>(06) Finanzas</v>
      </c>
      <c r="B85" s="10" t="s">
        <v>48</v>
      </c>
      <c r="C85" s="10" t="s">
        <v>56</v>
      </c>
      <c r="D85" s="11" t="s">
        <v>70</v>
      </c>
      <c r="E85" s="14"/>
      <c r="F85" s="14"/>
      <c r="G85" s="14"/>
      <c r="H85" s="14"/>
      <c r="I85" s="14"/>
      <c r="J85" s="14">
        <v>2000.0</v>
      </c>
      <c r="K85" s="14"/>
      <c r="L85" s="14"/>
      <c r="M85" s="14"/>
      <c r="N85" s="14"/>
      <c r="O85" s="14"/>
      <c r="P85" s="14"/>
      <c r="Q85" s="13">
        <f t="shared" si="2"/>
        <v>2000</v>
      </c>
    </row>
    <row r="86">
      <c r="A86" s="10" t="str">
        <f t="shared" si="1"/>
        <v>(06) Finanzas</v>
      </c>
      <c r="B86" s="10" t="s">
        <v>24</v>
      </c>
      <c r="C86" s="10" t="s">
        <v>56</v>
      </c>
      <c r="D86" s="11" t="s">
        <v>70</v>
      </c>
      <c r="E86" s="17"/>
      <c r="F86" s="17"/>
      <c r="G86" s="17"/>
      <c r="H86" s="17"/>
      <c r="I86" s="17"/>
      <c r="J86" s="14">
        <v>2000.0</v>
      </c>
      <c r="K86" s="17"/>
      <c r="L86" s="17"/>
      <c r="M86" s="17"/>
      <c r="N86" s="17"/>
      <c r="O86" s="17"/>
      <c r="P86" s="17"/>
      <c r="Q86" s="13">
        <f t="shared" si="2"/>
        <v>2000</v>
      </c>
    </row>
    <row r="87">
      <c r="A87" s="10" t="str">
        <f t="shared" si="1"/>
        <v>(06) Finanzas</v>
      </c>
      <c r="B87" s="10" t="s">
        <v>25</v>
      </c>
      <c r="C87" s="10" t="s">
        <v>56</v>
      </c>
      <c r="D87" s="11" t="s">
        <v>70</v>
      </c>
      <c r="E87" s="17"/>
      <c r="F87" s="17"/>
      <c r="G87" s="17"/>
      <c r="H87" s="17"/>
      <c r="I87" s="17"/>
      <c r="J87" s="14">
        <v>2000.0</v>
      </c>
      <c r="K87" s="17"/>
      <c r="L87" s="17"/>
      <c r="M87" s="17"/>
      <c r="N87" s="17"/>
      <c r="O87" s="17"/>
      <c r="P87" s="17"/>
      <c r="Q87" s="13">
        <f t="shared" si="2"/>
        <v>2000</v>
      </c>
    </row>
    <row r="88">
      <c r="A88" s="10" t="str">
        <f t="shared" si="1"/>
        <v>(06) Finanzas</v>
      </c>
      <c r="B88" s="10" t="s">
        <v>26</v>
      </c>
      <c r="C88" s="10" t="s">
        <v>56</v>
      </c>
      <c r="D88" s="11" t="s">
        <v>70</v>
      </c>
      <c r="E88" s="17"/>
      <c r="F88" s="17"/>
      <c r="G88" s="17"/>
      <c r="H88" s="17"/>
      <c r="I88" s="17"/>
      <c r="J88" s="14">
        <v>2000.0</v>
      </c>
      <c r="K88" s="17"/>
      <c r="L88" s="17"/>
      <c r="M88" s="17"/>
      <c r="N88" s="17"/>
      <c r="O88" s="17"/>
      <c r="P88" s="17"/>
      <c r="Q88" s="13">
        <f t="shared" si="2"/>
        <v>2000</v>
      </c>
    </row>
    <row r="89">
      <c r="A89" s="10" t="str">
        <f t="shared" si="1"/>
        <v>(06) Finanzas</v>
      </c>
      <c r="B89" s="10" t="s">
        <v>27</v>
      </c>
      <c r="C89" s="10" t="s">
        <v>56</v>
      </c>
      <c r="D89" s="11" t="s">
        <v>70</v>
      </c>
      <c r="E89" s="17"/>
      <c r="F89" s="17"/>
      <c r="G89" s="17"/>
      <c r="H89" s="17"/>
      <c r="I89" s="17"/>
      <c r="J89" s="14">
        <v>2000.0</v>
      </c>
      <c r="K89" s="17"/>
      <c r="L89" s="17"/>
      <c r="M89" s="17"/>
      <c r="N89" s="17"/>
      <c r="O89" s="17"/>
      <c r="P89" s="17"/>
      <c r="Q89" s="13">
        <f t="shared" si="2"/>
        <v>2000</v>
      </c>
    </row>
    <row r="90">
      <c r="A90" s="10" t="str">
        <f t="shared" si="1"/>
        <v>(06) Finanzas</v>
      </c>
      <c r="B90" s="10" t="s">
        <v>28</v>
      </c>
      <c r="C90" s="10" t="s">
        <v>56</v>
      </c>
      <c r="D90" s="11" t="s">
        <v>70</v>
      </c>
      <c r="E90" s="17"/>
      <c r="F90" s="17"/>
      <c r="G90" s="17"/>
      <c r="H90" s="17"/>
      <c r="I90" s="17"/>
      <c r="J90" s="14">
        <v>2000.0</v>
      </c>
      <c r="K90" s="17"/>
      <c r="L90" s="17"/>
      <c r="M90" s="17"/>
      <c r="N90" s="17"/>
      <c r="O90" s="17"/>
      <c r="P90" s="17"/>
      <c r="Q90" s="13">
        <f t="shared" si="2"/>
        <v>2000</v>
      </c>
    </row>
    <row r="91">
      <c r="A91" s="10" t="str">
        <f t="shared" si="1"/>
        <v>(06) Finanzas</v>
      </c>
      <c r="B91" s="10" t="s">
        <v>29</v>
      </c>
      <c r="C91" s="10" t="s">
        <v>56</v>
      </c>
      <c r="D91" s="11" t="s">
        <v>70</v>
      </c>
      <c r="E91" s="17"/>
      <c r="F91" s="17"/>
      <c r="G91" s="17"/>
      <c r="H91" s="17"/>
      <c r="I91" s="17"/>
      <c r="J91" s="14">
        <v>2000.0</v>
      </c>
      <c r="K91" s="17"/>
      <c r="L91" s="17"/>
      <c r="M91" s="17"/>
      <c r="N91" s="17"/>
      <c r="O91" s="17"/>
      <c r="P91" s="17"/>
      <c r="Q91" s="13">
        <f t="shared" si="2"/>
        <v>2000</v>
      </c>
    </row>
    <row r="92">
      <c r="A92" s="10" t="str">
        <f t="shared" si="1"/>
        <v>(06) Finanzas</v>
      </c>
      <c r="B92" s="10" t="s">
        <v>40</v>
      </c>
      <c r="C92" s="10" t="s">
        <v>56</v>
      </c>
      <c r="D92" s="11" t="s">
        <v>70</v>
      </c>
      <c r="E92" s="17"/>
      <c r="F92" s="17"/>
      <c r="G92" s="17"/>
      <c r="H92" s="17"/>
      <c r="I92" s="17"/>
      <c r="J92" s="14">
        <v>2000.0</v>
      </c>
      <c r="K92" s="17"/>
      <c r="L92" s="17"/>
      <c r="M92" s="17"/>
      <c r="N92" s="17"/>
      <c r="O92" s="17"/>
      <c r="P92" s="17"/>
      <c r="Q92" s="13">
        <f t="shared" si="2"/>
        <v>2000</v>
      </c>
    </row>
    <row r="93">
      <c r="A93" s="10" t="str">
        <f t="shared" si="1"/>
        <v>(06) Finanzas</v>
      </c>
      <c r="B93" s="10" t="s">
        <v>49</v>
      </c>
      <c r="C93" s="10" t="s">
        <v>56</v>
      </c>
      <c r="D93" s="11" t="s">
        <v>70</v>
      </c>
      <c r="E93" s="17"/>
      <c r="F93" s="17"/>
      <c r="G93" s="17"/>
      <c r="H93" s="17"/>
      <c r="I93" s="17"/>
      <c r="J93" s="14">
        <v>2000.0</v>
      </c>
      <c r="K93" s="17"/>
      <c r="L93" s="17"/>
      <c r="M93" s="17"/>
      <c r="N93" s="17"/>
      <c r="O93" s="17"/>
      <c r="P93" s="17"/>
      <c r="Q93" s="13">
        <f t="shared" si="2"/>
        <v>2000</v>
      </c>
    </row>
    <row r="94">
      <c r="A94" s="10" t="str">
        <f t="shared" si="1"/>
        <v>(06) Finanzas</v>
      </c>
      <c r="B94" s="10" t="s">
        <v>30</v>
      </c>
      <c r="C94" s="10" t="s">
        <v>56</v>
      </c>
      <c r="D94" s="11" t="s">
        <v>70</v>
      </c>
      <c r="E94" s="17"/>
      <c r="F94" s="17"/>
      <c r="G94" s="17"/>
      <c r="H94" s="17"/>
      <c r="I94" s="17"/>
      <c r="J94" s="14">
        <v>2000.0</v>
      </c>
      <c r="K94" s="17"/>
      <c r="L94" s="17"/>
      <c r="M94" s="17"/>
      <c r="N94" s="17"/>
      <c r="O94" s="17"/>
      <c r="P94" s="17"/>
      <c r="Q94" s="13">
        <f t="shared" si="2"/>
        <v>2000</v>
      </c>
    </row>
    <row r="95">
      <c r="A95" s="10" t="str">
        <f t="shared" si="1"/>
        <v>(06) Finanzas</v>
      </c>
      <c r="B95" s="10" t="s">
        <v>36</v>
      </c>
      <c r="C95" s="10" t="s">
        <v>56</v>
      </c>
      <c r="D95" s="11" t="s">
        <v>70</v>
      </c>
      <c r="E95" s="17"/>
      <c r="F95" s="17"/>
      <c r="G95" s="17"/>
      <c r="H95" s="17"/>
      <c r="I95" s="17"/>
      <c r="J95" s="14">
        <v>2000.0</v>
      </c>
      <c r="K95" s="17"/>
      <c r="L95" s="17"/>
      <c r="M95" s="17"/>
      <c r="N95" s="17"/>
      <c r="O95" s="17"/>
      <c r="P95" s="17"/>
      <c r="Q95" s="13">
        <f t="shared" si="2"/>
        <v>2000</v>
      </c>
    </row>
    <row r="96">
      <c r="A96" s="10" t="str">
        <f t="shared" si="1"/>
        <v>(06) Finanzas</v>
      </c>
      <c r="B96" s="10" t="s">
        <v>31</v>
      </c>
      <c r="C96" s="10" t="s">
        <v>56</v>
      </c>
      <c r="D96" s="11" t="s">
        <v>70</v>
      </c>
      <c r="E96" s="17"/>
      <c r="F96" s="17"/>
      <c r="G96" s="17"/>
      <c r="H96" s="17"/>
      <c r="I96" s="17"/>
      <c r="J96" s="14">
        <v>2000.0</v>
      </c>
      <c r="K96" s="17"/>
      <c r="L96" s="17"/>
      <c r="M96" s="17"/>
      <c r="N96" s="17"/>
      <c r="O96" s="17"/>
      <c r="P96" s="17"/>
      <c r="Q96" s="13">
        <f t="shared" si="2"/>
        <v>2000</v>
      </c>
    </row>
    <row r="97">
      <c r="A97" s="10" t="str">
        <f t="shared" si="1"/>
        <v>(06) Finanzas</v>
      </c>
      <c r="B97" s="10" t="s">
        <v>32</v>
      </c>
      <c r="C97" s="10" t="s">
        <v>56</v>
      </c>
      <c r="D97" s="11" t="s">
        <v>70</v>
      </c>
      <c r="E97" s="17"/>
      <c r="F97" s="17"/>
      <c r="G97" s="17"/>
      <c r="H97" s="17"/>
      <c r="I97" s="17"/>
      <c r="J97" s="14">
        <v>2000.0</v>
      </c>
      <c r="K97" s="17"/>
      <c r="L97" s="17"/>
      <c r="M97" s="17"/>
      <c r="N97" s="17"/>
      <c r="O97" s="17"/>
      <c r="P97" s="17"/>
      <c r="Q97" s="13">
        <f t="shared" si="2"/>
        <v>2000</v>
      </c>
    </row>
    <row r="98">
      <c r="A98" s="10" t="str">
        <f t="shared" si="1"/>
        <v>(06) Finanzas</v>
      </c>
      <c r="B98" s="10" t="s">
        <v>34</v>
      </c>
      <c r="C98" s="10" t="s">
        <v>56</v>
      </c>
      <c r="D98" s="11" t="s">
        <v>70</v>
      </c>
      <c r="E98" s="17"/>
      <c r="F98" s="17"/>
      <c r="G98" s="17"/>
      <c r="H98" s="17"/>
      <c r="I98" s="17"/>
      <c r="J98" s="14">
        <v>2000.0</v>
      </c>
      <c r="K98" s="17"/>
      <c r="L98" s="17"/>
      <c r="M98" s="17"/>
      <c r="N98" s="17"/>
      <c r="O98" s="17"/>
      <c r="P98" s="17"/>
      <c r="Q98" s="13">
        <f t="shared" si="2"/>
        <v>2000</v>
      </c>
    </row>
    <row r="99">
      <c r="A99" s="10" t="str">
        <f t="shared" si="1"/>
        <v>(06) Finanzas</v>
      </c>
      <c r="B99" s="10" t="s">
        <v>33</v>
      </c>
      <c r="C99" s="10" t="s">
        <v>56</v>
      </c>
      <c r="D99" s="11" t="s">
        <v>70</v>
      </c>
      <c r="E99" s="17"/>
      <c r="F99" s="17"/>
      <c r="G99" s="17"/>
      <c r="H99" s="17"/>
      <c r="I99" s="17"/>
      <c r="J99" s="14">
        <v>2000.0</v>
      </c>
      <c r="K99" s="17"/>
      <c r="L99" s="17"/>
      <c r="M99" s="17"/>
      <c r="N99" s="17"/>
      <c r="O99" s="17"/>
      <c r="P99" s="17"/>
      <c r="Q99" s="13">
        <f t="shared" si="2"/>
        <v>2000</v>
      </c>
    </row>
    <row r="100">
      <c r="A100" s="10" t="str">
        <f t="shared" si="1"/>
        <v>(06) Finanzas</v>
      </c>
      <c r="B100" s="10" t="s">
        <v>37</v>
      </c>
      <c r="C100" s="10" t="s">
        <v>56</v>
      </c>
      <c r="D100" s="11" t="s">
        <v>70</v>
      </c>
      <c r="E100" s="17"/>
      <c r="F100" s="17"/>
      <c r="G100" s="17"/>
      <c r="H100" s="17"/>
      <c r="I100" s="17"/>
      <c r="J100" s="14">
        <v>2000.0</v>
      </c>
      <c r="K100" s="17"/>
      <c r="L100" s="17"/>
      <c r="M100" s="17"/>
      <c r="N100" s="17"/>
      <c r="O100" s="17"/>
      <c r="P100" s="17"/>
      <c r="Q100" s="13">
        <f t="shared" si="2"/>
        <v>2000</v>
      </c>
    </row>
    <row r="101">
      <c r="A101" s="10" t="str">
        <f t="shared" si="1"/>
        <v>(06) Finanzas</v>
      </c>
      <c r="B101" s="10" t="s">
        <v>35</v>
      </c>
      <c r="C101" s="10" t="s">
        <v>56</v>
      </c>
      <c r="D101" s="11" t="s">
        <v>70</v>
      </c>
      <c r="E101" s="17"/>
      <c r="F101" s="17"/>
      <c r="G101" s="17"/>
      <c r="H101" s="17"/>
      <c r="I101" s="17"/>
      <c r="J101" s="14">
        <v>2000.0</v>
      </c>
      <c r="K101" s="17"/>
      <c r="L101" s="17"/>
      <c r="M101" s="17"/>
      <c r="N101" s="17"/>
      <c r="O101" s="17"/>
      <c r="P101" s="17"/>
      <c r="Q101" s="13">
        <f t="shared" si="2"/>
        <v>2000</v>
      </c>
    </row>
    <row r="102">
      <c r="A102" s="10" t="str">
        <f t="shared" si="1"/>
        <v>(06) Finanzas</v>
      </c>
      <c r="B102" s="10" t="s">
        <v>39</v>
      </c>
      <c r="C102" s="10" t="s">
        <v>56</v>
      </c>
      <c r="D102" s="11" t="s">
        <v>70</v>
      </c>
      <c r="E102" s="17"/>
      <c r="F102" s="17"/>
      <c r="G102" s="17"/>
      <c r="H102" s="17"/>
      <c r="I102" s="17"/>
      <c r="J102" s="14">
        <v>2000.0</v>
      </c>
      <c r="K102" s="17"/>
      <c r="L102" s="17"/>
      <c r="M102" s="17"/>
      <c r="N102" s="17"/>
      <c r="O102" s="17"/>
      <c r="P102" s="17"/>
      <c r="Q102" s="13">
        <f t="shared" si="2"/>
        <v>2000</v>
      </c>
    </row>
    <row r="103">
      <c r="A103" s="10" t="str">
        <f t="shared" si="1"/>
        <v>(06) Finanzas</v>
      </c>
      <c r="B103" s="10" t="s">
        <v>50</v>
      </c>
      <c r="C103" s="10" t="s">
        <v>56</v>
      </c>
      <c r="D103" s="11" t="s">
        <v>70</v>
      </c>
      <c r="E103" s="17"/>
      <c r="F103" s="17"/>
      <c r="G103" s="17"/>
      <c r="H103" s="17"/>
      <c r="I103" s="17"/>
      <c r="J103" s="14">
        <v>2000.0</v>
      </c>
      <c r="K103" s="17"/>
      <c r="L103" s="17"/>
      <c r="M103" s="17"/>
      <c r="N103" s="17"/>
      <c r="O103" s="17"/>
      <c r="P103" s="17"/>
      <c r="Q103" s="13">
        <f t="shared" si="2"/>
        <v>2000</v>
      </c>
    </row>
    <row r="104">
      <c r="A104" s="10" t="str">
        <f t="shared" si="1"/>
        <v>(06) Finanzas</v>
      </c>
      <c r="B104" s="10" t="s">
        <v>52</v>
      </c>
      <c r="C104" s="10" t="s">
        <v>56</v>
      </c>
      <c r="D104" s="11" t="s">
        <v>70</v>
      </c>
      <c r="E104" s="17"/>
      <c r="F104" s="17"/>
      <c r="G104" s="17"/>
      <c r="H104" s="17"/>
      <c r="I104" s="17"/>
      <c r="J104" s="14">
        <v>2000.0</v>
      </c>
      <c r="K104" s="17"/>
      <c r="L104" s="17"/>
      <c r="M104" s="17"/>
      <c r="N104" s="17"/>
      <c r="O104" s="17"/>
      <c r="P104" s="17"/>
      <c r="Q104" s="13">
        <f t="shared" si="2"/>
        <v>2000</v>
      </c>
    </row>
    <row r="105">
      <c r="A105" s="10" t="str">
        <f t="shared" si="1"/>
        <v>(06) Finanzas</v>
      </c>
      <c r="B105" s="10" t="s">
        <v>54</v>
      </c>
      <c r="C105" s="10" t="s">
        <v>56</v>
      </c>
      <c r="D105" s="11" t="s">
        <v>70</v>
      </c>
      <c r="E105" s="17"/>
      <c r="F105" s="17"/>
      <c r="G105" s="17"/>
      <c r="H105" s="17"/>
      <c r="I105" s="17"/>
      <c r="J105" s="14">
        <v>2000.0</v>
      </c>
      <c r="K105" s="17"/>
      <c r="L105" s="17"/>
      <c r="M105" s="17"/>
      <c r="N105" s="17"/>
      <c r="O105" s="17"/>
      <c r="P105" s="17"/>
      <c r="Q105" s="13">
        <f t="shared" si="2"/>
        <v>2000</v>
      </c>
    </row>
    <row r="106">
      <c r="A106" s="10" t="str">
        <f t="shared" si="1"/>
        <v>(06) Finanzas</v>
      </c>
      <c r="B106" s="10" t="s">
        <v>55</v>
      </c>
      <c r="C106" s="10" t="s">
        <v>64</v>
      </c>
      <c r="D106" s="11" t="s">
        <v>71</v>
      </c>
      <c r="E106" s="14">
        <v>25000.0</v>
      </c>
      <c r="F106" s="14">
        <v>25000.0</v>
      </c>
      <c r="G106" s="14">
        <v>25000.0</v>
      </c>
      <c r="H106" s="14">
        <v>25000.0</v>
      </c>
      <c r="I106" s="14">
        <v>25000.0</v>
      </c>
      <c r="J106" s="14">
        <v>25000.0</v>
      </c>
      <c r="K106" s="14">
        <v>25000.0</v>
      </c>
      <c r="L106" s="14">
        <v>25000.0</v>
      </c>
      <c r="M106" s="14">
        <v>25000.0</v>
      </c>
      <c r="N106" s="14">
        <v>25000.0</v>
      </c>
      <c r="O106" s="14">
        <v>25000.0</v>
      </c>
      <c r="P106" s="14">
        <v>25000.0</v>
      </c>
      <c r="Q106" s="13">
        <f t="shared" si="2"/>
        <v>300000</v>
      </c>
    </row>
    <row r="107">
      <c r="A107" s="10" t="str">
        <f t="shared" si="1"/>
        <v>(06) Finanzas</v>
      </c>
      <c r="B107" s="10" t="s">
        <v>55</v>
      </c>
      <c r="C107" s="10" t="s">
        <v>72</v>
      </c>
      <c r="D107" s="16"/>
      <c r="E107" s="14">
        <v>15719.12</v>
      </c>
      <c r="F107" s="14">
        <v>15719.12</v>
      </c>
      <c r="G107" s="14">
        <v>15719.12</v>
      </c>
      <c r="H107" s="14">
        <v>15719.12</v>
      </c>
      <c r="I107" s="14">
        <v>15719.12</v>
      </c>
      <c r="J107" s="14">
        <v>15719.12</v>
      </c>
      <c r="K107" s="14">
        <v>15719.12</v>
      </c>
      <c r="L107" s="14">
        <v>15719.12</v>
      </c>
      <c r="M107" s="14">
        <v>15719.12</v>
      </c>
      <c r="N107" s="14">
        <v>15719.12</v>
      </c>
      <c r="O107" s="14">
        <v>15719.12</v>
      </c>
      <c r="P107" s="14">
        <v>15719.12</v>
      </c>
      <c r="Q107" s="13">
        <f t="shared" si="2"/>
        <v>188629.44</v>
      </c>
    </row>
    <row r="108">
      <c r="A108" s="10" t="str">
        <f t="shared" si="1"/>
        <v>(06) Finanzas</v>
      </c>
      <c r="B108" s="10" t="s">
        <v>19</v>
      </c>
      <c r="C108" s="10" t="s">
        <v>73</v>
      </c>
      <c r="D108" s="11" t="s">
        <v>74</v>
      </c>
      <c r="E108" s="17"/>
      <c r="F108" s="14">
        <v>200.0</v>
      </c>
      <c r="G108" s="17"/>
      <c r="H108" s="14">
        <v>200.0</v>
      </c>
      <c r="I108" s="17"/>
      <c r="J108" s="14">
        <v>200.0</v>
      </c>
      <c r="K108" s="17"/>
      <c r="L108" s="14">
        <v>200.0</v>
      </c>
      <c r="M108" s="17"/>
      <c r="N108" s="14">
        <v>200.0</v>
      </c>
      <c r="O108" s="17"/>
      <c r="P108" s="14">
        <v>200.0</v>
      </c>
      <c r="Q108" s="13">
        <f t="shared" si="2"/>
        <v>1200</v>
      </c>
    </row>
    <row r="109">
      <c r="A109" s="10" t="str">
        <f t="shared" si="1"/>
        <v>(06) Finanzas</v>
      </c>
      <c r="B109" s="10" t="s">
        <v>21</v>
      </c>
      <c r="C109" s="10" t="s">
        <v>73</v>
      </c>
      <c r="D109" s="11" t="s">
        <v>74</v>
      </c>
      <c r="E109" s="14"/>
      <c r="F109" s="14">
        <v>200.0</v>
      </c>
      <c r="G109" s="14"/>
      <c r="H109" s="14">
        <v>200.0</v>
      </c>
      <c r="I109" s="14"/>
      <c r="J109" s="14">
        <v>200.0</v>
      </c>
      <c r="K109" s="14"/>
      <c r="L109" s="14">
        <v>200.0</v>
      </c>
      <c r="M109" s="14"/>
      <c r="N109" s="14">
        <v>200.0</v>
      </c>
      <c r="O109" s="14"/>
      <c r="P109" s="14">
        <v>200.0</v>
      </c>
      <c r="Q109" s="13">
        <f t="shared" si="2"/>
        <v>1200</v>
      </c>
    </row>
    <row r="110">
      <c r="A110" s="10" t="str">
        <f t="shared" si="1"/>
        <v>(06) Finanzas</v>
      </c>
      <c r="B110" s="10" t="s">
        <v>40</v>
      </c>
      <c r="C110" s="10" t="s">
        <v>73</v>
      </c>
      <c r="D110" s="11" t="s">
        <v>74</v>
      </c>
      <c r="E110" s="14"/>
      <c r="F110" s="14">
        <v>200.0</v>
      </c>
      <c r="G110" s="14"/>
      <c r="H110" s="14">
        <v>200.0</v>
      </c>
      <c r="I110" s="14"/>
      <c r="J110" s="14">
        <v>200.0</v>
      </c>
      <c r="K110" s="14"/>
      <c r="L110" s="14">
        <v>200.0</v>
      </c>
      <c r="M110" s="14"/>
      <c r="N110" s="14">
        <v>200.0</v>
      </c>
      <c r="O110" s="14"/>
      <c r="P110" s="14">
        <v>200.0</v>
      </c>
      <c r="Q110" s="13">
        <f t="shared" si="2"/>
        <v>1200</v>
      </c>
    </row>
    <row r="111">
      <c r="A111" s="10" t="str">
        <f t="shared" si="1"/>
        <v>(06) Finanzas</v>
      </c>
      <c r="B111" s="10" t="s">
        <v>42</v>
      </c>
      <c r="C111" s="10" t="s">
        <v>73</v>
      </c>
      <c r="D111" s="11" t="s">
        <v>74</v>
      </c>
      <c r="E111" s="14"/>
      <c r="F111" s="14">
        <v>200.0</v>
      </c>
      <c r="G111" s="14"/>
      <c r="H111" s="14">
        <v>200.0</v>
      </c>
      <c r="I111" s="14"/>
      <c r="J111" s="14">
        <v>200.0</v>
      </c>
      <c r="K111" s="14"/>
      <c r="L111" s="14">
        <v>200.0</v>
      </c>
      <c r="M111" s="14"/>
      <c r="N111" s="14">
        <v>200.0</v>
      </c>
      <c r="O111" s="14"/>
      <c r="P111" s="14">
        <v>200.0</v>
      </c>
      <c r="Q111" s="13">
        <f t="shared" si="2"/>
        <v>1200</v>
      </c>
    </row>
    <row r="112">
      <c r="A112" s="10" t="str">
        <f t="shared" si="1"/>
        <v>(06) Finanzas</v>
      </c>
      <c r="B112" s="10" t="s">
        <v>22</v>
      </c>
      <c r="C112" s="10" t="s">
        <v>73</v>
      </c>
      <c r="D112" s="11" t="s">
        <v>74</v>
      </c>
      <c r="E112" s="14"/>
      <c r="F112" s="14">
        <v>200.0</v>
      </c>
      <c r="G112" s="14"/>
      <c r="H112" s="14">
        <v>200.0</v>
      </c>
      <c r="I112" s="14"/>
      <c r="J112" s="14">
        <v>200.0</v>
      </c>
      <c r="K112" s="14"/>
      <c r="L112" s="14">
        <v>200.0</v>
      </c>
      <c r="M112" s="14"/>
      <c r="N112" s="14">
        <v>200.0</v>
      </c>
      <c r="O112" s="14"/>
      <c r="P112" s="14">
        <v>200.0</v>
      </c>
      <c r="Q112" s="13">
        <f t="shared" si="2"/>
        <v>1200</v>
      </c>
    </row>
    <row r="113">
      <c r="A113" s="10" t="str">
        <f t="shared" si="1"/>
        <v>(06) Finanzas</v>
      </c>
      <c r="B113" s="10" t="s">
        <v>43</v>
      </c>
      <c r="C113" s="10" t="s">
        <v>73</v>
      </c>
      <c r="D113" s="11" t="s">
        <v>74</v>
      </c>
      <c r="E113" s="14"/>
      <c r="F113" s="14">
        <v>200.0</v>
      </c>
      <c r="G113" s="14"/>
      <c r="H113" s="14">
        <v>200.0</v>
      </c>
      <c r="I113" s="14"/>
      <c r="J113" s="14">
        <v>200.0</v>
      </c>
      <c r="K113" s="14"/>
      <c r="L113" s="14">
        <v>200.0</v>
      </c>
      <c r="M113" s="14"/>
      <c r="N113" s="14">
        <v>200.0</v>
      </c>
      <c r="O113" s="14"/>
      <c r="P113" s="14">
        <v>200.0</v>
      </c>
      <c r="Q113" s="13">
        <f t="shared" si="2"/>
        <v>1200</v>
      </c>
    </row>
    <row r="114">
      <c r="A114" s="10" t="str">
        <f t="shared" si="1"/>
        <v>(06) Finanzas</v>
      </c>
      <c r="B114" s="10" t="s">
        <v>23</v>
      </c>
      <c r="C114" s="10" t="s">
        <v>73</v>
      </c>
      <c r="D114" s="11" t="s">
        <v>74</v>
      </c>
      <c r="E114" s="14"/>
      <c r="F114" s="14">
        <v>200.0</v>
      </c>
      <c r="G114" s="14"/>
      <c r="H114" s="14">
        <v>200.0</v>
      </c>
      <c r="I114" s="14"/>
      <c r="J114" s="14">
        <v>200.0</v>
      </c>
      <c r="K114" s="14"/>
      <c r="L114" s="14">
        <v>200.0</v>
      </c>
      <c r="M114" s="14"/>
      <c r="N114" s="14">
        <v>200.0</v>
      </c>
      <c r="O114" s="14"/>
      <c r="P114" s="14">
        <v>200.0</v>
      </c>
      <c r="Q114" s="13">
        <f t="shared" si="2"/>
        <v>1200</v>
      </c>
    </row>
    <row r="115">
      <c r="A115" s="10" t="str">
        <f t="shared" si="1"/>
        <v>(06) Finanzas</v>
      </c>
      <c r="B115" s="10" t="s">
        <v>41</v>
      </c>
      <c r="C115" s="10" t="s">
        <v>73</v>
      </c>
      <c r="D115" s="11" t="s">
        <v>74</v>
      </c>
      <c r="E115" s="14"/>
      <c r="F115" s="14">
        <v>200.0</v>
      </c>
      <c r="G115" s="14"/>
      <c r="H115" s="14">
        <v>200.0</v>
      </c>
      <c r="I115" s="14"/>
      <c r="J115" s="14">
        <v>200.0</v>
      </c>
      <c r="K115" s="14"/>
      <c r="L115" s="14">
        <v>200.0</v>
      </c>
      <c r="M115" s="14"/>
      <c r="N115" s="14">
        <v>200.0</v>
      </c>
      <c r="O115" s="14"/>
      <c r="P115" s="14">
        <v>200.0</v>
      </c>
      <c r="Q115" s="13">
        <f t="shared" si="2"/>
        <v>1200</v>
      </c>
    </row>
    <row r="116">
      <c r="A116" s="10" t="str">
        <f t="shared" si="1"/>
        <v>(06) Finanzas</v>
      </c>
      <c r="B116" s="10" t="s">
        <v>47</v>
      </c>
      <c r="C116" s="10" t="s">
        <v>73</v>
      </c>
      <c r="D116" s="11" t="s">
        <v>74</v>
      </c>
      <c r="E116" s="14"/>
      <c r="F116" s="14">
        <v>200.0</v>
      </c>
      <c r="G116" s="14"/>
      <c r="H116" s="14">
        <v>200.0</v>
      </c>
      <c r="I116" s="14"/>
      <c r="J116" s="14">
        <v>200.0</v>
      </c>
      <c r="K116" s="14"/>
      <c r="L116" s="14">
        <v>200.0</v>
      </c>
      <c r="M116" s="14"/>
      <c r="N116" s="14">
        <v>200.0</v>
      </c>
      <c r="O116" s="14"/>
      <c r="P116" s="14">
        <v>200.0</v>
      </c>
      <c r="Q116" s="13">
        <f t="shared" si="2"/>
        <v>1200</v>
      </c>
    </row>
    <row r="117">
      <c r="A117" s="10" t="str">
        <f t="shared" si="1"/>
        <v>(06) Finanzas</v>
      </c>
      <c r="B117" s="10" t="s">
        <v>44</v>
      </c>
      <c r="C117" s="10" t="s">
        <v>73</v>
      </c>
      <c r="D117" s="11" t="s">
        <v>74</v>
      </c>
      <c r="E117" s="14"/>
      <c r="F117" s="14">
        <v>200.0</v>
      </c>
      <c r="G117" s="14"/>
      <c r="H117" s="14">
        <v>200.0</v>
      </c>
      <c r="I117" s="14"/>
      <c r="J117" s="14">
        <v>200.0</v>
      </c>
      <c r="K117" s="14"/>
      <c r="L117" s="14">
        <v>200.0</v>
      </c>
      <c r="M117" s="14"/>
      <c r="N117" s="14">
        <v>200.0</v>
      </c>
      <c r="O117" s="14"/>
      <c r="P117" s="14">
        <v>200.0</v>
      </c>
      <c r="Q117" s="13">
        <f t="shared" si="2"/>
        <v>1200</v>
      </c>
    </row>
    <row r="118">
      <c r="A118" s="10" t="str">
        <f t="shared" si="1"/>
        <v>(06) Finanzas</v>
      </c>
      <c r="B118" s="10" t="s">
        <v>48</v>
      </c>
      <c r="C118" s="10" t="s">
        <v>73</v>
      </c>
      <c r="D118" s="11" t="s">
        <v>74</v>
      </c>
      <c r="E118" s="14"/>
      <c r="F118" s="14">
        <v>200.0</v>
      </c>
      <c r="G118" s="14"/>
      <c r="H118" s="14">
        <v>200.0</v>
      </c>
      <c r="I118" s="14"/>
      <c r="J118" s="14">
        <v>200.0</v>
      </c>
      <c r="K118" s="14"/>
      <c r="L118" s="14">
        <v>200.0</v>
      </c>
      <c r="M118" s="14"/>
      <c r="N118" s="14">
        <v>200.0</v>
      </c>
      <c r="O118" s="14"/>
      <c r="P118" s="14">
        <v>200.0</v>
      </c>
      <c r="Q118" s="13">
        <f t="shared" si="2"/>
        <v>1200</v>
      </c>
    </row>
    <row r="119">
      <c r="A119" s="10" t="str">
        <f t="shared" si="1"/>
        <v>(06) Finanzas</v>
      </c>
      <c r="B119" s="10" t="s">
        <v>24</v>
      </c>
      <c r="C119" s="10" t="s">
        <v>73</v>
      </c>
      <c r="D119" s="11" t="s">
        <v>74</v>
      </c>
      <c r="E119" s="14"/>
      <c r="F119" s="14">
        <v>200.0</v>
      </c>
      <c r="G119" s="14"/>
      <c r="H119" s="14">
        <v>200.0</v>
      </c>
      <c r="I119" s="14"/>
      <c r="J119" s="14">
        <v>200.0</v>
      </c>
      <c r="K119" s="14"/>
      <c r="L119" s="14">
        <v>200.0</v>
      </c>
      <c r="M119" s="14"/>
      <c r="N119" s="14">
        <v>200.0</v>
      </c>
      <c r="O119" s="14"/>
      <c r="P119" s="14">
        <v>200.0</v>
      </c>
      <c r="Q119" s="13">
        <f t="shared" si="2"/>
        <v>1200</v>
      </c>
    </row>
    <row r="120">
      <c r="A120" s="10" t="str">
        <f t="shared" si="1"/>
        <v>(06) Finanzas</v>
      </c>
      <c r="B120" s="10" t="s">
        <v>25</v>
      </c>
      <c r="C120" s="10" t="s">
        <v>73</v>
      </c>
      <c r="D120" s="11" t="s">
        <v>74</v>
      </c>
      <c r="E120" s="14"/>
      <c r="F120" s="14">
        <v>200.0</v>
      </c>
      <c r="G120" s="14"/>
      <c r="H120" s="14">
        <v>200.0</v>
      </c>
      <c r="I120" s="14"/>
      <c r="J120" s="14">
        <v>200.0</v>
      </c>
      <c r="K120" s="14"/>
      <c r="L120" s="14">
        <v>200.0</v>
      </c>
      <c r="M120" s="14"/>
      <c r="N120" s="14">
        <v>200.0</v>
      </c>
      <c r="O120" s="14"/>
      <c r="P120" s="14">
        <v>200.0</v>
      </c>
      <c r="Q120" s="13">
        <f t="shared" si="2"/>
        <v>1200</v>
      </c>
    </row>
    <row r="121">
      <c r="A121" s="10" t="str">
        <f t="shared" si="1"/>
        <v>(06) Finanzas</v>
      </c>
      <c r="B121" s="10" t="s">
        <v>26</v>
      </c>
      <c r="C121" s="10" t="s">
        <v>73</v>
      </c>
      <c r="D121" s="11" t="s">
        <v>74</v>
      </c>
      <c r="E121" s="14"/>
      <c r="F121" s="14">
        <v>200.0</v>
      </c>
      <c r="G121" s="14"/>
      <c r="H121" s="14">
        <v>200.0</v>
      </c>
      <c r="I121" s="14"/>
      <c r="J121" s="14">
        <v>200.0</v>
      </c>
      <c r="K121" s="14"/>
      <c r="L121" s="14">
        <v>200.0</v>
      </c>
      <c r="M121" s="14"/>
      <c r="N121" s="14">
        <v>200.0</v>
      </c>
      <c r="O121" s="14"/>
      <c r="P121" s="14">
        <v>200.0</v>
      </c>
      <c r="Q121" s="13">
        <f t="shared" si="2"/>
        <v>1200</v>
      </c>
    </row>
    <row r="122">
      <c r="A122" s="10" t="str">
        <f t="shared" si="1"/>
        <v>(06) Finanzas</v>
      </c>
      <c r="B122" s="10" t="s">
        <v>27</v>
      </c>
      <c r="C122" s="10" t="s">
        <v>73</v>
      </c>
      <c r="D122" s="11" t="s">
        <v>74</v>
      </c>
      <c r="E122" s="14"/>
      <c r="F122" s="14">
        <v>200.0</v>
      </c>
      <c r="G122" s="14"/>
      <c r="H122" s="14">
        <v>200.0</v>
      </c>
      <c r="I122" s="14"/>
      <c r="J122" s="14">
        <v>200.0</v>
      </c>
      <c r="K122" s="14"/>
      <c r="L122" s="14">
        <v>200.0</v>
      </c>
      <c r="M122" s="14"/>
      <c r="N122" s="14">
        <v>200.0</v>
      </c>
      <c r="O122" s="14"/>
      <c r="P122" s="14">
        <v>200.0</v>
      </c>
      <c r="Q122" s="13">
        <f t="shared" si="2"/>
        <v>1200</v>
      </c>
    </row>
    <row r="123">
      <c r="A123" s="10" t="str">
        <f t="shared" si="1"/>
        <v>(06) Finanzas</v>
      </c>
      <c r="B123" s="10" t="s">
        <v>28</v>
      </c>
      <c r="C123" s="10" t="s">
        <v>73</v>
      </c>
      <c r="D123" s="11" t="s">
        <v>74</v>
      </c>
      <c r="E123" s="14"/>
      <c r="F123" s="14">
        <v>200.0</v>
      </c>
      <c r="G123" s="14"/>
      <c r="H123" s="14">
        <v>200.0</v>
      </c>
      <c r="I123" s="14"/>
      <c r="J123" s="14">
        <v>200.0</v>
      </c>
      <c r="K123" s="14"/>
      <c r="L123" s="14">
        <v>200.0</v>
      </c>
      <c r="M123" s="14"/>
      <c r="N123" s="14">
        <v>200.0</v>
      </c>
      <c r="O123" s="14"/>
      <c r="P123" s="14">
        <v>200.0</v>
      </c>
      <c r="Q123" s="13">
        <f t="shared" si="2"/>
        <v>1200</v>
      </c>
    </row>
    <row r="124">
      <c r="A124" s="10" t="str">
        <f t="shared" si="1"/>
        <v>(06) Finanzas</v>
      </c>
      <c r="B124" s="10" t="s">
        <v>29</v>
      </c>
      <c r="C124" s="10" t="s">
        <v>73</v>
      </c>
      <c r="D124" s="11" t="s">
        <v>74</v>
      </c>
      <c r="E124" s="14"/>
      <c r="F124" s="14">
        <v>200.0</v>
      </c>
      <c r="G124" s="14"/>
      <c r="H124" s="14">
        <v>200.0</v>
      </c>
      <c r="I124" s="14"/>
      <c r="J124" s="14">
        <v>200.0</v>
      </c>
      <c r="K124" s="14"/>
      <c r="L124" s="14">
        <v>200.0</v>
      </c>
      <c r="M124" s="14"/>
      <c r="N124" s="14">
        <v>200.0</v>
      </c>
      <c r="O124" s="14"/>
      <c r="P124" s="14">
        <v>200.0</v>
      </c>
      <c r="Q124" s="13">
        <f t="shared" si="2"/>
        <v>1200</v>
      </c>
    </row>
    <row r="125">
      <c r="A125" s="10" t="str">
        <f t="shared" si="1"/>
        <v>(06) Finanzas</v>
      </c>
      <c r="B125" s="10" t="s">
        <v>40</v>
      </c>
      <c r="C125" s="10" t="s">
        <v>73</v>
      </c>
      <c r="D125" s="11" t="s">
        <v>74</v>
      </c>
      <c r="E125" s="14"/>
      <c r="F125" s="14">
        <v>200.0</v>
      </c>
      <c r="G125" s="14"/>
      <c r="H125" s="14">
        <v>200.0</v>
      </c>
      <c r="I125" s="14"/>
      <c r="J125" s="14">
        <v>200.0</v>
      </c>
      <c r="K125" s="14"/>
      <c r="L125" s="14">
        <v>200.0</v>
      </c>
      <c r="M125" s="14"/>
      <c r="N125" s="14">
        <v>200.0</v>
      </c>
      <c r="O125" s="14"/>
      <c r="P125" s="14">
        <v>200.0</v>
      </c>
      <c r="Q125" s="13">
        <f t="shared" si="2"/>
        <v>1200</v>
      </c>
    </row>
    <row r="126">
      <c r="A126" s="10" t="str">
        <f t="shared" si="1"/>
        <v>(06) Finanzas</v>
      </c>
      <c r="B126" s="10" t="s">
        <v>49</v>
      </c>
      <c r="C126" s="10" t="s">
        <v>73</v>
      </c>
      <c r="D126" s="11" t="s">
        <v>74</v>
      </c>
      <c r="E126" s="14"/>
      <c r="F126" s="14">
        <v>200.0</v>
      </c>
      <c r="G126" s="14"/>
      <c r="H126" s="14">
        <v>200.0</v>
      </c>
      <c r="I126" s="14"/>
      <c r="J126" s="14">
        <v>200.0</v>
      </c>
      <c r="K126" s="14"/>
      <c r="L126" s="14">
        <v>200.0</v>
      </c>
      <c r="M126" s="14"/>
      <c r="N126" s="14">
        <v>200.0</v>
      </c>
      <c r="O126" s="14"/>
      <c r="P126" s="14">
        <v>200.0</v>
      </c>
      <c r="Q126" s="13">
        <f t="shared" si="2"/>
        <v>1200</v>
      </c>
    </row>
    <row r="127">
      <c r="A127" s="10" t="str">
        <f t="shared" si="1"/>
        <v>(06) Finanzas</v>
      </c>
      <c r="B127" s="10" t="s">
        <v>30</v>
      </c>
      <c r="C127" s="10" t="s">
        <v>73</v>
      </c>
      <c r="D127" s="11" t="s">
        <v>74</v>
      </c>
      <c r="E127" s="14"/>
      <c r="F127" s="14">
        <v>200.0</v>
      </c>
      <c r="G127" s="14"/>
      <c r="H127" s="14">
        <v>200.0</v>
      </c>
      <c r="I127" s="14"/>
      <c r="J127" s="14">
        <v>200.0</v>
      </c>
      <c r="K127" s="14"/>
      <c r="L127" s="14">
        <v>200.0</v>
      </c>
      <c r="M127" s="14"/>
      <c r="N127" s="14">
        <v>200.0</v>
      </c>
      <c r="O127" s="14"/>
      <c r="P127" s="14">
        <v>200.0</v>
      </c>
      <c r="Q127" s="13">
        <f t="shared" si="2"/>
        <v>1200</v>
      </c>
    </row>
    <row r="128">
      <c r="A128" s="10" t="str">
        <f t="shared" si="1"/>
        <v>(06) Finanzas</v>
      </c>
      <c r="B128" s="10" t="s">
        <v>36</v>
      </c>
      <c r="C128" s="10" t="s">
        <v>73</v>
      </c>
      <c r="D128" s="11" t="s">
        <v>74</v>
      </c>
      <c r="E128" s="14"/>
      <c r="F128" s="14">
        <v>200.0</v>
      </c>
      <c r="G128" s="14"/>
      <c r="H128" s="14">
        <v>200.0</v>
      </c>
      <c r="I128" s="14"/>
      <c r="J128" s="14">
        <v>200.0</v>
      </c>
      <c r="K128" s="14"/>
      <c r="L128" s="14">
        <v>200.0</v>
      </c>
      <c r="M128" s="14"/>
      <c r="N128" s="14">
        <v>200.0</v>
      </c>
      <c r="O128" s="14"/>
      <c r="P128" s="14">
        <v>200.0</v>
      </c>
      <c r="Q128" s="13">
        <f t="shared" si="2"/>
        <v>1200</v>
      </c>
    </row>
    <row r="129">
      <c r="A129" s="10" t="str">
        <f t="shared" si="1"/>
        <v>(06) Finanzas</v>
      </c>
      <c r="B129" s="10" t="s">
        <v>31</v>
      </c>
      <c r="C129" s="10" t="s">
        <v>73</v>
      </c>
      <c r="D129" s="11" t="s">
        <v>74</v>
      </c>
      <c r="E129" s="14"/>
      <c r="F129" s="14">
        <v>200.0</v>
      </c>
      <c r="G129" s="14"/>
      <c r="H129" s="14">
        <v>200.0</v>
      </c>
      <c r="I129" s="14"/>
      <c r="J129" s="14">
        <v>200.0</v>
      </c>
      <c r="K129" s="14"/>
      <c r="L129" s="14">
        <v>200.0</v>
      </c>
      <c r="M129" s="14"/>
      <c r="N129" s="14">
        <v>200.0</v>
      </c>
      <c r="O129" s="14"/>
      <c r="P129" s="14">
        <v>200.0</v>
      </c>
      <c r="Q129" s="13">
        <f t="shared" si="2"/>
        <v>1200</v>
      </c>
    </row>
    <row r="130">
      <c r="A130" s="10" t="str">
        <f t="shared" si="1"/>
        <v>(06) Finanzas</v>
      </c>
      <c r="B130" s="10" t="s">
        <v>32</v>
      </c>
      <c r="C130" s="10" t="s">
        <v>73</v>
      </c>
      <c r="D130" s="11" t="s">
        <v>74</v>
      </c>
      <c r="E130" s="14"/>
      <c r="F130" s="14">
        <v>200.0</v>
      </c>
      <c r="G130" s="14"/>
      <c r="H130" s="14">
        <v>200.0</v>
      </c>
      <c r="I130" s="14"/>
      <c r="J130" s="14">
        <v>200.0</v>
      </c>
      <c r="K130" s="14"/>
      <c r="L130" s="14">
        <v>200.0</v>
      </c>
      <c r="M130" s="14"/>
      <c r="N130" s="14">
        <v>200.0</v>
      </c>
      <c r="O130" s="14"/>
      <c r="P130" s="14">
        <v>200.0</v>
      </c>
      <c r="Q130" s="13">
        <f t="shared" si="2"/>
        <v>1200</v>
      </c>
    </row>
    <row r="131">
      <c r="A131" s="10" t="str">
        <f t="shared" si="1"/>
        <v>(06) Finanzas</v>
      </c>
      <c r="B131" s="10" t="s">
        <v>34</v>
      </c>
      <c r="C131" s="10" t="s">
        <v>73</v>
      </c>
      <c r="D131" s="11" t="s">
        <v>74</v>
      </c>
      <c r="E131" s="14"/>
      <c r="F131" s="14">
        <v>200.0</v>
      </c>
      <c r="G131" s="14"/>
      <c r="H131" s="14">
        <v>200.0</v>
      </c>
      <c r="I131" s="14"/>
      <c r="J131" s="14">
        <v>200.0</v>
      </c>
      <c r="K131" s="14"/>
      <c r="L131" s="14">
        <v>200.0</v>
      </c>
      <c r="M131" s="14"/>
      <c r="N131" s="14">
        <v>200.0</v>
      </c>
      <c r="O131" s="14"/>
      <c r="P131" s="14">
        <v>200.0</v>
      </c>
      <c r="Q131" s="13">
        <f t="shared" si="2"/>
        <v>1200</v>
      </c>
    </row>
    <row r="132">
      <c r="A132" s="10" t="str">
        <f t="shared" si="1"/>
        <v>(06) Finanzas</v>
      </c>
      <c r="B132" s="10" t="s">
        <v>33</v>
      </c>
      <c r="C132" s="10" t="s">
        <v>73</v>
      </c>
      <c r="D132" s="11" t="s">
        <v>74</v>
      </c>
      <c r="E132" s="14"/>
      <c r="F132" s="14">
        <v>200.0</v>
      </c>
      <c r="G132" s="14"/>
      <c r="H132" s="14">
        <v>200.0</v>
      </c>
      <c r="I132" s="14"/>
      <c r="J132" s="14">
        <v>200.0</v>
      </c>
      <c r="K132" s="14"/>
      <c r="L132" s="14">
        <v>200.0</v>
      </c>
      <c r="M132" s="14"/>
      <c r="N132" s="14">
        <v>200.0</v>
      </c>
      <c r="O132" s="14"/>
      <c r="P132" s="14">
        <v>200.0</v>
      </c>
      <c r="Q132" s="13">
        <f t="shared" si="2"/>
        <v>1200</v>
      </c>
    </row>
    <row r="133">
      <c r="A133" s="10" t="str">
        <f t="shared" si="1"/>
        <v>(06) Finanzas</v>
      </c>
      <c r="B133" s="10" t="s">
        <v>37</v>
      </c>
      <c r="C133" s="10" t="s">
        <v>73</v>
      </c>
      <c r="D133" s="11" t="s">
        <v>74</v>
      </c>
      <c r="E133" s="14"/>
      <c r="F133" s="14">
        <v>200.0</v>
      </c>
      <c r="G133" s="14"/>
      <c r="H133" s="14">
        <v>200.0</v>
      </c>
      <c r="I133" s="14"/>
      <c r="J133" s="14">
        <v>200.0</v>
      </c>
      <c r="K133" s="14"/>
      <c r="L133" s="14">
        <v>200.0</v>
      </c>
      <c r="M133" s="14"/>
      <c r="N133" s="14">
        <v>200.0</v>
      </c>
      <c r="O133" s="14"/>
      <c r="P133" s="14">
        <v>200.0</v>
      </c>
      <c r="Q133" s="13">
        <f t="shared" si="2"/>
        <v>1200</v>
      </c>
    </row>
    <row r="134">
      <c r="A134" s="10" t="str">
        <f t="shared" si="1"/>
        <v>(06) Finanzas</v>
      </c>
      <c r="B134" s="10" t="s">
        <v>35</v>
      </c>
      <c r="C134" s="10" t="s">
        <v>73</v>
      </c>
      <c r="D134" s="11" t="s">
        <v>74</v>
      </c>
      <c r="E134" s="14"/>
      <c r="F134" s="14">
        <v>200.0</v>
      </c>
      <c r="G134" s="14"/>
      <c r="H134" s="14">
        <v>200.0</v>
      </c>
      <c r="I134" s="14"/>
      <c r="J134" s="14">
        <v>200.0</v>
      </c>
      <c r="K134" s="14"/>
      <c r="L134" s="14">
        <v>200.0</v>
      </c>
      <c r="M134" s="14"/>
      <c r="N134" s="14">
        <v>200.0</v>
      </c>
      <c r="O134" s="14"/>
      <c r="P134" s="14">
        <v>200.0</v>
      </c>
      <c r="Q134" s="13">
        <f t="shared" si="2"/>
        <v>1200</v>
      </c>
    </row>
    <row r="135">
      <c r="A135" s="10" t="str">
        <f t="shared" si="1"/>
        <v>(06) Finanzas</v>
      </c>
      <c r="B135" s="10" t="s">
        <v>39</v>
      </c>
      <c r="C135" s="10" t="s">
        <v>73</v>
      </c>
      <c r="D135" s="11" t="s">
        <v>74</v>
      </c>
      <c r="E135" s="14"/>
      <c r="F135" s="14">
        <v>200.0</v>
      </c>
      <c r="G135" s="14"/>
      <c r="H135" s="14">
        <v>200.0</v>
      </c>
      <c r="I135" s="14"/>
      <c r="J135" s="14">
        <v>200.0</v>
      </c>
      <c r="K135" s="14"/>
      <c r="L135" s="14">
        <v>200.0</v>
      </c>
      <c r="M135" s="14"/>
      <c r="N135" s="14">
        <v>200.0</v>
      </c>
      <c r="O135" s="14"/>
      <c r="P135" s="14">
        <v>200.0</v>
      </c>
      <c r="Q135" s="13">
        <f t="shared" si="2"/>
        <v>1200</v>
      </c>
    </row>
    <row r="136">
      <c r="A136" s="10" t="str">
        <f t="shared" si="1"/>
        <v>(06) Finanzas</v>
      </c>
      <c r="B136" s="10" t="s">
        <v>50</v>
      </c>
      <c r="C136" s="10" t="s">
        <v>73</v>
      </c>
      <c r="D136" s="11" t="s">
        <v>74</v>
      </c>
      <c r="E136" s="14"/>
      <c r="F136" s="14">
        <v>200.0</v>
      </c>
      <c r="G136" s="14"/>
      <c r="H136" s="14">
        <v>200.0</v>
      </c>
      <c r="I136" s="14"/>
      <c r="J136" s="14">
        <v>200.0</v>
      </c>
      <c r="K136" s="14"/>
      <c r="L136" s="14">
        <v>200.0</v>
      </c>
      <c r="M136" s="14"/>
      <c r="N136" s="14">
        <v>200.0</v>
      </c>
      <c r="O136" s="14"/>
      <c r="P136" s="14">
        <v>200.0</v>
      </c>
      <c r="Q136" s="13">
        <f t="shared" si="2"/>
        <v>1200</v>
      </c>
    </row>
    <row r="137">
      <c r="A137" s="10" t="str">
        <f t="shared" si="1"/>
        <v>(06) Finanzas</v>
      </c>
      <c r="B137" s="10" t="s">
        <v>52</v>
      </c>
      <c r="C137" s="10" t="s">
        <v>73</v>
      </c>
      <c r="D137" s="11" t="s">
        <v>74</v>
      </c>
      <c r="E137" s="14"/>
      <c r="F137" s="14">
        <v>200.0</v>
      </c>
      <c r="G137" s="14"/>
      <c r="H137" s="14">
        <v>200.0</v>
      </c>
      <c r="I137" s="14"/>
      <c r="J137" s="14">
        <v>200.0</v>
      </c>
      <c r="K137" s="14"/>
      <c r="L137" s="14">
        <v>200.0</v>
      </c>
      <c r="M137" s="14"/>
      <c r="N137" s="14">
        <v>200.0</v>
      </c>
      <c r="O137" s="14"/>
      <c r="P137" s="14">
        <v>200.0</v>
      </c>
      <c r="Q137" s="13">
        <f t="shared" si="2"/>
        <v>1200</v>
      </c>
    </row>
    <row r="138">
      <c r="A138" s="10" t="str">
        <f t="shared" si="1"/>
        <v>(06) Finanzas</v>
      </c>
      <c r="B138" s="10" t="s">
        <v>54</v>
      </c>
      <c r="C138" s="10" t="s">
        <v>73</v>
      </c>
      <c r="D138" s="11" t="s">
        <v>74</v>
      </c>
      <c r="E138" s="14"/>
      <c r="F138" s="14">
        <v>200.0</v>
      </c>
      <c r="G138" s="14"/>
      <c r="H138" s="14">
        <v>200.0</v>
      </c>
      <c r="I138" s="14"/>
      <c r="J138" s="14">
        <v>200.0</v>
      </c>
      <c r="K138" s="14"/>
      <c r="L138" s="14">
        <v>200.0</v>
      </c>
      <c r="M138" s="14"/>
      <c r="N138" s="14">
        <v>200.0</v>
      </c>
      <c r="O138" s="14"/>
      <c r="P138" s="14">
        <v>200.0</v>
      </c>
      <c r="Q138" s="13">
        <f t="shared" si="2"/>
        <v>1200</v>
      </c>
    </row>
    <row r="139">
      <c r="A139" s="10" t="str">
        <f t="shared" si="1"/>
        <v>(06) Finanzas</v>
      </c>
      <c r="B139" s="10" t="s">
        <v>55</v>
      </c>
      <c r="C139" s="10" t="s">
        <v>73</v>
      </c>
      <c r="D139" s="11" t="s">
        <v>75</v>
      </c>
      <c r="E139" s="14">
        <v>1000.0</v>
      </c>
      <c r="F139" s="14">
        <v>1000.0</v>
      </c>
      <c r="G139" s="14">
        <v>1000.0</v>
      </c>
      <c r="H139" s="14">
        <v>1000.0</v>
      </c>
      <c r="I139" s="14">
        <v>1000.0</v>
      </c>
      <c r="J139" s="14">
        <v>1000.0</v>
      </c>
      <c r="K139" s="14">
        <v>1000.0</v>
      </c>
      <c r="L139" s="14">
        <v>1000.0</v>
      </c>
      <c r="M139" s="14">
        <v>1000.0</v>
      </c>
      <c r="N139" s="14">
        <v>1000.0</v>
      </c>
      <c r="O139" s="14">
        <v>1000.0</v>
      </c>
      <c r="P139" s="14">
        <v>1000.0</v>
      </c>
      <c r="Q139" s="13">
        <f t="shared" si="2"/>
        <v>12000</v>
      </c>
    </row>
    <row r="140">
      <c r="A140" s="10" t="str">
        <f t="shared" si="1"/>
        <v>(06) Finanzas</v>
      </c>
      <c r="B140" s="10" t="s">
        <v>55</v>
      </c>
      <c r="C140" s="10" t="s">
        <v>64</v>
      </c>
      <c r="D140" s="11" t="s">
        <v>76</v>
      </c>
      <c r="E140" s="14">
        <v>45000.0</v>
      </c>
      <c r="F140" s="14">
        <v>45000.0</v>
      </c>
      <c r="G140" s="14">
        <v>45000.0</v>
      </c>
      <c r="H140" s="14">
        <v>45000.0</v>
      </c>
      <c r="I140" s="14">
        <v>45000.0</v>
      </c>
      <c r="J140" s="14">
        <v>45000.0</v>
      </c>
      <c r="K140" s="14">
        <v>45000.0</v>
      </c>
      <c r="L140" s="14">
        <v>45000.0</v>
      </c>
      <c r="M140" s="14">
        <v>45000.0</v>
      </c>
      <c r="N140" s="14">
        <v>45000.0</v>
      </c>
      <c r="O140" s="14">
        <v>45000.0</v>
      </c>
      <c r="P140" s="14">
        <v>45000.0</v>
      </c>
      <c r="Q140" s="13">
        <f t="shared" si="2"/>
        <v>540000</v>
      </c>
    </row>
    <row r="141">
      <c r="A141" s="10" t="str">
        <f t="shared" si="1"/>
        <v>(06) Finanzas</v>
      </c>
      <c r="B141" s="10" t="s">
        <v>55</v>
      </c>
      <c r="C141" s="10" t="s">
        <v>64</v>
      </c>
      <c r="D141" s="11" t="s">
        <v>77</v>
      </c>
      <c r="E141" s="14">
        <v>20000.0</v>
      </c>
      <c r="F141" s="14">
        <v>20000.0</v>
      </c>
      <c r="G141" s="14">
        <v>20000.0</v>
      </c>
      <c r="H141" s="14">
        <v>20000.0</v>
      </c>
      <c r="I141" s="14">
        <v>20000.0</v>
      </c>
      <c r="J141" s="14">
        <v>20000.0</v>
      </c>
      <c r="K141" s="14">
        <v>20000.0</v>
      </c>
      <c r="L141" s="14">
        <v>20000.0</v>
      </c>
      <c r="M141" s="14">
        <v>20000.0</v>
      </c>
      <c r="N141" s="14">
        <v>20000.0</v>
      </c>
      <c r="O141" s="14">
        <v>20000.0</v>
      </c>
      <c r="P141" s="14">
        <v>20000.0</v>
      </c>
      <c r="Q141" s="13">
        <f t="shared" si="2"/>
        <v>240000</v>
      </c>
    </row>
    <row r="142">
      <c r="A142" s="10" t="str">
        <f t="shared" si="1"/>
        <v>(06) Finanzas</v>
      </c>
      <c r="B142" s="10" t="s">
        <v>55</v>
      </c>
      <c r="C142" s="10" t="s">
        <v>78</v>
      </c>
      <c r="D142" s="11" t="s">
        <v>79</v>
      </c>
      <c r="E142" s="14">
        <v>5300.0</v>
      </c>
      <c r="F142" s="14">
        <v>5300.0</v>
      </c>
      <c r="G142" s="14">
        <v>5300.0</v>
      </c>
      <c r="H142" s="14">
        <v>5300.0</v>
      </c>
      <c r="I142" s="14">
        <v>5300.0</v>
      </c>
      <c r="J142" s="14">
        <v>5300.0</v>
      </c>
      <c r="K142" s="14">
        <v>5300.0</v>
      </c>
      <c r="L142" s="14">
        <v>5300.0</v>
      </c>
      <c r="M142" s="14">
        <v>5300.0</v>
      </c>
      <c r="N142" s="14">
        <v>5300.0</v>
      </c>
      <c r="O142" s="14">
        <v>5300.0</v>
      </c>
      <c r="P142" s="14">
        <v>5300.0</v>
      </c>
      <c r="Q142" s="13">
        <f t="shared" si="2"/>
        <v>63600</v>
      </c>
    </row>
    <row r="143">
      <c r="A143" s="10" t="str">
        <f t="shared" si="1"/>
        <v>(06) Finanzas</v>
      </c>
      <c r="B143" s="10" t="s">
        <v>55</v>
      </c>
      <c r="C143" s="10" t="s">
        <v>73</v>
      </c>
      <c r="D143" s="11" t="s">
        <v>80</v>
      </c>
      <c r="E143" s="14">
        <v>5750.0</v>
      </c>
      <c r="F143" s="14">
        <v>5750.0</v>
      </c>
      <c r="G143" s="14">
        <v>5750.0</v>
      </c>
      <c r="H143" s="14">
        <v>5750.0</v>
      </c>
      <c r="I143" s="14">
        <v>5750.0</v>
      </c>
      <c r="J143" s="14">
        <v>5750.0</v>
      </c>
      <c r="K143" s="14">
        <v>5750.0</v>
      </c>
      <c r="L143" s="14">
        <v>5750.0</v>
      </c>
      <c r="M143" s="14">
        <v>5750.0</v>
      </c>
      <c r="N143" s="14">
        <v>5750.0</v>
      </c>
      <c r="O143" s="14">
        <v>5750.0</v>
      </c>
      <c r="P143" s="14">
        <v>5750.0</v>
      </c>
      <c r="Q143" s="13">
        <f t="shared" si="2"/>
        <v>69000</v>
      </c>
    </row>
    <row r="144">
      <c r="A144" s="10" t="str">
        <f t="shared" si="1"/>
        <v>(06) Finanzas</v>
      </c>
      <c r="B144" s="10" t="s">
        <v>51</v>
      </c>
      <c r="C144" s="10" t="s">
        <v>56</v>
      </c>
      <c r="D144" s="16"/>
      <c r="E144" s="14">
        <v>283.62</v>
      </c>
      <c r="F144" s="14">
        <v>283.62</v>
      </c>
      <c r="G144" s="14">
        <v>283.62</v>
      </c>
      <c r="H144" s="14">
        <v>283.62</v>
      </c>
      <c r="I144" s="14">
        <v>283.62</v>
      </c>
      <c r="J144" s="14">
        <v>283.62</v>
      </c>
      <c r="K144" s="14">
        <v>283.62</v>
      </c>
      <c r="L144" s="14">
        <v>283.62</v>
      </c>
      <c r="M144" s="14">
        <v>283.62</v>
      </c>
      <c r="N144" s="14">
        <v>283.62</v>
      </c>
      <c r="O144" s="14">
        <v>283.62</v>
      </c>
      <c r="P144" s="14">
        <v>283.62</v>
      </c>
      <c r="Q144" s="13">
        <f t="shared" si="2"/>
        <v>3403.44</v>
      </c>
    </row>
    <row r="145">
      <c r="A145" s="10" t="str">
        <f t="shared" si="1"/>
        <v>(06) Finanzas</v>
      </c>
      <c r="B145" s="10" t="s">
        <v>55</v>
      </c>
      <c r="C145" s="10" t="s">
        <v>81</v>
      </c>
      <c r="D145" s="11" t="s">
        <v>82</v>
      </c>
      <c r="E145" s="14">
        <v>87450.0</v>
      </c>
      <c r="F145" s="14">
        <v>87450.0</v>
      </c>
      <c r="G145" s="14">
        <v>87450.0</v>
      </c>
      <c r="H145" s="14">
        <v>87450.0</v>
      </c>
      <c r="I145" s="14">
        <v>87450.0</v>
      </c>
      <c r="J145" s="14">
        <v>87450.0</v>
      </c>
      <c r="K145" s="14">
        <v>87450.0</v>
      </c>
      <c r="L145" s="14">
        <v>87450.0</v>
      </c>
      <c r="M145" s="14">
        <v>87450.0</v>
      </c>
      <c r="N145" s="14">
        <v>87450.0</v>
      </c>
      <c r="O145" s="14">
        <v>87450.0</v>
      </c>
      <c r="P145" s="14">
        <v>87450.0</v>
      </c>
      <c r="Q145" s="13">
        <f t="shared" si="2"/>
        <v>1049400</v>
      </c>
    </row>
    <row r="146">
      <c r="A146" s="10" t="str">
        <f t="shared" si="1"/>
        <v>(06) Finanzas</v>
      </c>
      <c r="B146" s="18"/>
      <c r="C146" s="18"/>
      <c r="D146" s="1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3">
        <f t="shared" si="2"/>
        <v>0</v>
      </c>
    </row>
    <row r="147">
      <c r="A147" s="10" t="str">
        <f t="shared" si="1"/>
        <v>(06) Finanzas</v>
      </c>
      <c r="B147" s="18"/>
      <c r="C147" s="18"/>
      <c r="D147" s="16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3">
        <f t="shared" si="2"/>
        <v>0</v>
      </c>
    </row>
    <row r="148">
      <c r="A148" s="10" t="str">
        <f t="shared" si="1"/>
        <v>(06) Finanzas</v>
      </c>
      <c r="B148" s="18"/>
      <c r="C148" s="18"/>
      <c r="D148" s="16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3">
        <f t="shared" si="2"/>
        <v>0</v>
      </c>
    </row>
    <row r="149">
      <c r="A149" s="10" t="str">
        <f t="shared" si="1"/>
        <v>(06) Finanzas</v>
      </c>
      <c r="B149" s="18"/>
      <c r="C149" s="18"/>
      <c r="D149" s="16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3">
        <f t="shared" si="2"/>
        <v>0</v>
      </c>
    </row>
    <row r="150">
      <c r="A150" s="10" t="str">
        <f t="shared" si="1"/>
        <v>(06) Finanzas</v>
      </c>
      <c r="B150" s="18"/>
      <c r="C150" s="18"/>
      <c r="D150" s="1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3">
        <f t="shared" si="2"/>
        <v>0</v>
      </c>
    </row>
    <row r="151">
      <c r="A151" s="10" t="str">
        <f t="shared" si="1"/>
        <v>(06) Finanzas</v>
      </c>
      <c r="B151" s="18"/>
      <c r="C151" s="18"/>
      <c r="D151" s="16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3">
        <f t="shared" si="2"/>
        <v>0</v>
      </c>
    </row>
    <row r="152">
      <c r="A152" s="10" t="str">
        <f t="shared" si="1"/>
        <v>(06) Finanzas</v>
      </c>
      <c r="B152" s="18"/>
      <c r="C152" s="18"/>
      <c r="D152" s="16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3">
        <f t="shared" si="2"/>
        <v>0</v>
      </c>
    </row>
    <row r="153">
      <c r="A153" s="10" t="str">
        <f t="shared" si="1"/>
        <v>(06) Finanzas</v>
      </c>
      <c r="B153" s="18"/>
      <c r="C153" s="18"/>
      <c r="D153" s="16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3">
        <f t="shared" si="2"/>
        <v>0</v>
      </c>
    </row>
    <row r="154">
      <c r="A154" s="10" t="str">
        <f t="shared" si="1"/>
        <v>(06) Finanzas</v>
      </c>
      <c r="B154" s="18"/>
      <c r="C154" s="18"/>
      <c r="D154" s="16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3">
        <f t="shared" si="2"/>
        <v>0</v>
      </c>
    </row>
    <row r="155">
      <c r="A155" s="10" t="str">
        <f t="shared" si="1"/>
        <v>(06) Finanzas</v>
      </c>
      <c r="B155" s="18"/>
      <c r="C155" s="18"/>
      <c r="D155" s="16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3">
        <f t="shared" si="2"/>
        <v>0</v>
      </c>
    </row>
    <row r="156">
      <c r="A156" s="10" t="str">
        <f t="shared" si="1"/>
        <v>(06) Finanzas</v>
      </c>
      <c r="B156" s="18"/>
      <c r="C156" s="18"/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3">
        <f t="shared" si="2"/>
        <v>0</v>
      </c>
    </row>
    <row r="157">
      <c r="A157" s="10" t="str">
        <f t="shared" si="1"/>
        <v>(06) Finanzas</v>
      </c>
      <c r="B157" s="18"/>
      <c r="C157" s="18"/>
      <c r="D157" s="16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3">
        <f t="shared" si="2"/>
        <v>0</v>
      </c>
    </row>
    <row r="158">
      <c r="A158" s="10" t="str">
        <f t="shared" si="1"/>
        <v>(06) Finanzas</v>
      </c>
      <c r="B158" s="18"/>
      <c r="C158" s="18"/>
      <c r="D158" s="16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3">
        <f t="shared" si="2"/>
        <v>0</v>
      </c>
    </row>
    <row r="159">
      <c r="A159" s="10" t="str">
        <f t="shared" si="1"/>
        <v>(06) Finanzas</v>
      </c>
      <c r="B159" s="18"/>
      <c r="C159" s="18"/>
      <c r="D159" s="16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3">
        <f t="shared" si="2"/>
        <v>0</v>
      </c>
    </row>
    <row r="160">
      <c r="A160" s="10" t="str">
        <f t="shared" si="1"/>
        <v>(06) Finanzas</v>
      </c>
      <c r="B160" s="18"/>
      <c r="C160" s="18"/>
      <c r="D160" s="16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3">
        <f t="shared" si="2"/>
        <v>0</v>
      </c>
    </row>
    <row r="161">
      <c r="A161" s="10" t="str">
        <f t="shared" si="1"/>
        <v>(06) Finanzas</v>
      </c>
      <c r="B161" s="18"/>
      <c r="C161" s="18"/>
      <c r="D161" s="16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3">
        <f t="shared" si="2"/>
        <v>0</v>
      </c>
    </row>
    <row r="162">
      <c r="A162" s="10" t="str">
        <f t="shared" si="1"/>
        <v>(06) Finanzas</v>
      </c>
      <c r="B162" s="18"/>
      <c r="C162" s="18"/>
      <c r="D162" s="16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3">
        <f t="shared" si="2"/>
        <v>0</v>
      </c>
    </row>
    <row r="163">
      <c r="A163" s="10" t="str">
        <f t="shared" si="1"/>
        <v>(06) Finanzas</v>
      </c>
      <c r="B163" s="18"/>
      <c r="C163" s="18"/>
      <c r="D163" s="16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3">
        <f t="shared" si="2"/>
        <v>0</v>
      </c>
    </row>
    <row r="164">
      <c r="A164" s="10" t="str">
        <f t="shared" si="1"/>
        <v>(06) Finanzas</v>
      </c>
      <c r="B164" s="18"/>
      <c r="C164" s="18"/>
      <c r="D164" s="16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3">
        <f t="shared" si="2"/>
        <v>0</v>
      </c>
    </row>
    <row r="165">
      <c r="A165" s="10" t="str">
        <f t="shared" si="1"/>
        <v>(06) Finanzas</v>
      </c>
      <c r="B165" s="18"/>
      <c r="C165" s="18"/>
      <c r="D165" s="16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3">
        <f t="shared" si="2"/>
        <v>0</v>
      </c>
    </row>
    <row r="166">
      <c r="A166" s="10" t="str">
        <f t="shared" si="1"/>
        <v>(06) Finanzas</v>
      </c>
      <c r="B166" s="18"/>
      <c r="C166" s="18"/>
      <c r="D166" s="16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3">
        <f t="shared" si="2"/>
        <v>0</v>
      </c>
    </row>
    <row r="167">
      <c r="A167" s="10" t="str">
        <f t="shared" si="1"/>
        <v>(06) Finanzas</v>
      </c>
      <c r="B167" s="18"/>
      <c r="C167" s="18"/>
      <c r="D167" s="16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3">
        <f t="shared" si="2"/>
        <v>0</v>
      </c>
    </row>
    <row r="168">
      <c r="A168" s="10" t="str">
        <f t="shared" si="1"/>
        <v>(06) Finanzas</v>
      </c>
      <c r="B168" s="18"/>
      <c r="C168" s="18"/>
      <c r="D168" s="1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3">
        <f t="shared" si="2"/>
        <v>0</v>
      </c>
    </row>
    <row r="169">
      <c r="A169" s="10" t="str">
        <f t="shared" si="1"/>
        <v>(06) Finanzas</v>
      </c>
      <c r="B169" s="18"/>
      <c r="C169" s="18"/>
      <c r="D169" s="16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3">
        <f t="shared" si="2"/>
        <v>0</v>
      </c>
    </row>
    <row r="170">
      <c r="A170" s="10" t="str">
        <f t="shared" si="1"/>
        <v>(06) Finanzas</v>
      </c>
      <c r="B170" s="18"/>
      <c r="C170" s="18"/>
      <c r="D170" s="1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3">
        <f t="shared" si="2"/>
        <v>0</v>
      </c>
    </row>
    <row r="171">
      <c r="A171" s="10" t="str">
        <f t="shared" si="1"/>
        <v>(06) Finanzas</v>
      </c>
      <c r="B171" s="18"/>
      <c r="C171" s="18"/>
      <c r="D171" s="16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3">
        <f t="shared" si="2"/>
        <v>0</v>
      </c>
    </row>
    <row r="172">
      <c r="A172" s="10" t="str">
        <f t="shared" si="1"/>
        <v>(06) Finanzas</v>
      </c>
      <c r="B172" s="18"/>
      <c r="C172" s="18"/>
      <c r="D172" s="1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3">
        <f t="shared" si="2"/>
        <v>0</v>
      </c>
    </row>
    <row r="173">
      <c r="A173" s="10" t="str">
        <f t="shared" si="1"/>
        <v>(06) Finanzas</v>
      </c>
      <c r="B173" s="18"/>
      <c r="C173" s="18"/>
      <c r="D173" s="16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3">
        <f t="shared" si="2"/>
        <v>0</v>
      </c>
    </row>
    <row r="174">
      <c r="A174" s="10" t="str">
        <f t="shared" si="1"/>
        <v>(06) Finanzas</v>
      </c>
      <c r="B174" s="18"/>
      <c r="C174" s="18"/>
      <c r="D174" s="16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3">
        <f t="shared" si="2"/>
        <v>0</v>
      </c>
    </row>
    <row r="175">
      <c r="A175" s="10" t="str">
        <f t="shared" si="1"/>
        <v>(06) Finanzas</v>
      </c>
      <c r="B175" s="18"/>
      <c r="C175" s="18"/>
      <c r="D175" s="16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3">
        <f t="shared" si="2"/>
        <v>0</v>
      </c>
    </row>
    <row r="176">
      <c r="A176" s="10" t="str">
        <f t="shared" si="1"/>
        <v>(06) Finanzas</v>
      </c>
      <c r="B176" s="18"/>
      <c r="C176" s="18"/>
      <c r="D176" s="16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3">
        <f t="shared" si="2"/>
        <v>0</v>
      </c>
    </row>
    <row r="177">
      <c r="A177" s="10" t="str">
        <f t="shared" si="1"/>
        <v>(06) Finanzas</v>
      </c>
      <c r="B177" s="18"/>
      <c r="C177" s="18"/>
      <c r="D177" s="16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3">
        <f t="shared" si="2"/>
        <v>0</v>
      </c>
    </row>
    <row r="178">
      <c r="A178" s="10" t="str">
        <f t="shared" si="1"/>
        <v>(06) Finanzas</v>
      </c>
      <c r="B178" s="18"/>
      <c r="C178" s="18"/>
      <c r="D178" s="16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3">
        <f t="shared" si="2"/>
        <v>0</v>
      </c>
    </row>
    <row r="179">
      <c r="A179" s="10" t="str">
        <f t="shared" si="1"/>
        <v>(06) Finanzas</v>
      </c>
      <c r="B179" s="18"/>
      <c r="C179" s="18"/>
      <c r="D179" s="16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3">
        <f t="shared" si="2"/>
        <v>0</v>
      </c>
    </row>
    <row r="180">
      <c r="A180" s="10" t="str">
        <f t="shared" si="1"/>
        <v>(06) Finanzas</v>
      </c>
      <c r="B180" s="18"/>
      <c r="C180" s="18"/>
      <c r="D180" s="1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3">
        <f t="shared" si="2"/>
        <v>0</v>
      </c>
    </row>
    <row r="181">
      <c r="A181" s="10" t="str">
        <f t="shared" si="1"/>
        <v>(06) Finanzas</v>
      </c>
      <c r="B181" s="18"/>
      <c r="C181" s="18"/>
      <c r="D181" s="16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3">
        <f t="shared" si="2"/>
        <v>0</v>
      </c>
    </row>
    <row r="182">
      <c r="A182" s="10" t="str">
        <f t="shared" si="1"/>
        <v>(06) Finanzas</v>
      </c>
      <c r="B182" s="18"/>
      <c r="C182" s="18"/>
      <c r="D182" s="16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3">
        <f t="shared" si="2"/>
        <v>0</v>
      </c>
    </row>
    <row r="183">
      <c r="A183" s="10" t="str">
        <f t="shared" si="1"/>
        <v>(06) Finanzas</v>
      </c>
      <c r="B183" s="18"/>
      <c r="C183" s="18"/>
      <c r="D183" s="16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3">
        <f t="shared" si="2"/>
        <v>0</v>
      </c>
    </row>
    <row r="184">
      <c r="A184" s="10" t="str">
        <f t="shared" si="1"/>
        <v>(06) Finanzas</v>
      </c>
      <c r="B184" s="18"/>
      <c r="C184" s="18"/>
      <c r="D184" s="16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3">
        <f t="shared" si="2"/>
        <v>0</v>
      </c>
    </row>
    <row r="185">
      <c r="A185" s="10" t="str">
        <f t="shared" si="1"/>
        <v>(06) Finanzas</v>
      </c>
      <c r="B185" s="18"/>
      <c r="C185" s="18"/>
      <c r="D185" s="16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3">
        <f t="shared" si="2"/>
        <v>0</v>
      </c>
    </row>
    <row r="186">
      <c r="A186" s="10" t="str">
        <f t="shared" si="1"/>
        <v>(06) Finanzas</v>
      </c>
      <c r="B186" s="18"/>
      <c r="C186" s="18"/>
      <c r="D186" s="16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3">
        <f t="shared" si="2"/>
        <v>0</v>
      </c>
    </row>
    <row r="187">
      <c r="A187" s="10" t="str">
        <f t="shared" si="1"/>
        <v>(06) Finanzas</v>
      </c>
      <c r="B187" s="18"/>
      <c r="C187" s="18"/>
      <c r="D187" s="16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3">
        <f t="shared" si="2"/>
        <v>0</v>
      </c>
    </row>
    <row r="188">
      <c r="A188" s="10" t="str">
        <f t="shared" si="1"/>
        <v>(06) Finanzas</v>
      </c>
      <c r="B188" s="18"/>
      <c r="C188" s="18"/>
      <c r="D188" s="16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3">
        <f t="shared" si="2"/>
        <v>0</v>
      </c>
    </row>
    <row r="189">
      <c r="A189" s="10" t="str">
        <f t="shared" si="1"/>
        <v>(06) Finanzas</v>
      </c>
      <c r="B189" s="18"/>
      <c r="C189" s="18"/>
      <c r="D189" s="16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3">
        <f t="shared" si="2"/>
        <v>0</v>
      </c>
    </row>
    <row r="190">
      <c r="A190" s="10" t="str">
        <f t="shared" si="1"/>
        <v>(06) Finanzas</v>
      </c>
      <c r="B190" s="18"/>
      <c r="C190" s="18"/>
      <c r="D190" s="16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3">
        <f t="shared" si="2"/>
        <v>0</v>
      </c>
    </row>
    <row r="191">
      <c r="A191" s="10" t="str">
        <f t="shared" si="1"/>
        <v>(06) Finanzas</v>
      </c>
      <c r="B191" s="18"/>
      <c r="C191" s="18"/>
      <c r="D191" s="16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3">
        <f t="shared" si="2"/>
        <v>0</v>
      </c>
    </row>
    <row r="192">
      <c r="A192" s="10" t="str">
        <f t="shared" si="1"/>
        <v>(06) Finanzas</v>
      </c>
      <c r="B192" s="18"/>
      <c r="C192" s="18"/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3">
        <f t="shared" si="2"/>
        <v>0</v>
      </c>
    </row>
    <row r="193">
      <c r="A193" s="10" t="str">
        <f t="shared" si="1"/>
        <v>(06) Finanzas</v>
      </c>
      <c r="B193" s="18"/>
      <c r="C193" s="18"/>
      <c r="D193" s="16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3">
        <f t="shared" si="2"/>
        <v>0</v>
      </c>
    </row>
    <row r="194">
      <c r="A194" s="10" t="str">
        <f t="shared" si="1"/>
        <v>(06) Finanzas</v>
      </c>
      <c r="B194" s="18"/>
      <c r="C194" s="18"/>
      <c r="D194" s="1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3">
        <f t="shared" si="2"/>
        <v>0</v>
      </c>
    </row>
    <row r="195">
      <c r="A195" s="10" t="str">
        <f t="shared" si="1"/>
        <v>(06) Finanzas</v>
      </c>
      <c r="B195" s="18"/>
      <c r="C195" s="18"/>
      <c r="D195" s="16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3">
        <f t="shared" si="2"/>
        <v>0</v>
      </c>
    </row>
    <row r="196">
      <c r="A196" s="10" t="str">
        <f t="shared" si="1"/>
        <v>(06) Finanzas</v>
      </c>
      <c r="B196" s="18"/>
      <c r="C196" s="18"/>
      <c r="D196" s="16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3">
        <f t="shared" si="2"/>
        <v>0</v>
      </c>
    </row>
    <row r="197">
      <c r="A197" s="10" t="str">
        <f t="shared" si="1"/>
        <v>(06) Finanzas</v>
      </c>
      <c r="B197" s="18"/>
      <c r="C197" s="18"/>
      <c r="D197" s="16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3">
        <f t="shared" si="2"/>
        <v>0</v>
      </c>
    </row>
    <row r="198">
      <c r="A198" s="10" t="str">
        <f t="shared" si="1"/>
        <v>(06) Finanzas</v>
      </c>
      <c r="B198" s="18"/>
      <c r="C198" s="18"/>
      <c r="D198" s="1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3">
        <f t="shared" si="2"/>
        <v>0</v>
      </c>
    </row>
    <row r="199">
      <c r="A199" s="10" t="str">
        <f t="shared" si="1"/>
        <v>(06) Finanzas</v>
      </c>
      <c r="B199" s="18"/>
      <c r="C199" s="18"/>
      <c r="D199" s="16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3">
        <f t="shared" si="2"/>
        <v>0</v>
      </c>
    </row>
    <row r="200">
      <c r="A200" s="10" t="str">
        <f t="shared" si="1"/>
        <v>(06) Finanzas</v>
      </c>
      <c r="B200" s="18"/>
      <c r="C200" s="18"/>
      <c r="D200" s="1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3">
        <f t="shared" si="2"/>
        <v>0</v>
      </c>
    </row>
    <row r="201">
      <c r="A201" s="10" t="str">
        <f t="shared" si="1"/>
        <v>(06) Finanzas</v>
      </c>
      <c r="B201" s="18"/>
      <c r="C201" s="18"/>
      <c r="D201" s="16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3">
        <f t="shared" si="2"/>
        <v>0</v>
      </c>
    </row>
    <row r="202">
      <c r="A202" s="10" t="str">
        <f t="shared" si="1"/>
        <v>(06) Finanzas</v>
      </c>
      <c r="B202" s="18"/>
      <c r="C202" s="18"/>
      <c r="D202" s="16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3">
        <f t="shared" si="2"/>
        <v>0</v>
      </c>
    </row>
    <row r="203">
      <c r="A203" s="10" t="str">
        <f t="shared" si="1"/>
        <v>(06) Finanzas</v>
      </c>
      <c r="B203" s="18"/>
      <c r="C203" s="18"/>
      <c r="D203" s="16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3">
        <f t="shared" si="2"/>
        <v>0</v>
      </c>
    </row>
    <row r="204">
      <c r="A204" s="10" t="str">
        <f t="shared" si="1"/>
        <v>(06) Finanzas</v>
      </c>
      <c r="B204" s="18"/>
      <c r="C204" s="18"/>
      <c r="D204" s="16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3">
        <f t="shared" si="2"/>
        <v>0</v>
      </c>
    </row>
    <row r="205">
      <c r="A205" s="10" t="str">
        <f t="shared" si="1"/>
        <v>(06) Finanzas</v>
      </c>
      <c r="B205" s="18"/>
      <c r="C205" s="18"/>
      <c r="D205" s="16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3">
        <f t="shared" si="2"/>
        <v>0</v>
      </c>
    </row>
    <row r="206">
      <c r="A206" s="10" t="str">
        <f t="shared" si="1"/>
        <v>(06) Finanzas</v>
      </c>
      <c r="B206" s="18"/>
      <c r="C206" s="18"/>
      <c r="D206" s="1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3">
        <f t="shared" si="2"/>
        <v>0</v>
      </c>
    </row>
    <row r="207">
      <c r="A207" s="10" t="str">
        <f t="shared" si="1"/>
        <v>(06) Finanzas</v>
      </c>
      <c r="B207" s="18"/>
      <c r="C207" s="18"/>
      <c r="D207" s="16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3">
        <f t="shared" si="2"/>
        <v>0</v>
      </c>
    </row>
    <row r="208">
      <c r="A208" s="10" t="str">
        <f t="shared" si="1"/>
        <v>(06) Finanzas</v>
      </c>
      <c r="B208" s="18"/>
      <c r="C208" s="18"/>
      <c r="D208" s="16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3">
        <f t="shared" si="2"/>
        <v>0</v>
      </c>
    </row>
    <row r="209">
      <c r="A209" s="10" t="str">
        <f t="shared" si="1"/>
        <v>(06) Finanzas</v>
      </c>
      <c r="B209" s="18"/>
      <c r="C209" s="18"/>
      <c r="D209" s="16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3">
        <f t="shared" si="2"/>
        <v>0</v>
      </c>
    </row>
    <row r="210">
      <c r="A210" s="10" t="str">
        <f t="shared" si="1"/>
        <v>(06) Finanzas</v>
      </c>
      <c r="B210" s="18"/>
      <c r="C210" s="18"/>
      <c r="D210" s="1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3">
        <f t="shared" si="2"/>
        <v>0</v>
      </c>
    </row>
    <row r="211">
      <c r="A211" s="10" t="str">
        <f t="shared" si="1"/>
        <v>(06) Finanzas</v>
      </c>
      <c r="B211" s="18"/>
      <c r="C211" s="18"/>
      <c r="D211" s="16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3">
        <f t="shared" si="2"/>
        <v>0</v>
      </c>
    </row>
    <row r="212">
      <c r="A212" s="10" t="str">
        <f t="shared" si="1"/>
        <v>(06) Finanzas</v>
      </c>
      <c r="B212" s="18"/>
      <c r="C212" s="18"/>
      <c r="D212" s="1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3">
        <f t="shared" si="2"/>
        <v>0</v>
      </c>
    </row>
    <row r="213">
      <c r="A213" s="10" t="str">
        <f t="shared" si="1"/>
        <v>(06) Finanzas</v>
      </c>
      <c r="B213" s="18"/>
      <c r="C213" s="18"/>
      <c r="D213" s="16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3">
        <f t="shared" si="2"/>
        <v>0</v>
      </c>
    </row>
    <row r="214">
      <c r="A214" s="10" t="str">
        <f t="shared" si="1"/>
        <v>(06) Finanzas</v>
      </c>
      <c r="B214" s="18"/>
      <c r="C214" s="18"/>
      <c r="D214" s="16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3">
        <f t="shared" si="2"/>
        <v>0</v>
      </c>
    </row>
    <row r="215">
      <c r="A215" s="10" t="str">
        <f t="shared" si="1"/>
        <v>(06) Finanzas</v>
      </c>
      <c r="B215" s="18"/>
      <c r="C215" s="18"/>
      <c r="D215" s="16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3">
        <f t="shared" si="2"/>
        <v>0</v>
      </c>
    </row>
    <row r="216">
      <c r="A216" s="10" t="str">
        <f t="shared" si="1"/>
        <v>(06) Finanzas</v>
      </c>
      <c r="B216" s="18"/>
      <c r="C216" s="18"/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3">
        <f t="shared" si="2"/>
        <v>0</v>
      </c>
    </row>
    <row r="217">
      <c r="A217" s="10" t="str">
        <f t="shared" si="1"/>
        <v>(06) Finanzas</v>
      </c>
      <c r="B217" s="18"/>
      <c r="C217" s="18"/>
      <c r="D217" s="16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3">
        <f t="shared" si="2"/>
        <v>0</v>
      </c>
    </row>
    <row r="218">
      <c r="A218" s="10" t="str">
        <f t="shared" si="1"/>
        <v>(06) Finanzas</v>
      </c>
      <c r="B218" s="18"/>
      <c r="C218" s="18"/>
      <c r="D218" s="1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3">
        <f t="shared" si="2"/>
        <v>0</v>
      </c>
    </row>
    <row r="219">
      <c r="A219" s="10" t="str">
        <f t="shared" si="1"/>
        <v>(06) Finanzas</v>
      </c>
      <c r="B219" s="18"/>
      <c r="C219" s="18"/>
      <c r="D219" s="16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3">
        <f t="shared" si="2"/>
        <v>0</v>
      </c>
    </row>
    <row r="220">
      <c r="A220" s="10" t="str">
        <f t="shared" si="1"/>
        <v>(06) Finanzas</v>
      </c>
      <c r="B220" s="18"/>
      <c r="C220" s="18"/>
      <c r="D220" s="16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3">
        <f t="shared" si="2"/>
        <v>0</v>
      </c>
    </row>
    <row r="221">
      <c r="A221" s="10" t="str">
        <f t="shared" si="1"/>
        <v>(06) Finanzas</v>
      </c>
      <c r="B221" s="18"/>
      <c r="C221" s="18"/>
      <c r="D221" s="16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3">
        <f t="shared" si="2"/>
        <v>0</v>
      </c>
    </row>
    <row r="222">
      <c r="A222" s="10" t="str">
        <f t="shared" si="1"/>
        <v>(06) Finanzas</v>
      </c>
      <c r="B222" s="18"/>
      <c r="C222" s="18"/>
      <c r="D222" s="16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3">
        <f t="shared" si="2"/>
        <v>0</v>
      </c>
    </row>
    <row r="223">
      <c r="A223" s="10" t="str">
        <f t="shared" si="1"/>
        <v>(06) Finanzas</v>
      </c>
      <c r="B223" s="18"/>
      <c r="C223" s="18"/>
      <c r="D223" s="16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3">
        <f t="shared" si="2"/>
        <v>0</v>
      </c>
    </row>
    <row r="224">
      <c r="A224" s="10" t="str">
        <f t="shared" si="1"/>
        <v>(06) Finanzas</v>
      </c>
      <c r="B224" s="18"/>
      <c r="C224" s="18"/>
      <c r="D224" s="16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3">
        <f t="shared" si="2"/>
        <v>0</v>
      </c>
    </row>
    <row r="225">
      <c r="A225" s="10" t="str">
        <f t="shared" si="1"/>
        <v>(06) Finanzas</v>
      </c>
      <c r="B225" s="18"/>
      <c r="C225" s="18"/>
      <c r="D225" s="16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3">
        <f t="shared" si="2"/>
        <v>0</v>
      </c>
    </row>
    <row r="226">
      <c r="A226" s="10" t="str">
        <f t="shared" si="1"/>
        <v>(06) Finanzas</v>
      </c>
      <c r="B226" s="18"/>
      <c r="C226" s="18"/>
      <c r="D226" s="16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3">
        <f t="shared" si="2"/>
        <v>0</v>
      </c>
    </row>
    <row r="227">
      <c r="A227" s="10" t="str">
        <f t="shared" si="1"/>
        <v>(06) Finanzas</v>
      </c>
      <c r="B227" s="18"/>
      <c r="C227" s="18"/>
      <c r="D227" s="16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3">
        <f t="shared" si="2"/>
        <v>0</v>
      </c>
    </row>
    <row r="228">
      <c r="A228" s="10" t="str">
        <f t="shared" si="1"/>
        <v>(06) Finanzas</v>
      </c>
      <c r="B228" s="18"/>
      <c r="C228" s="18"/>
      <c r="D228" s="16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3">
        <f t="shared" si="2"/>
        <v>0</v>
      </c>
    </row>
    <row r="229">
      <c r="A229" s="10" t="str">
        <f t="shared" si="1"/>
        <v>(06) Finanzas</v>
      </c>
      <c r="B229" s="18"/>
      <c r="C229" s="18"/>
      <c r="D229" s="16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3">
        <f t="shared" si="2"/>
        <v>0</v>
      </c>
    </row>
    <row r="230">
      <c r="A230" s="10" t="str">
        <f t="shared" si="1"/>
        <v>(06) Finanzas</v>
      </c>
      <c r="B230" s="18"/>
      <c r="C230" s="18"/>
      <c r="D230" s="1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3">
        <f t="shared" si="2"/>
        <v>0</v>
      </c>
    </row>
    <row r="231">
      <c r="A231" s="10" t="str">
        <f t="shared" si="1"/>
        <v>(06) Finanzas</v>
      </c>
      <c r="B231" s="18"/>
      <c r="C231" s="18"/>
      <c r="D231" s="16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3">
        <f t="shared" si="2"/>
        <v>0</v>
      </c>
    </row>
    <row r="232">
      <c r="A232" s="10" t="str">
        <f t="shared" si="1"/>
        <v>(06) Finanzas</v>
      </c>
      <c r="B232" s="18"/>
      <c r="C232" s="18"/>
      <c r="D232" s="16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3">
        <f t="shared" si="2"/>
        <v>0</v>
      </c>
    </row>
    <row r="233">
      <c r="A233" s="10" t="str">
        <f t="shared" si="1"/>
        <v>(06) Finanzas</v>
      </c>
      <c r="B233" s="18"/>
      <c r="C233" s="18"/>
      <c r="D233" s="16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3">
        <f t="shared" si="2"/>
        <v>0</v>
      </c>
    </row>
    <row r="234">
      <c r="A234" s="10" t="str">
        <f t="shared" si="1"/>
        <v>(06) Finanzas</v>
      </c>
      <c r="B234" s="18"/>
      <c r="C234" s="18"/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3">
        <f t="shared" si="2"/>
        <v>0</v>
      </c>
    </row>
    <row r="235">
      <c r="A235" s="10" t="str">
        <f t="shared" si="1"/>
        <v>(06) Finanzas</v>
      </c>
      <c r="B235" s="18"/>
      <c r="C235" s="18"/>
      <c r="D235" s="16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3">
        <f t="shared" si="2"/>
        <v>0</v>
      </c>
    </row>
    <row r="236">
      <c r="A236" s="10" t="str">
        <f t="shared" si="1"/>
        <v>(06) Finanzas</v>
      </c>
      <c r="B236" s="18"/>
      <c r="C236" s="18"/>
      <c r="D236" s="1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3">
        <f t="shared" si="2"/>
        <v>0</v>
      </c>
    </row>
    <row r="237">
      <c r="A237" s="10" t="str">
        <f t="shared" si="1"/>
        <v>(06) Finanzas</v>
      </c>
      <c r="B237" s="18"/>
      <c r="C237" s="18"/>
      <c r="D237" s="16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3">
        <f t="shared" si="2"/>
        <v>0</v>
      </c>
    </row>
    <row r="238">
      <c r="A238" s="10" t="str">
        <f t="shared" si="1"/>
        <v>(06) Finanzas</v>
      </c>
      <c r="B238" s="18"/>
      <c r="C238" s="18"/>
      <c r="D238" s="1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3">
        <f t="shared" si="2"/>
        <v>0</v>
      </c>
    </row>
    <row r="239">
      <c r="A239" s="10" t="str">
        <f t="shared" si="1"/>
        <v>(06) Finanzas</v>
      </c>
      <c r="B239" s="18"/>
      <c r="C239" s="18"/>
      <c r="D239" s="16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3">
        <f t="shared" si="2"/>
        <v>0</v>
      </c>
    </row>
    <row r="240">
      <c r="A240" s="10" t="str">
        <f t="shared" si="1"/>
        <v>(06) Finanzas</v>
      </c>
      <c r="B240" s="18"/>
      <c r="C240" s="18"/>
      <c r="D240" s="1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3">
        <f t="shared" si="2"/>
        <v>0</v>
      </c>
    </row>
    <row r="241">
      <c r="A241" s="10" t="str">
        <f t="shared" si="1"/>
        <v>(06) Finanzas</v>
      </c>
      <c r="B241" s="18"/>
      <c r="C241" s="18"/>
      <c r="D241" s="16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3">
        <f t="shared" si="2"/>
        <v>0</v>
      </c>
    </row>
    <row r="242">
      <c r="A242" s="10" t="str">
        <f t="shared" si="1"/>
        <v>(06) Finanzas</v>
      </c>
      <c r="B242" s="18"/>
      <c r="C242" s="18"/>
      <c r="D242" s="1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3">
        <f t="shared" si="2"/>
        <v>0</v>
      </c>
    </row>
    <row r="243">
      <c r="A243" s="10" t="str">
        <f t="shared" si="1"/>
        <v>(06) Finanzas</v>
      </c>
      <c r="B243" s="18"/>
      <c r="C243" s="18"/>
      <c r="D243" s="16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3">
        <f t="shared" si="2"/>
        <v>0</v>
      </c>
    </row>
    <row r="244">
      <c r="A244" s="10" t="str">
        <f t="shared" si="1"/>
        <v>(06) Finanzas</v>
      </c>
      <c r="B244" s="18"/>
      <c r="C244" s="18"/>
      <c r="D244" s="16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3">
        <f t="shared" si="2"/>
        <v>0</v>
      </c>
    </row>
    <row r="245">
      <c r="A245" s="10" t="str">
        <f t="shared" si="1"/>
        <v>(06) Finanzas</v>
      </c>
      <c r="B245" s="18"/>
      <c r="C245" s="18"/>
      <c r="D245" s="16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3">
        <f t="shared" si="2"/>
        <v>0</v>
      </c>
    </row>
    <row r="246">
      <c r="A246" s="10" t="str">
        <f t="shared" si="1"/>
        <v>(06) Finanzas</v>
      </c>
      <c r="B246" s="18"/>
      <c r="C246" s="18"/>
      <c r="D246" s="16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3">
        <f t="shared" si="2"/>
        <v>0</v>
      </c>
    </row>
    <row r="247">
      <c r="A247" s="10" t="str">
        <f t="shared" si="1"/>
        <v>(06) Finanzas</v>
      </c>
      <c r="B247" s="18"/>
      <c r="C247" s="18"/>
      <c r="D247" s="16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3">
        <f t="shared" si="2"/>
        <v>0</v>
      </c>
    </row>
    <row r="248">
      <c r="A248" s="10" t="str">
        <f t="shared" si="1"/>
        <v>(06) Finanzas</v>
      </c>
      <c r="B248" s="18"/>
      <c r="C248" s="18"/>
      <c r="D248" s="16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3">
        <f t="shared" si="2"/>
        <v>0</v>
      </c>
    </row>
    <row r="249">
      <c r="A249" s="10" t="str">
        <f t="shared" si="1"/>
        <v>(06) Finanzas</v>
      </c>
      <c r="B249" s="18"/>
      <c r="C249" s="18"/>
      <c r="D249" s="16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3">
        <f t="shared" si="2"/>
        <v>0</v>
      </c>
    </row>
    <row r="250">
      <c r="A250" s="10" t="str">
        <f t="shared" si="1"/>
        <v>(06) Finanzas</v>
      </c>
      <c r="B250" s="18"/>
      <c r="C250" s="18"/>
      <c r="D250" s="16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3">
        <f t="shared" si="2"/>
        <v>0</v>
      </c>
    </row>
    <row r="251">
      <c r="A251" s="10" t="str">
        <f t="shared" si="1"/>
        <v>(06) Finanzas</v>
      </c>
      <c r="B251" s="18"/>
      <c r="C251" s="18"/>
      <c r="D251" s="16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3">
        <f t="shared" si="2"/>
        <v>0</v>
      </c>
    </row>
    <row r="252">
      <c r="A252" s="10" t="str">
        <f t="shared" si="1"/>
        <v>(06) Finanzas</v>
      </c>
      <c r="B252" s="18"/>
      <c r="C252" s="18"/>
      <c r="D252" s="16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3">
        <f t="shared" si="2"/>
        <v>0</v>
      </c>
    </row>
    <row r="253">
      <c r="A253" s="10" t="str">
        <f t="shared" si="1"/>
        <v>(06) Finanzas</v>
      </c>
      <c r="B253" s="18"/>
      <c r="C253" s="18"/>
      <c r="D253" s="16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3">
        <f t="shared" si="2"/>
        <v>0</v>
      </c>
    </row>
    <row r="254">
      <c r="A254" s="10" t="str">
        <f t="shared" si="1"/>
        <v>(06) Finanzas</v>
      </c>
      <c r="B254" s="18"/>
      <c r="C254" s="18"/>
      <c r="D254" s="1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3">
        <f t="shared" si="2"/>
        <v>0</v>
      </c>
    </row>
    <row r="255">
      <c r="A255" s="10" t="str">
        <f t="shared" si="1"/>
        <v>(06) Finanzas</v>
      </c>
      <c r="B255" s="18"/>
      <c r="C255" s="18"/>
      <c r="D255" s="16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3">
        <f t="shared" si="2"/>
        <v>0</v>
      </c>
    </row>
    <row r="256">
      <c r="A256" s="10" t="str">
        <f t="shared" si="1"/>
        <v>(06) Finanzas</v>
      </c>
      <c r="B256" s="18"/>
      <c r="C256" s="18"/>
      <c r="D256" s="16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3">
        <f t="shared" si="2"/>
        <v>0</v>
      </c>
    </row>
    <row r="257">
      <c r="A257" s="10" t="str">
        <f t="shared" si="1"/>
        <v>(06) Finanzas</v>
      </c>
      <c r="B257" s="18"/>
      <c r="C257" s="18"/>
      <c r="D257" s="16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3">
        <f t="shared" si="2"/>
        <v>0</v>
      </c>
    </row>
    <row r="258">
      <c r="A258" s="10" t="str">
        <f t="shared" si="1"/>
        <v>(06) Finanzas</v>
      </c>
      <c r="B258" s="18"/>
      <c r="C258" s="18"/>
      <c r="D258" s="16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3">
        <f t="shared" si="2"/>
        <v>0</v>
      </c>
    </row>
    <row r="259">
      <c r="A259" s="10" t="str">
        <f t="shared" si="1"/>
        <v>(06) Finanzas</v>
      </c>
      <c r="B259" s="18"/>
      <c r="C259" s="18"/>
      <c r="D259" s="16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3">
        <f t="shared" si="2"/>
        <v>0</v>
      </c>
    </row>
    <row r="260">
      <c r="A260" s="10" t="str">
        <f t="shared" si="1"/>
        <v>(06) Finanzas</v>
      </c>
      <c r="B260" s="18"/>
      <c r="C260" s="18"/>
      <c r="D260" s="16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3">
        <f t="shared" si="2"/>
        <v>0</v>
      </c>
    </row>
    <row r="261">
      <c r="A261" s="10" t="str">
        <f t="shared" si="1"/>
        <v>(06) Finanzas</v>
      </c>
      <c r="B261" s="18"/>
      <c r="C261" s="18"/>
      <c r="D261" s="16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3">
        <f t="shared" si="2"/>
        <v>0</v>
      </c>
    </row>
    <row r="262">
      <c r="A262" s="10" t="str">
        <f t="shared" si="1"/>
        <v>(06) Finanzas</v>
      </c>
      <c r="B262" s="18"/>
      <c r="C262" s="18"/>
      <c r="D262" s="16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3">
        <f t="shared" si="2"/>
        <v>0</v>
      </c>
    </row>
    <row r="263">
      <c r="A263" s="10" t="str">
        <f t="shared" si="1"/>
        <v>(06) Finanzas</v>
      </c>
      <c r="B263" s="18"/>
      <c r="C263" s="18"/>
      <c r="D263" s="16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3">
        <f t="shared" si="2"/>
        <v>0</v>
      </c>
    </row>
    <row r="264">
      <c r="A264" s="10" t="str">
        <f t="shared" si="1"/>
        <v>(06) Finanzas</v>
      </c>
      <c r="B264" s="18"/>
      <c r="C264" s="18"/>
      <c r="D264" s="16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3">
        <f t="shared" si="2"/>
        <v>0</v>
      </c>
    </row>
    <row r="265">
      <c r="A265" s="10" t="str">
        <f t="shared" si="1"/>
        <v>(06) Finanzas</v>
      </c>
      <c r="B265" s="18"/>
      <c r="C265" s="18"/>
      <c r="D265" s="16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3">
        <f t="shared" si="2"/>
        <v>0</v>
      </c>
    </row>
    <row r="266">
      <c r="A266" s="10" t="str">
        <f t="shared" si="1"/>
        <v>(06) Finanzas</v>
      </c>
      <c r="B266" s="18"/>
      <c r="C266" s="18"/>
      <c r="D266" s="16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3">
        <f t="shared" si="2"/>
        <v>0</v>
      </c>
    </row>
    <row r="267">
      <c r="A267" s="10" t="str">
        <f t="shared" si="1"/>
        <v>(06) Finanzas</v>
      </c>
      <c r="B267" s="18"/>
      <c r="C267" s="18"/>
      <c r="D267" s="16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3">
        <f t="shared" si="2"/>
        <v>0</v>
      </c>
    </row>
    <row r="268">
      <c r="A268" s="10" t="str">
        <f t="shared" si="1"/>
        <v>(06) Finanzas</v>
      </c>
      <c r="B268" s="18"/>
      <c r="C268" s="18"/>
      <c r="D268" s="16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3">
        <f t="shared" si="2"/>
        <v>0</v>
      </c>
    </row>
    <row r="269">
      <c r="A269" s="10" t="str">
        <f t="shared" si="1"/>
        <v>(06) Finanzas</v>
      </c>
      <c r="B269" s="18"/>
      <c r="C269" s="18"/>
      <c r="D269" s="16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3">
        <f t="shared" si="2"/>
        <v>0</v>
      </c>
    </row>
    <row r="270">
      <c r="A270" s="10" t="str">
        <f t="shared" si="1"/>
        <v>(06) Finanzas</v>
      </c>
      <c r="B270" s="18"/>
      <c r="C270" s="18"/>
      <c r="D270" s="16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3">
        <f t="shared" si="2"/>
        <v>0</v>
      </c>
    </row>
    <row r="271">
      <c r="A271" s="10" t="str">
        <f t="shared" si="1"/>
        <v>(06) Finanzas</v>
      </c>
      <c r="B271" s="18"/>
      <c r="C271" s="18"/>
      <c r="D271" s="16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3">
        <f t="shared" si="2"/>
        <v>0</v>
      </c>
    </row>
    <row r="272">
      <c r="A272" s="10" t="str">
        <f t="shared" si="1"/>
        <v>(06) Finanzas</v>
      </c>
      <c r="B272" s="18"/>
      <c r="C272" s="18"/>
      <c r="D272" s="16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3">
        <f t="shared" si="2"/>
        <v>0</v>
      </c>
    </row>
    <row r="273">
      <c r="A273" s="10" t="str">
        <f t="shared" si="1"/>
        <v>(06) Finanzas</v>
      </c>
      <c r="B273" s="18"/>
      <c r="C273" s="18"/>
      <c r="D273" s="16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3">
        <f t="shared" si="2"/>
        <v>0</v>
      </c>
    </row>
    <row r="274">
      <c r="A274" s="10" t="str">
        <f t="shared" si="1"/>
        <v>(06) Finanzas</v>
      </c>
      <c r="B274" s="18"/>
      <c r="C274" s="18"/>
      <c r="D274" s="16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3">
        <f t="shared" si="2"/>
        <v>0</v>
      </c>
    </row>
    <row r="275">
      <c r="A275" s="10" t="str">
        <f t="shared" si="1"/>
        <v>(06) Finanzas</v>
      </c>
      <c r="B275" s="18"/>
      <c r="C275" s="18"/>
      <c r="D275" s="16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3">
        <f t="shared" si="2"/>
        <v>0</v>
      </c>
    </row>
    <row r="276">
      <c r="A276" s="10" t="str">
        <f t="shared" si="1"/>
        <v>(06) Finanzas</v>
      </c>
      <c r="B276" s="18"/>
      <c r="C276" s="18"/>
      <c r="D276" s="16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3">
        <f t="shared" si="2"/>
        <v>0</v>
      </c>
    </row>
    <row r="277">
      <c r="A277" s="10" t="str">
        <f t="shared" si="1"/>
        <v>(06) Finanzas</v>
      </c>
      <c r="B277" s="18"/>
      <c r="C277" s="18"/>
      <c r="D277" s="16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3">
        <f t="shared" si="2"/>
        <v>0</v>
      </c>
    </row>
    <row r="278">
      <c r="A278" s="10" t="str">
        <f t="shared" si="1"/>
        <v>(06) Finanzas</v>
      </c>
      <c r="B278" s="18"/>
      <c r="C278" s="18"/>
      <c r="D278" s="16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3">
        <f t="shared" si="2"/>
        <v>0</v>
      </c>
    </row>
    <row r="279">
      <c r="A279" s="10" t="str">
        <f t="shared" si="1"/>
        <v>(06) Finanzas</v>
      </c>
      <c r="B279" s="18"/>
      <c r="C279" s="18"/>
      <c r="D279" s="16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3">
        <f t="shared" si="2"/>
        <v>0</v>
      </c>
    </row>
    <row r="280">
      <c r="A280" s="10" t="str">
        <f t="shared" si="1"/>
        <v>(06) Finanzas</v>
      </c>
      <c r="B280" s="18"/>
      <c r="C280" s="18"/>
      <c r="D280" s="16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3">
        <f t="shared" si="2"/>
        <v>0</v>
      </c>
    </row>
    <row r="281">
      <c r="A281" s="10" t="str">
        <f t="shared" si="1"/>
        <v>(06) Finanzas</v>
      </c>
      <c r="B281" s="18"/>
      <c r="C281" s="18"/>
      <c r="D281" s="16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3">
        <f t="shared" si="2"/>
        <v>0</v>
      </c>
    </row>
    <row r="282">
      <c r="A282" s="10" t="str">
        <f t="shared" si="1"/>
        <v>(06) Finanzas</v>
      </c>
      <c r="B282" s="18"/>
      <c r="C282" s="18"/>
      <c r="D282" s="1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3">
        <f t="shared" si="2"/>
        <v>0</v>
      </c>
    </row>
    <row r="283">
      <c r="A283" s="10" t="str">
        <f t="shared" si="1"/>
        <v>(06) Finanzas</v>
      </c>
      <c r="B283" s="18"/>
      <c r="C283" s="18"/>
      <c r="D283" s="16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3">
        <f t="shared" si="2"/>
        <v>0</v>
      </c>
    </row>
    <row r="284">
      <c r="A284" s="10" t="str">
        <f t="shared" si="1"/>
        <v>(06) Finanzas</v>
      </c>
      <c r="B284" s="18"/>
      <c r="C284" s="18"/>
      <c r="D284" s="16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3">
        <f t="shared" si="2"/>
        <v>0</v>
      </c>
    </row>
    <row r="285">
      <c r="A285" s="10" t="str">
        <f t="shared" si="1"/>
        <v>(06) Finanzas</v>
      </c>
      <c r="B285" s="18"/>
      <c r="C285" s="18"/>
      <c r="D285" s="16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3">
        <f t="shared" si="2"/>
        <v>0</v>
      </c>
    </row>
    <row r="286">
      <c r="A286" s="10" t="str">
        <f t="shared" si="1"/>
        <v>(06) Finanzas</v>
      </c>
      <c r="B286" s="18"/>
      <c r="C286" s="18"/>
      <c r="D286" s="16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3">
        <f t="shared" si="2"/>
        <v>0</v>
      </c>
    </row>
    <row r="287">
      <c r="A287" s="10" t="str">
        <f t="shared" si="1"/>
        <v>(06) Finanzas</v>
      </c>
      <c r="B287" s="18"/>
      <c r="C287" s="18"/>
      <c r="D287" s="16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3">
        <f t="shared" si="2"/>
        <v>0</v>
      </c>
    </row>
    <row r="288">
      <c r="A288" s="10" t="str">
        <f t="shared" si="1"/>
        <v>(06) Finanzas</v>
      </c>
      <c r="B288" s="18"/>
      <c r="C288" s="18"/>
      <c r="D288" s="16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3">
        <f t="shared" si="2"/>
        <v>0</v>
      </c>
    </row>
    <row r="289">
      <c r="A289" s="10" t="str">
        <f t="shared" si="1"/>
        <v>(06) Finanzas</v>
      </c>
      <c r="B289" s="18"/>
      <c r="C289" s="18"/>
      <c r="D289" s="16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3">
        <f t="shared" si="2"/>
        <v>0</v>
      </c>
    </row>
    <row r="290">
      <c r="A290" s="10" t="str">
        <f t="shared" si="1"/>
        <v>(06) Finanzas</v>
      </c>
      <c r="B290" s="18"/>
      <c r="C290" s="18"/>
      <c r="D290" s="16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3">
        <f t="shared" si="2"/>
        <v>0</v>
      </c>
    </row>
    <row r="291">
      <c r="A291" s="10" t="str">
        <f t="shared" si="1"/>
        <v>(06) Finanzas</v>
      </c>
      <c r="B291" s="18"/>
      <c r="C291" s="18"/>
      <c r="D291" s="16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3">
        <f t="shared" si="2"/>
        <v>0</v>
      </c>
    </row>
    <row r="292">
      <c r="A292" s="10" t="str">
        <f t="shared" si="1"/>
        <v>(06) Finanzas</v>
      </c>
      <c r="B292" s="18"/>
      <c r="C292" s="18"/>
      <c r="D292" s="16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3">
        <f t="shared" si="2"/>
        <v>0</v>
      </c>
    </row>
    <row r="293">
      <c r="A293" s="10" t="str">
        <f t="shared" si="1"/>
        <v>(06) Finanzas</v>
      </c>
      <c r="B293" s="18"/>
      <c r="C293" s="18"/>
      <c r="D293" s="16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3">
        <f t="shared" si="2"/>
        <v>0</v>
      </c>
    </row>
    <row r="294">
      <c r="A294" s="10" t="str">
        <f t="shared" si="1"/>
        <v>(06) Finanzas</v>
      </c>
      <c r="B294" s="18"/>
      <c r="C294" s="18"/>
      <c r="D294" s="16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3">
        <f t="shared" si="2"/>
        <v>0</v>
      </c>
    </row>
    <row r="295">
      <c r="A295" s="10" t="str">
        <f t="shared" si="1"/>
        <v>(06) Finanzas</v>
      </c>
      <c r="B295" s="18"/>
      <c r="C295" s="18"/>
      <c r="D295" s="16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3">
        <f t="shared" si="2"/>
        <v>0</v>
      </c>
    </row>
    <row r="296">
      <c r="A296" s="10" t="str">
        <f t="shared" si="1"/>
        <v>(06) Finanzas</v>
      </c>
      <c r="B296" s="18"/>
      <c r="C296" s="18"/>
      <c r="D296" s="16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3">
        <f t="shared" si="2"/>
        <v>0</v>
      </c>
    </row>
    <row r="297">
      <c r="A297" s="10" t="str">
        <f t="shared" si="1"/>
        <v>(06) Finanzas</v>
      </c>
      <c r="B297" s="18"/>
      <c r="C297" s="18"/>
      <c r="D297" s="16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3">
        <f t="shared" si="2"/>
        <v>0</v>
      </c>
    </row>
    <row r="298">
      <c r="A298" s="10" t="str">
        <f t="shared" si="1"/>
        <v>(06) Finanzas</v>
      </c>
      <c r="B298" s="18"/>
      <c r="C298" s="18"/>
      <c r="D298" s="16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3">
        <f t="shared" si="2"/>
        <v>0</v>
      </c>
    </row>
    <row r="299">
      <c r="A299" s="10" t="str">
        <f t="shared" si="1"/>
        <v>(06) Finanzas</v>
      </c>
      <c r="B299" s="18"/>
      <c r="C299" s="18"/>
      <c r="D299" s="16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3">
        <f t="shared" si="2"/>
        <v>0</v>
      </c>
    </row>
    <row r="300">
      <c r="A300" s="10" t="str">
        <f t="shared" si="1"/>
        <v>(06) Finanzas</v>
      </c>
      <c r="B300" s="18"/>
      <c r="C300" s="18"/>
      <c r="D300" s="16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3">
        <f t="shared" si="2"/>
        <v>0</v>
      </c>
    </row>
    <row r="301">
      <c r="A301" s="10" t="str">
        <f t="shared" si="1"/>
        <v>(06) Finanzas</v>
      </c>
      <c r="B301" s="18"/>
      <c r="C301" s="18"/>
      <c r="D301" s="16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3">
        <f t="shared" si="2"/>
        <v>0</v>
      </c>
    </row>
    <row r="302">
      <c r="A302" s="10" t="str">
        <f t="shared" si="1"/>
        <v>(06) Finanzas</v>
      </c>
      <c r="B302" s="18"/>
      <c r="C302" s="18"/>
      <c r="D302" s="16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3">
        <f t="shared" si="2"/>
        <v>0</v>
      </c>
    </row>
    <row r="303">
      <c r="A303" s="10" t="str">
        <f t="shared" si="1"/>
        <v>(06) Finanzas</v>
      </c>
      <c r="B303" s="18"/>
      <c r="C303" s="18"/>
      <c r="D303" s="16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3">
        <f t="shared" si="2"/>
        <v>0</v>
      </c>
    </row>
    <row r="304">
      <c r="A304" s="10" t="str">
        <f t="shared" si="1"/>
        <v>(06) Finanzas</v>
      </c>
      <c r="B304" s="18"/>
      <c r="C304" s="18"/>
      <c r="D304" s="16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3">
        <f t="shared" si="2"/>
        <v>0</v>
      </c>
    </row>
    <row r="305">
      <c r="A305" s="10" t="str">
        <f t="shared" si="1"/>
        <v>(06) Finanzas</v>
      </c>
      <c r="B305" s="18"/>
      <c r="C305" s="18"/>
      <c r="D305" s="16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3">
        <f t="shared" si="2"/>
        <v>0</v>
      </c>
    </row>
    <row r="306">
      <c r="A306" s="10" t="str">
        <f t="shared" si="1"/>
        <v>(06) Finanzas</v>
      </c>
      <c r="B306" s="18"/>
      <c r="C306" s="18"/>
      <c r="D306" s="16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3">
        <f t="shared" si="2"/>
        <v>0</v>
      </c>
    </row>
    <row r="307">
      <c r="A307" s="10" t="str">
        <f t="shared" si="1"/>
        <v>(06) Finanzas</v>
      </c>
      <c r="B307" s="18"/>
      <c r="C307" s="18"/>
      <c r="D307" s="16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3">
        <f t="shared" si="2"/>
        <v>0</v>
      </c>
    </row>
    <row r="308">
      <c r="A308" s="10" t="str">
        <f t="shared" si="1"/>
        <v>(06) Finanzas</v>
      </c>
      <c r="B308" s="18"/>
      <c r="C308" s="18"/>
      <c r="D308" s="16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3">
        <f t="shared" si="2"/>
        <v>0</v>
      </c>
    </row>
    <row r="309">
      <c r="A309" s="10" t="str">
        <f t="shared" si="1"/>
        <v>(06) Finanzas</v>
      </c>
      <c r="B309" s="18"/>
      <c r="C309" s="18"/>
      <c r="D309" s="16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3">
        <f t="shared" si="2"/>
        <v>0</v>
      </c>
    </row>
    <row r="310">
      <c r="A310" s="10" t="str">
        <f t="shared" si="1"/>
        <v>(06) Finanzas</v>
      </c>
      <c r="B310" s="18"/>
      <c r="C310" s="18"/>
      <c r="D310" s="16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3">
        <f t="shared" si="2"/>
        <v>0</v>
      </c>
    </row>
    <row r="311">
      <c r="A311" s="10" t="str">
        <f t="shared" si="1"/>
        <v>(06) Finanzas</v>
      </c>
      <c r="B311" s="18"/>
      <c r="C311" s="18"/>
      <c r="D311" s="16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3">
        <f t="shared" si="2"/>
        <v>0</v>
      </c>
    </row>
    <row r="312">
      <c r="A312" s="10" t="str">
        <f t="shared" si="1"/>
        <v>(06) Finanzas</v>
      </c>
      <c r="B312" s="18"/>
      <c r="C312" s="18"/>
      <c r="D312" s="1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3">
        <f t="shared" si="2"/>
        <v>0</v>
      </c>
    </row>
    <row r="313">
      <c r="A313" s="10" t="str">
        <f t="shared" si="1"/>
        <v>(06) Finanzas</v>
      </c>
      <c r="B313" s="18"/>
      <c r="C313" s="18"/>
      <c r="D313" s="16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3">
        <f t="shared" si="2"/>
        <v>0</v>
      </c>
    </row>
    <row r="314">
      <c r="A314" s="10" t="str">
        <f t="shared" si="1"/>
        <v>(06) Finanzas</v>
      </c>
      <c r="B314" s="18"/>
      <c r="C314" s="18"/>
      <c r="D314" s="16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3">
        <f t="shared" si="2"/>
        <v>0</v>
      </c>
    </row>
    <row r="315">
      <c r="A315" s="10" t="str">
        <f t="shared" si="1"/>
        <v>(06) Finanzas</v>
      </c>
      <c r="B315" s="18"/>
      <c r="C315" s="18"/>
      <c r="D315" s="16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3">
        <f t="shared" si="2"/>
        <v>0</v>
      </c>
    </row>
    <row r="316">
      <c r="A316" s="10" t="str">
        <f t="shared" si="1"/>
        <v>(06) Finanzas</v>
      </c>
      <c r="B316" s="18"/>
      <c r="C316" s="18"/>
      <c r="D316" s="16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3">
        <f t="shared" si="2"/>
        <v>0</v>
      </c>
    </row>
    <row r="317">
      <c r="A317" s="10" t="str">
        <f t="shared" si="1"/>
        <v>(06) Finanzas</v>
      </c>
      <c r="B317" s="18"/>
      <c r="C317" s="18"/>
      <c r="D317" s="16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3">
        <f t="shared" si="2"/>
        <v>0</v>
      </c>
    </row>
    <row r="318">
      <c r="A318" s="10" t="str">
        <f t="shared" si="1"/>
        <v>(06) Finanzas</v>
      </c>
      <c r="B318" s="18"/>
      <c r="C318" s="18"/>
      <c r="D318" s="16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3">
        <f t="shared" si="2"/>
        <v>0</v>
      </c>
    </row>
    <row r="319">
      <c r="A319" s="10" t="str">
        <f t="shared" si="1"/>
        <v>(06) Finanzas</v>
      </c>
      <c r="B319" s="18"/>
      <c r="C319" s="18"/>
      <c r="D319" s="16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3">
        <f t="shared" si="2"/>
        <v>0</v>
      </c>
    </row>
    <row r="320">
      <c r="A320" s="10" t="str">
        <f t="shared" si="1"/>
        <v>(06) Finanzas</v>
      </c>
      <c r="B320" s="18"/>
      <c r="C320" s="18"/>
      <c r="D320" s="16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3">
        <f t="shared" si="2"/>
        <v>0</v>
      </c>
    </row>
    <row r="321">
      <c r="A321" s="10" t="str">
        <f t="shared" si="1"/>
        <v>(06) Finanzas</v>
      </c>
      <c r="B321" s="18"/>
      <c r="C321" s="18"/>
      <c r="D321" s="16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3">
        <f t="shared" si="2"/>
        <v>0</v>
      </c>
    </row>
    <row r="322">
      <c r="A322" s="10" t="str">
        <f t="shared" si="1"/>
        <v>(06) Finanzas</v>
      </c>
      <c r="B322" s="18"/>
      <c r="C322" s="18"/>
      <c r="D322" s="16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3">
        <f t="shared" si="2"/>
        <v>0</v>
      </c>
    </row>
    <row r="323">
      <c r="A323" s="10" t="str">
        <f t="shared" si="1"/>
        <v>(06) Finanzas</v>
      </c>
      <c r="B323" s="18"/>
      <c r="C323" s="18"/>
      <c r="D323" s="16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3">
        <f t="shared" si="2"/>
        <v>0</v>
      </c>
    </row>
    <row r="324">
      <c r="A324" s="10" t="str">
        <f t="shared" si="1"/>
        <v>(06) Finanzas</v>
      </c>
      <c r="B324" s="18"/>
      <c r="C324" s="18"/>
      <c r="D324" s="16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3">
        <f t="shared" si="2"/>
        <v>0</v>
      </c>
    </row>
    <row r="325">
      <c r="A325" s="10" t="str">
        <f t="shared" si="1"/>
        <v>(06) Finanzas</v>
      </c>
      <c r="B325" s="18"/>
      <c r="C325" s="18"/>
      <c r="D325" s="16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3">
        <f t="shared" si="2"/>
        <v>0</v>
      </c>
    </row>
    <row r="326">
      <c r="A326" s="10" t="str">
        <f t="shared" si="1"/>
        <v>(06) Finanzas</v>
      </c>
      <c r="B326" s="18"/>
      <c r="C326" s="18"/>
      <c r="D326" s="16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3">
        <f t="shared" si="2"/>
        <v>0</v>
      </c>
    </row>
    <row r="327">
      <c r="A327" s="10" t="str">
        <f t="shared" si="1"/>
        <v>(06) Finanzas</v>
      </c>
      <c r="B327" s="18"/>
      <c r="C327" s="18"/>
      <c r="D327" s="16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3">
        <f t="shared" si="2"/>
        <v>0</v>
      </c>
    </row>
    <row r="328">
      <c r="A328" s="10" t="str">
        <f t="shared" si="1"/>
        <v>(06) Finanzas</v>
      </c>
      <c r="B328" s="18"/>
      <c r="C328" s="18"/>
      <c r="D328" s="16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3">
        <f t="shared" si="2"/>
        <v>0</v>
      </c>
    </row>
    <row r="329">
      <c r="A329" s="10" t="str">
        <f t="shared" si="1"/>
        <v>(06) Finanzas</v>
      </c>
      <c r="B329" s="18"/>
      <c r="C329" s="18"/>
      <c r="D329" s="16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3">
        <f t="shared" si="2"/>
        <v>0</v>
      </c>
    </row>
    <row r="330">
      <c r="A330" s="10" t="str">
        <f t="shared" si="1"/>
        <v>(06) Finanzas</v>
      </c>
      <c r="B330" s="18"/>
      <c r="C330" s="18"/>
      <c r="D330" s="16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3">
        <f t="shared" si="2"/>
        <v>0</v>
      </c>
    </row>
    <row r="331">
      <c r="A331" s="10" t="str">
        <f t="shared" si="1"/>
        <v>(06) Finanzas</v>
      </c>
      <c r="B331" s="18"/>
      <c r="C331" s="18"/>
      <c r="D331" s="16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3">
        <f t="shared" si="2"/>
        <v>0</v>
      </c>
    </row>
    <row r="332">
      <c r="A332" s="10" t="str">
        <f t="shared" si="1"/>
        <v>(06) Finanzas</v>
      </c>
      <c r="B332" s="18"/>
      <c r="C332" s="18"/>
      <c r="D332" s="16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3">
        <f t="shared" si="2"/>
        <v>0</v>
      </c>
    </row>
    <row r="333">
      <c r="A333" s="10" t="str">
        <f t="shared" si="1"/>
        <v>(06) Finanzas</v>
      </c>
      <c r="B333" s="18"/>
      <c r="C333" s="18"/>
      <c r="D333" s="16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3">
        <f t="shared" si="2"/>
        <v>0</v>
      </c>
    </row>
    <row r="334">
      <c r="A334" s="10" t="str">
        <f t="shared" si="1"/>
        <v>(06) Finanzas</v>
      </c>
      <c r="B334" s="18"/>
      <c r="C334" s="18"/>
      <c r="D334" s="16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3">
        <f t="shared" si="2"/>
        <v>0</v>
      </c>
    </row>
    <row r="335">
      <c r="A335" s="10" t="str">
        <f t="shared" si="1"/>
        <v>(06) Finanzas</v>
      </c>
      <c r="B335" s="18"/>
      <c r="C335" s="18"/>
      <c r="D335" s="16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3">
        <f t="shared" si="2"/>
        <v>0</v>
      </c>
    </row>
    <row r="336">
      <c r="A336" s="10" t="str">
        <f t="shared" si="1"/>
        <v>(06) Finanzas</v>
      </c>
      <c r="B336" s="18"/>
      <c r="C336" s="18"/>
      <c r="D336" s="16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3">
        <f t="shared" si="2"/>
        <v>0</v>
      </c>
    </row>
    <row r="337">
      <c r="A337" s="10" t="str">
        <f t="shared" si="1"/>
        <v>(06) Finanzas</v>
      </c>
      <c r="B337" s="18"/>
      <c r="C337" s="18"/>
      <c r="D337" s="16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3">
        <f t="shared" si="2"/>
        <v>0</v>
      </c>
    </row>
    <row r="338">
      <c r="A338" s="10" t="str">
        <f t="shared" si="1"/>
        <v>(06) Finanzas</v>
      </c>
      <c r="B338" s="18"/>
      <c r="C338" s="18"/>
      <c r="D338" s="16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3">
        <f t="shared" si="2"/>
        <v>0</v>
      </c>
    </row>
    <row r="339">
      <c r="A339" s="10" t="str">
        <f t="shared" si="1"/>
        <v>(06) Finanzas</v>
      </c>
      <c r="B339" s="18"/>
      <c r="C339" s="18"/>
      <c r="D339" s="16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3">
        <f t="shared" si="2"/>
        <v>0</v>
      </c>
    </row>
    <row r="340">
      <c r="A340" s="10" t="str">
        <f t="shared" si="1"/>
        <v>(06) Finanzas</v>
      </c>
      <c r="B340" s="18"/>
      <c r="C340" s="18"/>
      <c r="D340" s="16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3">
        <f t="shared" si="2"/>
        <v>0</v>
      </c>
    </row>
    <row r="341">
      <c r="A341" s="10" t="str">
        <f t="shared" si="1"/>
        <v>(06) Finanzas</v>
      </c>
      <c r="B341" s="18"/>
      <c r="C341" s="18"/>
      <c r="D341" s="16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3">
        <f t="shared" si="2"/>
        <v>0</v>
      </c>
    </row>
    <row r="342">
      <c r="A342" s="10" t="str">
        <f t="shared" si="1"/>
        <v>(06) Finanzas</v>
      </c>
      <c r="B342" s="18"/>
      <c r="C342" s="18"/>
      <c r="D342" s="16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3">
        <f t="shared" si="2"/>
        <v>0</v>
      </c>
    </row>
    <row r="343">
      <c r="A343" s="10" t="str">
        <f t="shared" si="1"/>
        <v>(06) Finanzas</v>
      </c>
      <c r="B343" s="18"/>
      <c r="C343" s="18"/>
      <c r="D343" s="16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3">
        <f t="shared" si="2"/>
        <v>0</v>
      </c>
    </row>
    <row r="344">
      <c r="A344" s="10" t="str">
        <f t="shared" si="1"/>
        <v>(06) Finanzas</v>
      </c>
      <c r="B344" s="18"/>
      <c r="C344" s="18"/>
      <c r="D344" s="16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3">
        <f t="shared" si="2"/>
        <v>0</v>
      </c>
    </row>
    <row r="345">
      <c r="A345" s="10" t="str">
        <f t="shared" si="1"/>
        <v>(06) Finanzas</v>
      </c>
      <c r="B345" s="18"/>
      <c r="C345" s="18"/>
      <c r="D345" s="16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3">
        <f t="shared" si="2"/>
        <v>0</v>
      </c>
    </row>
    <row r="346">
      <c r="A346" s="10" t="str">
        <f t="shared" si="1"/>
        <v>(06) Finanzas</v>
      </c>
      <c r="B346" s="18"/>
      <c r="C346" s="18"/>
      <c r="D346" s="16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3">
        <f t="shared" si="2"/>
        <v>0</v>
      </c>
    </row>
    <row r="347">
      <c r="A347" s="10" t="str">
        <f t="shared" si="1"/>
        <v>(06) Finanzas</v>
      </c>
      <c r="B347" s="18"/>
      <c r="C347" s="18"/>
      <c r="D347" s="16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3">
        <f t="shared" si="2"/>
        <v>0</v>
      </c>
    </row>
    <row r="348">
      <c r="A348" s="10" t="str">
        <f t="shared" si="1"/>
        <v>(06) Finanzas</v>
      </c>
      <c r="B348" s="18"/>
      <c r="C348" s="18"/>
      <c r="D348" s="16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3">
        <f t="shared" si="2"/>
        <v>0</v>
      </c>
    </row>
    <row r="349">
      <c r="A349" s="10" t="str">
        <f t="shared" si="1"/>
        <v>(06) Finanzas</v>
      </c>
      <c r="B349" s="18"/>
      <c r="C349" s="18"/>
      <c r="D349" s="16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3">
        <f t="shared" si="2"/>
        <v>0</v>
      </c>
    </row>
    <row r="350">
      <c r="A350" s="10" t="str">
        <f t="shared" si="1"/>
        <v>(06) Finanzas</v>
      </c>
      <c r="B350" s="18"/>
      <c r="C350" s="18"/>
      <c r="D350" s="16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3">
        <f t="shared" si="2"/>
        <v>0</v>
      </c>
    </row>
    <row r="351">
      <c r="A351" s="10" t="str">
        <f t="shared" si="1"/>
        <v>(06) Finanzas</v>
      </c>
      <c r="B351" s="18"/>
      <c r="C351" s="18"/>
      <c r="D351" s="16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3">
        <f t="shared" si="2"/>
        <v>0</v>
      </c>
    </row>
    <row r="352">
      <c r="A352" s="10" t="str">
        <f t="shared" si="1"/>
        <v>(06) Finanzas</v>
      </c>
      <c r="B352" s="18"/>
      <c r="C352" s="18"/>
      <c r="D352" s="16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3">
        <f t="shared" si="2"/>
        <v>0</v>
      </c>
    </row>
    <row r="353">
      <c r="A353" s="10" t="str">
        <f t="shared" si="1"/>
        <v>(06) Finanzas</v>
      </c>
      <c r="B353" s="18"/>
      <c r="C353" s="18"/>
      <c r="D353" s="16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3">
        <f t="shared" si="2"/>
        <v>0</v>
      </c>
    </row>
    <row r="354">
      <c r="A354" s="10" t="str">
        <f t="shared" si="1"/>
        <v>(06) Finanzas</v>
      </c>
      <c r="B354" s="18"/>
      <c r="C354" s="18"/>
      <c r="D354" s="16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3">
        <f t="shared" si="2"/>
        <v>0</v>
      </c>
    </row>
    <row r="355">
      <c r="A355" s="10" t="str">
        <f t="shared" si="1"/>
        <v>(06) Finanzas</v>
      </c>
      <c r="B355" s="18"/>
      <c r="C355" s="18"/>
      <c r="D355" s="16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3">
        <f t="shared" si="2"/>
        <v>0</v>
      </c>
    </row>
    <row r="356">
      <c r="A356" s="10" t="str">
        <f t="shared" si="1"/>
        <v>(06) Finanzas</v>
      </c>
      <c r="B356" s="18"/>
      <c r="C356" s="18"/>
      <c r="D356" s="16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3">
        <f t="shared" si="2"/>
        <v>0</v>
      </c>
    </row>
    <row r="357">
      <c r="A357" s="10" t="str">
        <f t="shared" si="1"/>
        <v>(06) Finanzas</v>
      </c>
      <c r="B357" s="18"/>
      <c r="C357" s="18"/>
      <c r="D357" s="16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3">
        <f t="shared" si="2"/>
        <v>0</v>
      </c>
    </row>
    <row r="358">
      <c r="A358" s="10" t="str">
        <f t="shared" si="1"/>
        <v>(06) Finanzas</v>
      </c>
      <c r="B358" s="18"/>
      <c r="C358" s="18"/>
      <c r="D358" s="16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3">
        <f t="shared" si="2"/>
        <v>0</v>
      </c>
    </row>
    <row r="359">
      <c r="A359" s="10" t="str">
        <f t="shared" si="1"/>
        <v>(06) Finanzas</v>
      </c>
      <c r="B359" s="18"/>
      <c r="C359" s="18"/>
      <c r="D359" s="16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3">
        <f t="shared" si="2"/>
        <v>0</v>
      </c>
    </row>
    <row r="360">
      <c r="A360" s="10" t="str">
        <f t="shared" si="1"/>
        <v>(06) Finanzas</v>
      </c>
      <c r="B360" s="18"/>
      <c r="C360" s="18"/>
      <c r="D360" s="16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3">
        <f t="shared" si="2"/>
        <v>0</v>
      </c>
    </row>
    <row r="361">
      <c r="A361" s="10" t="str">
        <f t="shared" si="1"/>
        <v>(06) Finanzas</v>
      </c>
      <c r="B361" s="18"/>
      <c r="C361" s="18"/>
      <c r="D361" s="16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3">
        <f t="shared" si="2"/>
        <v>0</v>
      </c>
    </row>
    <row r="362">
      <c r="A362" s="10" t="str">
        <f t="shared" si="1"/>
        <v>(06) Finanzas</v>
      </c>
      <c r="B362" s="18"/>
      <c r="C362" s="18"/>
      <c r="D362" s="16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3">
        <f t="shared" si="2"/>
        <v>0</v>
      </c>
    </row>
    <row r="363">
      <c r="A363" s="10" t="str">
        <f t="shared" si="1"/>
        <v>(06) Finanzas</v>
      </c>
      <c r="B363" s="18"/>
      <c r="C363" s="18"/>
      <c r="D363" s="16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3">
        <f t="shared" si="2"/>
        <v>0</v>
      </c>
    </row>
    <row r="364">
      <c r="A364" s="10" t="str">
        <f t="shared" si="1"/>
        <v>(06) Finanzas</v>
      </c>
      <c r="B364" s="18"/>
      <c r="C364" s="18"/>
      <c r="D364" s="16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3">
        <f t="shared" si="2"/>
        <v>0</v>
      </c>
    </row>
    <row r="365">
      <c r="A365" s="10" t="str">
        <f t="shared" si="1"/>
        <v>(06) Finanzas</v>
      </c>
      <c r="B365" s="18"/>
      <c r="C365" s="18"/>
      <c r="D365" s="16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3">
        <f t="shared" si="2"/>
        <v>0</v>
      </c>
    </row>
    <row r="366">
      <c r="A366" s="10" t="str">
        <f t="shared" si="1"/>
        <v>(06) Finanzas</v>
      </c>
      <c r="B366" s="18"/>
      <c r="C366" s="18"/>
      <c r="D366" s="16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3">
        <f t="shared" si="2"/>
        <v>0</v>
      </c>
    </row>
    <row r="367">
      <c r="A367" s="10" t="str">
        <f t="shared" si="1"/>
        <v>(06) Finanzas</v>
      </c>
      <c r="B367" s="18"/>
      <c r="C367" s="18"/>
      <c r="D367" s="16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3">
        <f t="shared" si="2"/>
        <v>0</v>
      </c>
    </row>
    <row r="368">
      <c r="A368" s="10" t="str">
        <f t="shared" si="1"/>
        <v>(06) Finanzas</v>
      </c>
      <c r="B368" s="18"/>
      <c r="C368" s="18"/>
      <c r="D368" s="16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3">
        <f t="shared" si="2"/>
        <v>0</v>
      </c>
    </row>
    <row r="369">
      <c r="A369" s="10" t="str">
        <f t="shared" si="1"/>
        <v>(06) Finanzas</v>
      </c>
      <c r="B369" s="18"/>
      <c r="C369" s="18"/>
      <c r="D369" s="16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3">
        <f t="shared" si="2"/>
        <v>0</v>
      </c>
    </row>
    <row r="370">
      <c r="A370" s="10" t="str">
        <f t="shared" si="1"/>
        <v>(06) Finanzas</v>
      </c>
      <c r="B370" s="18"/>
      <c r="C370" s="18"/>
      <c r="D370" s="16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3">
        <f t="shared" si="2"/>
        <v>0</v>
      </c>
    </row>
    <row r="371">
      <c r="A371" s="10" t="str">
        <f t="shared" si="1"/>
        <v>(06) Finanzas</v>
      </c>
      <c r="B371" s="18"/>
      <c r="C371" s="18"/>
      <c r="D371" s="16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3">
        <f t="shared" si="2"/>
        <v>0</v>
      </c>
    </row>
    <row r="372">
      <c r="A372" s="10" t="str">
        <f t="shared" si="1"/>
        <v>(06) Finanzas</v>
      </c>
      <c r="B372" s="18"/>
      <c r="C372" s="18"/>
      <c r="D372" s="16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3">
        <f t="shared" si="2"/>
        <v>0</v>
      </c>
    </row>
    <row r="373">
      <c r="A373" s="10" t="str">
        <f t="shared" si="1"/>
        <v>(06) Finanzas</v>
      </c>
      <c r="B373" s="18"/>
      <c r="C373" s="18"/>
      <c r="D373" s="16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3">
        <f t="shared" si="2"/>
        <v>0</v>
      </c>
    </row>
    <row r="374">
      <c r="A374" s="10" t="str">
        <f t="shared" si="1"/>
        <v>(06) Finanzas</v>
      </c>
      <c r="B374" s="18"/>
      <c r="C374" s="18"/>
      <c r="D374" s="16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3">
        <f t="shared" si="2"/>
        <v>0</v>
      </c>
    </row>
    <row r="375">
      <c r="A375" s="10" t="str">
        <f t="shared" si="1"/>
        <v>(06) Finanzas</v>
      </c>
      <c r="B375" s="18"/>
      <c r="C375" s="18"/>
      <c r="D375" s="16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3">
        <f t="shared" si="2"/>
        <v>0</v>
      </c>
    </row>
    <row r="376">
      <c r="A376" s="10" t="str">
        <f t="shared" si="1"/>
        <v>(06) Finanzas</v>
      </c>
      <c r="B376" s="18"/>
      <c r="C376" s="18"/>
      <c r="D376" s="16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3">
        <f t="shared" si="2"/>
        <v>0</v>
      </c>
    </row>
    <row r="377">
      <c r="A377" s="10" t="str">
        <f t="shared" si="1"/>
        <v>(06) Finanzas</v>
      </c>
      <c r="B377" s="18"/>
      <c r="C377" s="18"/>
      <c r="D377" s="16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3">
        <f t="shared" si="2"/>
        <v>0</v>
      </c>
    </row>
    <row r="378">
      <c r="A378" s="10" t="str">
        <f t="shared" si="1"/>
        <v>(06) Finanzas</v>
      </c>
      <c r="B378" s="18"/>
      <c r="C378" s="18"/>
      <c r="D378" s="16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3">
        <f t="shared" si="2"/>
        <v>0</v>
      </c>
    </row>
    <row r="379">
      <c r="A379" s="10" t="str">
        <f t="shared" si="1"/>
        <v>(06) Finanzas</v>
      </c>
      <c r="B379" s="18"/>
      <c r="C379" s="18"/>
      <c r="D379" s="16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3">
        <f t="shared" si="2"/>
        <v>0</v>
      </c>
    </row>
    <row r="380">
      <c r="A380" s="10" t="str">
        <f t="shared" si="1"/>
        <v>(06) Finanzas</v>
      </c>
      <c r="B380" s="18"/>
      <c r="C380" s="18"/>
      <c r="D380" s="16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3">
        <f t="shared" si="2"/>
        <v>0</v>
      </c>
    </row>
    <row r="381">
      <c r="A381" s="10" t="str">
        <f t="shared" si="1"/>
        <v>(06) Finanzas</v>
      </c>
      <c r="B381" s="18"/>
      <c r="C381" s="18"/>
      <c r="D381" s="16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3">
        <f t="shared" si="2"/>
        <v>0</v>
      </c>
    </row>
    <row r="382">
      <c r="A382" s="10" t="str">
        <f t="shared" si="1"/>
        <v>(06) Finanzas</v>
      </c>
      <c r="B382" s="18"/>
      <c r="C382" s="18"/>
      <c r="D382" s="16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3">
        <f t="shared" si="2"/>
        <v>0</v>
      </c>
    </row>
    <row r="383">
      <c r="A383" s="10" t="str">
        <f t="shared" si="1"/>
        <v>(06) Finanzas</v>
      </c>
      <c r="B383" s="18"/>
      <c r="C383" s="18"/>
      <c r="D383" s="16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3">
        <f t="shared" si="2"/>
        <v>0</v>
      </c>
    </row>
    <row r="384">
      <c r="A384" s="10" t="str">
        <f t="shared" si="1"/>
        <v>(06) Finanzas</v>
      </c>
      <c r="B384" s="18"/>
      <c r="C384" s="18"/>
      <c r="D384" s="16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3">
        <f t="shared" si="2"/>
        <v>0</v>
      </c>
    </row>
    <row r="385">
      <c r="A385" s="10" t="str">
        <f t="shared" si="1"/>
        <v>(06) Finanzas</v>
      </c>
      <c r="B385" s="18"/>
      <c r="C385" s="18"/>
      <c r="D385" s="16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3">
        <f t="shared" si="2"/>
        <v>0</v>
      </c>
    </row>
    <row r="386">
      <c r="A386" s="10" t="str">
        <f t="shared" si="1"/>
        <v>(06) Finanzas</v>
      </c>
      <c r="B386" s="18"/>
      <c r="C386" s="18"/>
      <c r="D386" s="16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3">
        <f t="shared" si="2"/>
        <v>0</v>
      </c>
    </row>
    <row r="387">
      <c r="A387" s="10" t="str">
        <f t="shared" si="1"/>
        <v>(06) Finanzas</v>
      </c>
      <c r="B387" s="18"/>
      <c r="C387" s="18"/>
      <c r="D387" s="16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3">
        <f t="shared" si="2"/>
        <v>0</v>
      </c>
    </row>
    <row r="388">
      <c r="A388" s="10" t="str">
        <f t="shared" si="1"/>
        <v>(06) Finanzas</v>
      </c>
      <c r="B388" s="18"/>
      <c r="C388" s="18"/>
      <c r="D388" s="16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3">
        <f t="shared" si="2"/>
        <v>0</v>
      </c>
    </row>
    <row r="389">
      <c r="A389" s="10" t="str">
        <f t="shared" si="1"/>
        <v>(06) Finanzas</v>
      </c>
      <c r="B389" s="18"/>
      <c r="C389" s="18"/>
      <c r="D389" s="16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3">
        <f t="shared" si="2"/>
        <v>0</v>
      </c>
    </row>
    <row r="390">
      <c r="A390" s="10" t="str">
        <f t="shared" si="1"/>
        <v>(06) Finanzas</v>
      </c>
      <c r="B390" s="18"/>
      <c r="C390" s="18"/>
      <c r="D390" s="16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3">
        <f t="shared" si="2"/>
        <v>0</v>
      </c>
    </row>
    <row r="391">
      <c r="A391" s="10" t="str">
        <f t="shared" si="1"/>
        <v>(06) Finanzas</v>
      </c>
      <c r="B391" s="18"/>
      <c r="C391" s="18"/>
      <c r="D391" s="16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3">
        <f t="shared" si="2"/>
        <v>0</v>
      </c>
    </row>
    <row r="392">
      <c r="A392" s="10" t="str">
        <f t="shared" si="1"/>
        <v>(06) Finanzas</v>
      </c>
      <c r="B392" s="18"/>
      <c r="C392" s="18"/>
      <c r="D392" s="16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3">
        <f t="shared" si="2"/>
        <v>0</v>
      </c>
    </row>
    <row r="393">
      <c r="A393" s="10" t="str">
        <f t="shared" si="1"/>
        <v>(06) Finanzas</v>
      </c>
      <c r="B393" s="18"/>
      <c r="C393" s="18"/>
      <c r="D393" s="16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3">
        <f t="shared" si="2"/>
        <v>0</v>
      </c>
    </row>
    <row r="394">
      <c r="A394" s="10" t="str">
        <f t="shared" si="1"/>
        <v>(06) Finanzas</v>
      </c>
      <c r="B394" s="18"/>
      <c r="C394" s="18"/>
      <c r="D394" s="16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3">
        <f t="shared" si="2"/>
        <v>0</v>
      </c>
    </row>
  </sheetData>
  <autoFilter ref="$A$2:$Q$394"/>
  <dataValidations>
    <dataValidation type="list" allowBlank="1" showErrorMessage="1" sqref="C3:C394">
      <formula1>Menus!$B$2:$B394</formula1>
    </dataValidation>
    <dataValidation type="list" allowBlank="1" showErrorMessage="1" sqref="B3:B394">
      <formula1>Menus!$A$2:$A394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5.13"/>
    <col customWidth="1" min="2" max="2" width="26.25"/>
    <col customWidth="1" min="3" max="3" width="22.13"/>
    <col customWidth="1" min="4" max="4" width="10.5"/>
    <col customWidth="1" min="5" max="16" width="10.25"/>
    <col customWidth="1" min="17" max="17" width="11.63"/>
  </cols>
  <sheetData>
    <row r="1">
      <c r="B1" s="1" t="s">
        <v>0</v>
      </c>
      <c r="C1" s="2" t="s">
        <v>83</v>
      </c>
      <c r="D1" s="3"/>
      <c r="E1" s="4">
        <f t="shared" ref="E1:Q1" si="1">SUM(E3:E244)</f>
        <v>559701.12</v>
      </c>
      <c r="F1" s="4">
        <f t="shared" si="1"/>
        <v>558235.29</v>
      </c>
      <c r="G1" s="4">
        <f t="shared" si="1"/>
        <v>558572.31</v>
      </c>
      <c r="H1" s="4">
        <f t="shared" si="1"/>
        <v>559302.69</v>
      </c>
      <c r="I1" s="4">
        <f t="shared" si="1"/>
        <v>559566.82</v>
      </c>
      <c r="J1" s="4">
        <f t="shared" si="1"/>
        <v>558603.77</v>
      </c>
      <c r="K1" s="4">
        <f t="shared" si="1"/>
        <v>559840.52</v>
      </c>
      <c r="L1" s="4">
        <f t="shared" si="1"/>
        <v>558578.48</v>
      </c>
      <c r="M1" s="4">
        <f t="shared" si="1"/>
        <v>555106.66</v>
      </c>
      <c r="N1" s="4">
        <f t="shared" si="1"/>
        <v>559409.84</v>
      </c>
      <c r="O1" s="4">
        <f t="shared" si="1"/>
        <v>554595.86</v>
      </c>
      <c r="P1" s="4">
        <f t="shared" si="1"/>
        <v>556881.18</v>
      </c>
      <c r="Q1" s="5">
        <f t="shared" si="1"/>
        <v>6698394.54</v>
      </c>
    </row>
    <row r="2">
      <c r="A2" s="6" t="s">
        <v>2</v>
      </c>
      <c r="B2" s="6" t="s">
        <v>3</v>
      </c>
      <c r="C2" s="6" t="s">
        <v>4</v>
      </c>
      <c r="D2" s="7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9" t="s">
        <v>18</v>
      </c>
    </row>
    <row r="3">
      <c r="A3" s="10" t="str">
        <f t="shared" ref="A3:A244" si="2">$C$1</f>
        <v>Otros</v>
      </c>
      <c r="B3" s="10" t="s">
        <v>55</v>
      </c>
      <c r="C3" s="10" t="s">
        <v>84</v>
      </c>
      <c r="D3" s="16"/>
      <c r="E3" s="14">
        <v>530000.0</v>
      </c>
      <c r="F3" s="14">
        <v>530000.0</v>
      </c>
      <c r="G3" s="14">
        <v>530000.0</v>
      </c>
      <c r="H3" s="14">
        <v>530000.0</v>
      </c>
      <c r="I3" s="14">
        <v>530000.0</v>
      </c>
      <c r="J3" s="14">
        <v>530000.0</v>
      </c>
      <c r="K3" s="14">
        <v>530000.0</v>
      </c>
      <c r="L3" s="14">
        <v>530000.0</v>
      </c>
      <c r="M3" s="14">
        <v>530000.0</v>
      </c>
      <c r="N3" s="14">
        <v>530000.0</v>
      </c>
      <c r="O3" s="14">
        <v>530000.0</v>
      </c>
      <c r="P3" s="14">
        <v>530000.0</v>
      </c>
      <c r="Q3" s="13">
        <f t="shared" ref="Q3:Q244" si="3">SUM(E3:P3)</f>
        <v>6360000</v>
      </c>
    </row>
    <row r="4">
      <c r="A4" s="10" t="str">
        <f t="shared" si="2"/>
        <v>Otros</v>
      </c>
      <c r="B4" s="10" t="s">
        <v>55</v>
      </c>
      <c r="C4" s="10" t="s">
        <v>85</v>
      </c>
      <c r="D4" s="11" t="s">
        <v>86</v>
      </c>
      <c r="E4" s="17">
        <v>15000.0</v>
      </c>
      <c r="F4" s="17">
        <v>15000.0</v>
      </c>
      <c r="G4" s="17">
        <v>15000.0</v>
      </c>
      <c r="H4" s="17">
        <v>15000.0</v>
      </c>
      <c r="I4" s="17">
        <v>15000.0</v>
      </c>
      <c r="J4" s="17">
        <v>15000.0</v>
      </c>
      <c r="K4" s="17">
        <v>15000.0</v>
      </c>
      <c r="L4" s="17">
        <v>15000.0</v>
      </c>
      <c r="M4" s="17">
        <v>15000.0</v>
      </c>
      <c r="N4" s="17">
        <v>15000.0</v>
      </c>
      <c r="O4" s="17">
        <v>15000.0</v>
      </c>
      <c r="P4" s="17">
        <v>15000.0</v>
      </c>
      <c r="Q4" s="13">
        <f t="shared" si="3"/>
        <v>180000</v>
      </c>
    </row>
    <row r="5">
      <c r="A5" s="10" t="str">
        <f t="shared" si="2"/>
        <v>Otros</v>
      </c>
      <c r="B5" s="10" t="s">
        <v>31</v>
      </c>
      <c r="C5" s="10" t="s">
        <v>85</v>
      </c>
      <c r="D5" s="11" t="s">
        <v>87</v>
      </c>
      <c r="E5" s="17">
        <v>2500.0</v>
      </c>
      <c r="F5" s="17">
        <v>2500.0</v>
      </c>
      <c r="G5" s="17">
        <v>2500.0</v>
      </c>
      <c r="H5" s="17">
        <v>2500.0</v>
      </c>
      <c r="I5" s="17">
        <v>2500.0</v>
      </c>
      <c r="J5" s="17">
        <v>2500.0</v>
      </c>
      <c r="K5" s="17">
        <v>2500.0</v>
      </c>
      <c r="L5" s="17">
        <v>2500.0</v>
      </c>
      <c r="M5" s="17">
        <v>2500.0</v>
      </c>
      <c r="N5" s="17">
        <v>2500.0</v>
      </c>
      <c r="O5" s="17">
        <v>2500.0</v>
      </c>
      <c r="P5" s="17">
        <v>2500.0</v>
      </c>
      <c r="Q5" s="13">
        <f t="shared" si="3"/>
        <v>30000</v>
      </c>
    </row>
    <row r="6">
      <c r="A6" s="10" t="str">
        <f t="shared" si="2"/>
        <v>Otros</v>
      </c>
      <c r="B6" s="10" t="s">
        <v>42</v>
      </c>
      <c r="C6" s="10" t="s">
        <v>88</v>
      </c>
      <c r="D6" s="11"/>
      <c r="E6" s="17">
        <v>3451.63</v>
      </c>
      <c r="F6" s="17">
        <v>2824.75</v>
      </c>
      <c r="G6" s="17">
        <v>3078.9</v>
      </c>
      <c r="H6" s="17">
        <v>3091.23</v>
      </c>
      <c r="I6" s="17">
        <v>3451.63</v>
      </c>
      <c r="J6" s="17">
        <v>3312.23</v>
      </c>
      <c r="K6" s="17">
        <v>3133.73</v>
      </c>
      <c r="L6" s="17">
        <v>3103.13</v>
      </c>
      <c r="M6" s="17">
        <v>3482.23</v>
      </c>
      <c r="N6" s="17">
        <v>3482.23</v>
      </c>
      <c r="O6" s="17">
        <v>3387.88</v>
      </c>
      <c r="P6" s="17">
        <v>1100.35</v>
      </c>
      <c r="Q6" s="13">
        <f t="shared" si="3"/>
        <v>36899.92</v>
      </c>
    </row>
    <row r="7">
      <c r="A7" s="10" t="str">
        <f t="shared" si="2"/>
        <v>Otros</v>
      </c>
      <c r="B7" s="10" t="s">
        <v>43</v>
      </c>
      <c r="C7" s="10" t="s">
        <v>88</v>
      </c>
      <c r="D7" s="16"/>
      <c r="E7" s="17">
        <v>2146.83</v>
      </c>
      <c r="F7" s="17">
        <v>1920.09</v>
      </c>
      <c r="G7" s="17">
        <v>1932.42</v>
      </c>
      <c r="H7" s="17">
        <v>2153.63</v>
      </c>
      <c r="I7" s="17">
        <v>1942.83</v>
      </c>
      <c r="J7" s="17">
        <v>1690.38</v>
      </c>
      <c r="K7" s="17">
        <v>2170.63</v>
      </c>
      <c r="L7" s="17">
        <v>2170.63</v>
      </c>
      <c r="M7" s="17">
        <v>-1963.44</v>
      </c>
      <c r="N7" s="17">
        <v>1956.64</v>
      </c>
      <c r="O7" s="17">
        <v>2036.33</v>
      </c>
      <c r="P7" s="17">
        <v>1980.23</v>
      </c>
      <c r="Q7" s="13">
        <f t="shared" si="3"/>
        <v>20137.2</v>
      </c>
    </row>
    <row r="8">
      <c r="A8" s="10" t="str">
        <f t="shared" si="2"/>
        <v>Otros</v>
      </c>
      <c r="B8" s="10" t="s">
        <v>40</v>
      </c>
      <c r="C8" s="10" t="s">
        <v>88</v>
      </c>
      <c r="D8" s="16"/>
      <c r="E8" s="17">
        <v>1946.31</v>
      </c>
      <c r="F8" s="17">
        <v>1723.61</v>
      </c>
      <c r="G8" s="17">
        <v>1757.61</v>
      </c>
      <c r="H8" s="17">
        <v>1936.11</v>
      </c>
      <c r="I8" s="17">
        <v>1946.31</v>
      </c>
      <c r="J8" s="17">
        <v>1596.11</v>
      </c>
      <c r="K8" s="17">
        <v>1970.11</v>
      </c>
      <c r="L8" s="17">
        <v>1747.41</v>
      </c>
      <c r="M8" s="17">
        <v>1747.41</v>
      </c>
      <c r="N8" s="17">
        <v>1970.11</v>
      </c>
      <c r="O8" s="17">
        <v>1747.41</v>
      </c>
      <c r="P8" s="17">
        <v>1785.23</v>
      </c>
      <c r="Q8" s="13">
        <f t="shared" si="3"/>
        <v>21873.74</v>
      </c>
    </row>
    <row r="9">
      <c r="A9" s="10" t="str">
        <f t="shared" si="2"/>
        <v>Otros</v>
      </c>
      <c r="B9" s="10" t="s">
        <v>49</v>
      </c>
      <c r="C9" s="10" t="s">
        <v>88</v>
      </c>
      <c r="D9" s="16"/>
      <c r="E9" s="17">
        <v>1323.31</v>
      </c>
      <c r="F9" s="17">
        <v>1166.91</v>
      </c>
      <c r="G9" s="17">
        <v>1159.68</v>
      </c>
      <c r="H9" s="17">
        <v>1330.11</v>
      </c>
      <c r="I9" s="17">
        <v>1323.31</v>
      </c>
      <c r="J9" s="17">
        <v>1160.11</v>
      </c>
      <c r="K9" s="17">
        <v>1347.11</v>
      </c>
      <c r="L9" s="17">
        <v>1190.71</v>
      </c>
      <c r="M9" s="17">
        <v>1190.71</v>
      </c>
      <c r="N9" s="17">
        <v>1183.91</v>
      </c>
      <c r="O9" s="17">
        <v>1330.11</v>
      </c>
      <c r="P9" s="17">
        <v>1284.21</v>
      </c>
      <c r="Q9" s="13">
        <f t="shared" si="3"/>
        <v>14990.19</v>
      </c>
    </row>
    <row r="10">
      <c r="A10" s="10" t="str">
        <f t="shared" si="2"/>
        <v>Otros</v>
      </c>
      <c r="B10" s="10" t="s">
        <v>30</v>
      </c>
      <c r="C10" s="10" t="s">
        <v>88</v>
      </c>
      <c r="D10" s="16"/>
      <c r="E10" s="17">
        <v>948.75</v>
      </c>
      <c r="F10" s="17">
        <v>805.95</v>
      </c>
      <c r="G10" s="17">
        <v>822.95</v>
      </c>
      <c r="H10" s="17">
        <v>955.55</v>
      </c>
      <c r="I10" s="17">
        <v>948.75</v>
      </c>
      <c r="J10" s="17">
        <v>785.55</v>
      </c>
      <c r="K10" s="17">
        <v>972.55</v>
      </c>
      <c r="L10" s="17">
        <v>829.75</v>
      </c>
      <c r="M10" s="17">
        <v>829.75</v>
      </c>
      <c r="N10" s="17">
        <v>822.95</v>
      </c>
      <c r="O10" s="17">
        <v>878.2</v>
      </c>
      <c r="P10" s="17">
        <v>834.85</v>
      </c>
      <c r="Q10" s="13">
        <f t="shared" si="3"/>
        <v>10435.55</v>
      </c>
    </row>
    <row r="11">
      <c r="A11" s="10" t="str">
        <f t="shared" si="2"/>
        <v>Otros</v>
      </c>
      <c r="B11" s="10" t="s">
        <v>31</v>
      </c>
      <c r="C11" s="10" t="s">
        <v>88</v>
      </c>
      <c r="D11" s="16"/>
      <c r="E11" s="17">
        <v>2384.29</v>
      </c>
      <c r="F11" s="17">
        <v>2293.98</v>
      </c>
      <c r="G11" s="17">
        <v>2320.75</v>
      </c>
      <c r="H11" s="17">
        <v>2336.06</v>
      </c>
      <c r="I11" s="17">
        <v>2453.99</v>
      </c>
      <c r="J11" s="17">
        <v>2559.39</v>
      </c>
      <c r="K11" s="17">
        <v>2746.39</v>
      </c>
      <c r="L11" s="17">
        <v>2036.85</v>
      </c>
      <c r="M11" s="17">
        <v>2320.0</v>
      </c>
      <c r="N11" s="17">
        <v>2494.0</v>
      </c>
      <c r="O11" s="17">
        <v>-2284.07</v>
      </c>
      <c r="P11" s="17">
        <v>2396.31</v>
      </c>
      <c r="Q11" s="13">
        <f t="shared" si="3"/>
        <v>24057.94</v>
      </c>
    </row>
    <row r="12">
      <c r="A12" s="10" t="str">
        <f t="shared" si="2"/>
        <v>Otros</v>
      </c>
      <c r="B12" s="18"/>
      <c r="C12" s="18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3">
        <f t="shared" si="3"/>
        <v>0</v>
      </c>
    </row>
    <row r="13">
      <c r="A13" s="10" t="str">
        <f t="shared" si="2"/>
        <v>Otros</v>
      </c>
      <c r="B13" s="18"/>
      <c r="C13" s="18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3">
        <f t="shared" si="3"/>
        <v>0</v>
      </c>
    </row>
    <row r="14">
      <c r="A14" s="10" t="str">
        <f t="shared" si="2"/>
        <v>Otros</v>
      </c>
      <c r="B14" s="18"/>
      <c r="C14" s="18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3">
        <f t="shared" si="3"/>
        <v>0</v>
      </c>
    </row>
    <row r="15">
      <c r="A15" s="10" t="str">
        <f t="shared" si="2"/>
        <v>Otros</v>
      </c>
      <c r="B15" s="18"/>
      <c r="C15" s="18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3">
        <f t="shared" si="3"/>
        <v>0</v>
      </c>
    </row>
    <row r="16">
      <c r="A16" s="10" t="str">
        <f t="shared" si="2"/>
        <v>Otros</v>
      </c>
      <c r="B16" s="18"/>
      <c r="C16" s="18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3">
        <f t="shared" si="3"/>
        <v>0</v>
      </c>
    </row>
    <row r="17">
      <c r="A17" s="10" t="str">
        <f t="shared" si="2"/>
        <v>Otros</v>
      </c>
      <c r="B17" s="18"/>
      <c r="C17" s="18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3">
        <f t="shared" si="3"/>
        <v>0</v>
      </c>
    </row>
    <row r="18">
      <c r="A18" s="10" t="str">
        <f t="shared" si="2"/>
        <v>Otros</v>
      </c>
      <c r="B18" s="18"/>
      <c r="C18" s="18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3">
        <f t="shared" si="3"/>
        <v>0</v>
      </c>
    </row>
    <row r="19">
      <c r="A19" s="10" t="str">
        <f t="shared" si="2"/>
        <v>Otros</v>
      </c>
      <c r="B19" s="18"/>
      <c r="C19" s="18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3">
        <f t="shared" si="3"/>
        <v>0</v>
      </c>
    </row>
    <row r="20">
      <c r="A20" s="10" t="str">
        <f t="shared" si="2"/>
        <v>Otros</v>
      </c>
      <c r="B20" s="18"/>
      <c r="C20" s="18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3">
        <f t="shared" si="3"/>
        <v>0</v>
      </c>
    </row>
    <row r="21">
      <c r="A21" s="10" t="str">
        <f t="shared" si="2"/>
        <v>Otros</v>
      </c>
      <c r="B21" s="18"/>
      <c r="C21" s="18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3">
        <f t="shared" si="3"/>
        <v>0</v>
      </c>
    </row>
    <row r="22">
      <c r="A22" s="10" t="str">
        <f t="shared" si="2"/>
        <v>Otros</v>
      </c>
      <c r="B22" s="18"/>
      <c r="C22" s="18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3">
        <f t="shared" si="3"/>
        <v>0</v>
      </c>
    </row>
    <row r="23">
      <c r="A23" s="10" t="str">
        <f t="shared" si="2"/>
        <v>Otros</v>
      </c>
      <c r="B23" s="18"/>
      <c r="C23" s="18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3">
        <f t="shared" si="3"/>
        <v>0</v>
      </c>
    </row>
    <row r="24">
      <c r="A24" s="10" t="str">
        <f t="shared" si="2"/>
        <v>Otros</v>
      </c>
      <c r="B24" s="18"/>
      <c r="C24" s="18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3">
        <f t="shared" si="3"/>
        <v>0</v>
      </c>
    </row>
    <row r="25">
      <c r="A25" s="10" t="str">
        <f t="shared" si="2"/>
        <v>Otros</v>
      </c>
      <c r="B25" s="18"/>
      <c r="C25" s="18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3">
        <f t="shared" si="3"/>
        <v>0</v>
      </c>
    </row>
    <row r="26">
      <c r="A26" s="10" t="str">
        <f t="shared" si="2"/>
        <v>Otros</v>
      </c>
      <c r="B26" s="18"/>
      <c r="C26" s="18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3">
        <f t="shared" si="3"/>
        <v>0</v>
      </c>
    </row>
    <row r="27">
      <c r="A27" s="10" t="str">
        <f t="shared" si="2"/>
        <v>Otros</v>
      </c>
      <c r="B27" s="18"/>
      <c r="C27" s="18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3">
        <f t="shared" si="3"/>
        <v>0</v>
      </c>
    </row>
    <row r="28">
      <c r="A28" s="10" t="str">
        <f t="shared" si="2"/>
        <v>Otros</v>
      </c>
      <c r="B28" s="18"/>
      <c r="C28" s="18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3">
        <f t="shared" si="3"/>
        <v>0</v>
      </c>
    </row>
    <row r="29">
      <c r="A29" s="10" t="str">
        <f t="shared" si="2"/>
        <v>Otros</v>
      </c>
      <c r="B29" s="18"/>
      <c r="C29" s="18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3">
        <f t="shared" si="3"/>
        <v>0</v>
      </c>
    </row>
    <row r="30">
      <c r="A30" s="10" t="str">
        <f t="shared" si="2"/>
        <v>Otros</v>
      </c>
      <c r="B30" s="18"/>
      <c r="C30" s="18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3">
        <f t="shared" si="3"/>
        <v>0</v>
      </c>
    </row>
    <row r="31">
      <c r="A31" s="10" t="str">
        <f t="shared" si="2"/>
        <v>Otros</v>
      </c>
      <c r="B31" s="18"/>
      <c r="C31" s="18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3">
        <f t="shared" si="3"/>
        <v>0</v>
      </c>
    </row>
    <row r="32">
      <c r="A32" s="10" t="str">
        <f t="shared" si="2"/>
        <v>Otros</v>
      </c>
      <c r="B32" s="18"/>
      <c r="C32" s="18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3">
        <f t="shared" si="3"/>
        <v>0</v>
      </c>
    </row>
    <row r="33">
      <c r="A33" s="10" t="str">
        <f t="shared" si="2"/>
        <v>Otros</v>
      </c>
      <c r="B33" s="18"/>
      <c r="C33" s="18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3">
        <f t="shared" si="3"/>
        <v>0</v>
      </c>
    </row>
    <row r="34">
      <c r="A34" s="10" t="str">
        <f t="shared" si="2"/>
        <v>Otros</v>
      </c>
      <c r="B34" s="18"/>
      <c r="C34" s="18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3">
        <f t="shared" si="3"/>
        <v>0</v>
      </c>
    </row>
    <row r="35">
      <c r="A35" s="10" t="str">
        <f t="shared" si="2"/>
        <v>Otros</v>
      </c>
      <c r="B35" s="18"/>
      <c r="C35" s="18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3">
        <f t="shared" si="3"/>
        <v>0</v>
      </c>
    </row>
    <row r="36">
      <c r="A36" s="10" t="str">
        <f t="shared" si="2"/>
        <v>Otros</v>
      </c>
      <c r="B36" s="18"/>
      <c r="C36" s="18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3">
        <f t="shared" si="3"/>
        <v>0</v>
      </c>
    </row>
    <row r="37">
      <c r="A37" s="10" t="str">
        <f t="shared" si="2"/>
        <v>Otros</v>
      </c>
      <c r="B37" s="18"/>
      <c r="C37" s="18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3">
        <f t="shared" si="3"/>
        <v>0</v>
      </c>
    </row>
    <row r="38">
      <c r="A38" s="10" t="str">
        <f t="shared" si="2"/>
        <v>Otros</v>
      </c>
      <c r="B38" s="18"/>
      <c r="C38" s="18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3">
        <f t="shared" si="3"/>
        <v>0</v>
      </c>
    </row>
    <row r="39">
      <c r="A39" s="10" t="str">
        <f t="shared" si="2"/>
        <v>Otros</v>
      </c>
      <c r="B39" s="18"/>
      <c r="C39" s="18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3">
        <f t="shared" si="3"/>
        <v>0</v>
      </c>
    </row>
    <row r="40">
      <c r="A40" s="10" t="str">
        <f t="shared" si="2"/>
        <v>Otros</v>
      </c>
      <c r="B40" s="18"/>
      <c r="C40" s="18"/>
      <c r="D40" s="16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3">
        <f t="shared" si="3"/>
        <v>0</v>
      </c>
    </row>
    <row r="41">
      <c r="A41" s="10" t="str">
        <f t="shared" si="2"/>
        <v>Otros</v>
      </c>
      <c r="B41" s="18"/>
      <c r="C41" s="18"/>
      <c r="D41" s="16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3">
        <f t="shared" si="3"/>
        <v>0</v>
      </c>
    </row>
    <row r="42">
      <c r="A42" s="10" t="str">
        <f t="shared" si="2"/>
        <v>Otros</v>
      </c>
      <c r="B42" s="18"/>
      <c r="C42" s="18"/>
      <c r="D42" s="16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3">
        <f t="shared" si="3"/>
        <v>0</v>
      </c>
    </row>
    <row r="43">
      <c r="A43" s="10" t="str">
        <f t="shared" si="2"/>
        <v>Otros</v>
      </c>
      <c r="B43" s="18"/>
      <c r="C43" s="18"/>
      <c r="D43" s="16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3">
        <f t="shared" si="3"/>
        <v>0</v>
      </c>
    </row>
    <row r="44">
      <c r="A44" s="10" t="str">
        <f t="shared" si="2"/>
        <v>Otros</v>
      </c>
      <c r="B44" s="18"/>
      <c r="C44" s="18"/>
      <c r="D44" s="16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3">
        <f t="shared" si="3"/>
        <v>0</v>
      </c>
    </row>
    <row r="45">
      <c r="A45" s="10" t="str">
        <f t="shared" si="2"/>
        <v>Otros</v>
      </c>
      <c r="B45" s="18"/>
      <c r="C45" s="18"/>
      <c r="D45" s="16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3">
        <f t="shared" si="3"/>
        <v>0</v>
      </c>
    </row>
    <row r="46">
      <c r="A46" s="10" t="str">
        <f t="shared" si="2"/>
        <v>Otros</v>
      </c>
      <c r="B46" s="18"/>
      <c r="C46" s="18"/>
      <c r="D46" s="16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3">
        <f t="shared" si="3"/>
        <v>0</v>
      </c>
    </row>
    <row r="47">
      <c r="A47" s="10" t="str">
        <f t="shared" si="2"/>
        <v>Otros</v>
      </c>
      <c r="B47" s="18"/>
      <c r="C47" s="18"/>
      <c r="D47" s="16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3">
        <f t="shared" si="3"/>
        <v>0</v>
      </c>
    </row>
    <row r="48">
      <c r="A48" s="10" t="str">
        <f t="shared" si="2"/>
        <v>Otros</v>
      </c>
      <c r="B48" s="18"/>
      <c r="C48" s="18"/>
      <c r="D48" s="16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3">
        <f t="shared" si="3"/>
        <v>0</v>
      </c>
    </row>
    <row r="49">
      <c r="A49" s="10" t="str">
        <f t="shared" si="2"/>
        <v>Otros</v>
      </c>
      <c r="B49" s="18"/>
      <c r="C49" s="18"/>
      <c r="D49" s="16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3">
        <f t="shared" si="3"/>
        <v>0</v>
      </c>
    </row>
    <row r="50">
      <c r="A50" s="10" t="str">
        <f t="shared" si="2"/>
        <v>Otros</v>
      </c>
      <c r="B50" s="18"/>
      <c r="C50" s="18"/>
      <c r="D50" s="16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3">
        <f t="shared" si="3"/>
        <v>0</v>
      </c>
    </row>
    <row r="51">
      <c r="A51" s="10" t="str">
        <f t="shared" si="2"/>
        <v>Otros</v>
      </c>
      <c r="B51" s="18"/>
      <c r="C51" s="18"/>
      <c r="D51" s="16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3">
        <f t="shared" si="3"/>
        <v>0</v>
      </c>
    </row>
    <row r="52">
      <c r="A52" s="10" t="str">
        <f t="shared" si="2"/>
        <v>Otros</v>
      </c>
      <c r="B52" s="18"/>
      <c r="C52" s="18"/>
      <c r="D52" s="16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3">
        <f t="shared" si="3"/>
        <v>0</v>
      </c>
    </row>
    <row r="53">
      <c r="A53" s="10" t="str">
        <f t="shared" si="2"/>
        <v>Otros</v>
      </c>
      <c r="B53" s="18"/>
      <c r="C53" s="18"/>
      <c r="D53" s="16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3">
        <f t="shared" si="3"/>
        <v>0</v>
      </c>
    </row>
    <row r="54">
      <c r="A54" s="10" t="str">
        <f t="shared" si="2"/>
        <v>Otros</v>
      </c>
      <c r="B54" s="18"/>
      <c r="C54" s="18"/>
      <c r="D54" s="16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3">
        <f t="shared" si="3"/>
        <v>0</v>
      </c>
    </row>
    <row r="55">
      <c r="A55" s="10" t="str">
        <f t="shared" si="2"/>
        <v>Otros</v>
      </c>
      <c r="B55" s="18"/>
      <c r="C55" s="18"/>
      <c r="D55" s="16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3">
        <f t="shared" si="3"/>
        <v>0</v>
      </c>
    </row>
    <row r="56">
      <c r="A56" s="10" t="str">
        <f t="shared" si="2"/>
        <v>Otros</v>
      </c>
      <c r="B56" s="18"/>
      <c r="C56" s="18"/>
      <c r="D56" s="16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3">
        <f t="shared" si="3"/>
        <v>0</v>
      </c>
    </row>
    <row r="57">
      <c r="A57" s="10" t="str">
        <f t="shared" si="2"/>
        <v>Otros</v>
      </c>
      <c r="B57" s="18"/>
      <c r="C57" s="18"/>
      <c r="D57" s="16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3">
        <f t="shared" si="3"/>
        <v>0</v>
      </c>
    </row>
    <row r="58">
      <c r="A58" s="10" t="str">
        <f t="shared" si="2"/>
        <v>Otros</v>
      </c>
      <c r="B58" s="18"/>
      <c r="C58" s="18"/>
      <c r="D58" s="1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3">
        <f t="shared" si="3"/>
        <v>0</v>
      </c>
    </row>
    <row r="59">
      <c r="A59" s="10" t="str">
        <f t="shared" si="2"/>
        <v>Otros</v>
      </c>
      <c r="B59" s="18"/>
      <c r="C59" s="18"/>
      <c r="D59" s="1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3">
        <f t="shared" si="3"/>
        <v>0</v>
      </c>
    </row>
    <row r="60">
      <c r="A60" s="10" t="str">
        <f t="shared" si="2"/>
        <v>Otros</v>
      </c>
      <c r="B60" s="18"/>
      <c r="C60" s="18"/>
      <c r="D60" s="16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3">
        <f t="shared" si="3"/>
        <v>0</v>
      </c>
    </row>
    <row r="61">
      <c r="A61" s="10" t="str">
        <f t="shared" si="2"/>
        <v>Otros</v>
      </c>
      <c r="B61" s="18"/>
      <c r="C61" s="18"/>
      <c r="D61" s="16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3">
        <f t="shared" si="3"/>
        <v>0</v>
      </c>
    </row>
    <row r="62">
      <c r="A62" s="10" t="str">
        <f t="shared" si="2"/>
        <v>Otros</v>
      </c>
      <c r="B62" s="18"/>
      <c r="C62" s="18"/>
      <c r="D62" s="16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3">
        <f t="shared" si="3"/>
        <v>0</v>
      </c>
    </row>
    <row r="63">
      <c r="A63" s="10" t="str">
        <f t="shared" si="2"/>
        <v>Otros</v>
      </c>
      <c r="B63" s="18"/>
      <c r="C63" s="18"/>
      <c r="D63" s="16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3">
        <f t="shared" si="3"/>
        <v>0</v>
      </c>
    </row>
    <row r="64">
      <c r="A64" s="10" t="str">
        <f t="shared" si="2"/>
        <v>Otros</v>
      </c>
      <c r="B64" s="18"/>
      <c r="C64" s="18"/>
      <c r="D64" s="16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3">
        <f t="shared" si="3"/>
        <v>0</v>
      </c>
    </row>
    <row r="65">
      <c r="A65" s="10" t="str">
        <f t="shared" si="2"/>
        <v>Otros</v>
      </c>
      <c r="B65" s="18"/>
      <c r="C65" s="18"/>
      <c r="D65" s="16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3">
        <f t="shared" si="3"/>
        <v>0</v>
      </c>
    </row>
    <row r="66">
      <c r="A66" s="10" t="str">
        <f t="shared" si="2"/>
        <v>Otros</v>
      </c>
      <c r="B66" s="18"/>
      <c r="C66" s="18"/>
      <c r="D66" s="16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3">
        <f t="shared" si="3"/>
        <v>0</v>
      </c>
    </row>
    <row r="67">
      <c r="A67" s="10" t="str">
        <f t="shared" si="2"/>
        <v>Otros</v>
      </c>
      <c r="B67" s="18"/>
      <c r="C67" s="18"/>
      <c r="D67" s="16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3">
        <f t="shared" si="3"/>
        <v>0</v>
      </c>
    </row>
    <row r="68">
      <c r="A68" s="10" t="str">
        <f t="shared" si="2"/>
        <v>Otros</v>
      </c>
      <c r="B68" s="18"/>
      <c r="C68" s="18"/>
      <c r="D68" s="1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3">
        <f t="shared" si="3"/>
        <v>0</v>
      </c>
    </row>
    <row r="69">
      <c r="A69" s="10" t="str">
        <f t="shared" si="2"/>
        <v>Otros</v>
      </c>
      <c r="B69" s="18"/>
      <c r="C69" s="18"/>
      <c r="D69" s="16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3">
        <f t="shared" si="3"/>
        <v>0</v>
      </c>
    </row>
    <row r="70">
      <c r="A70" s="10" t="str">
        <f t="shared" si="2"/>
        <v>Otros</v>
      </c>
      <c r="B70" s="18"/>
      <c r="C70" s="18"/>
      <c r="D70" s="16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3">
        <f t="shared" si="3"/>
        <v>0</v>
      </c>
    </row>
    <row r="71">
      <c r="A71" s="10" t="str">
        <f t="shared" si="2"/>
        <v>Otros</v>
      </c>
      <c r="B71" s="18"/>
      <c r="C71" s="18"/>
      <c r="D71" s="16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3">
        <f t="shared" si="3"/>
        <v>0</v>
      </c>
    </row>
    <row r="72">
      <c r="A72" s="10" t="str">
        <f t="shared" si="2"/>
        <v>Otros</v>
      </c>
      <c r="B72" s="18"/>
      <c r="C72" s="18"/>
      <c r="D72" s="16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3">
        <f t="shared" si="3"/>
        <v>0</v>
      </c>
    </row>
    <row r="73">
      <c r="A73" s="10" t="str">
        <f t="shared" si="2"/>
        <v>Otros</v>
      </c>
      <c r="B73" s="18"/>
      <c r="C73" s="18"/>
      <c r="D73" s="16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3">
        <f t="shared" si="3"/>
        <v>0</v>
      </c>
    </row>
    <row r="74">
      <c r="A74" s="10" t="str">
        <f t="shared" si="2"/>
        <v>Otros</v>
      </c>
      <c r="B74" s="18"/>
      <c r="C74" s="18"/>
      <c r="D74" s="16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3">
        <f t="shared" si="3"/>
        <v>0</v>
      </c>
    </row>
    <row r="75">
      <c r="A75" s="10" t="str">
        <f t="shared" si="2"/>
        <v>Otros</v>
      </c>
      <c r="B75" s="18"/>
      <c r="C75" s="18"/>
      <c r="D75" s="16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3">
        <f t="shared" si="3"/>
        <v>0</v>
      </c>
    </row>
    <row r="76">
      <c r="A76" s="10" t="str">
        <f t="shared" si="2"/>
        <v>Otros</v>
      </c>
      <c r="B76" s="18"/>
      <c r="C76" s="18"/>
      <c r="D76" s="16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3">
        <f t="shared" si="3"/>
        <v>0</v>
      </c>
    </row>
    <row r="77">
      <c r="A77" s="10" t="str">
        <f t="shared" si="2"/>
        <v>Otros</v>
      </c>
      <c r="B77" s="18"/>
      <c r="C77" s="18"/>
      <c r="D77" s="16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3">
        <f t="shared" si="3"/>
        <v>0</v>
      </c>
    </row>
    <row r="78">
      <c r="A78" s="10" t="str">
        <f t="shared" si="2"/>
        <v>Otros</v>
      </c>
      <c r="B78" s="18"/>
      <c r="C78" s="18"/>
      <c r="D78" s="1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3">
        <f t="shared" si="3"/>
        <v>0</v>
      </c>
    </row>
    <row r="79">
      <c r="A79" s="10" t="str">
        <f t="shared" si="2"/>
        <v>Otros</v>
      </c>
      <c r="B79" s="18"/>
      <c r="C79" s="18"/>
      <c r="D79" s="1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3">
        <f t="shared" si="3"/>
        <v>0</v>
      </c>
    </row>
    <row r="80">
      <c r="A80" s="10" t="str">
        <f t="shared" si="2"/>
        <v>Otros</v>
      </c>
      <c r="B80" s="18"/>
      <c r="C80" s="18"/>
      <c r="D80" s="1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3">
        <f t="shared" si="3"/>
        <v>0</v>
      </c>
    </row>
    <row r="81" hidden="1">
      <c r="A81" s="10" t="str">
        <f t="shared" si="2"/>
        <v>Otros</v>
      </c>
      <c r="B81" s="18"/>
      <c r="C81" s="18"/>
      <c r="D81" s="1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3">
        <f t="shared" si="3"/>
        <v>0</v>
      </c>
    </row>
    <row r="82" hidden="1">
      <c r="A82" s="10" t="str">
        <f t="shared" si="2"/>
        <v>Otros</v>
      </c>
      <c r="B82" s="18"/>
      <c r="C82" s="18"/>
      <c r="D82" s="16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3">
        <f t="shared" si="3"/>
        <v>0</v>
      </c>
    </row>
    <row r="83" hidden="1">
      <c r="A83" s="10" t="str">
        <f t="shared" si="2"/>
        <v>Otros</v>
      </c>
      <c r="B83" s="18"/>
      <c r="C83" s="18"/>
      <c r="D83" s="16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3">
        <f t="shared" si="3"/>
        <v>0</v>
      </c>
    </row>
    <row r="84">
      <c r="A84" s="10" t="str">
        <f t="shared" si="2"/>
        <v>Otros</v>
      </c>
      <c r="B84" s="18"/>
      <c r="C84" s="18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3">
        <f t="shared" si="3"/>
        <v>0</v>
      </c>
    </row>
    <row r="85">
      <c r="A85" s="10" t="str">
        <f t="shared" si="2"/>
        <v>Otros</v>
      </c>
      <c r="B85" s="18"/>
      <c r="C85" s="18"/>
      <c r="D85" s="16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3">
        <f t="shared" si="3"/>
        <v>0</v>
      </c>
    </row>
    <row r="86">
      <c r="A86" s="10" t="str">
        <f t="shared" si="2"/>
        <v>Otros</v>
      </c>
      <c r="B86" s="18"/>
      <c r="C86" s="18"/>
      <c r="D86" s="16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3">
        <f t="shared" si="3"/>
        <v>0</v>
      </c>
    </row>
    <row r="87">
      <c r="A87" s="10" t="str">
        <f t="shared" si="2"/>
        <v>Otros</v>
      </c>
      <c r="B87" s="18"/>
      <c r="C87" s="18"/>
      <c r="D87" s="16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3">
        <f t="shared" si="3"/>
        <v>0</v>
      </c>
    </row>
    <row r="88">
      <c r="A88" s="10" t="str">
        <f t="shared" si="2"/>
        <v>Otros</v>
      </c>
      <c r="B88" s="18"/>
      <c r="C88" s="18"/>
      <c r="D88" s="16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3">
        <f t="shared" si="3"/>
        <v>0</v>
      </c>
    </row>
    <row r="89">
      <c r="A89" s="10" t="str">
        <f t="shared" si="2"/>
        <v>Otros</v>
      </c>
      <c r="B89" s="18"/>
      <c r="C89" s="18"/>
      <c r="D89" s="16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3">
        <f t="shared" si="3"/>
        <v>0</v>
      </c>
    </row>
    <row r="90">
      <c r="A90" s="10" t="str">
        <f t="shared" si="2"/>
        <v>Otros</v>
      </c>
      <c r="B90" s="18"/>
      <c r="C90" s="18"/>
      <c r="D90" s="16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3">
        <f t="shared" si="3"/>
        <v>0</v>
      </c>
    </row>
    <row r="91">
      <c r="A91" s="10" t="str">
        <f t="shared" si="2"/>
        <v>Otros</v>
      </c>
      <c r="B91" s="18"/>
      <c r="C91" s="18"/>
      <c r="D91" s="16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3">
        <f t="shared" si="3"/>
        <v>0</v>
      </c>
    </row>
    <row r="92">
      <c r="A92" s="10" t="str">
        <f t="shared" si="2"/>
        <v>Otros</v>
      </c>
      <c r="B92" s="18"/>
      <c r="C92" s="18"/>
      <c r="D92" s="16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3">
        <f t="shared" si="3"/>
        <v>0</v>
      </c>
    </row>
    <row r="93">
      <c r="A93" s="10" t="str">
        <f t="shared" si="2"/>
        <v>Otros</v>
      </c>
      <c r="B93" s="18"/>
      <c r="C93" s="18"/>
      <c r="D93" s="16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3">
        <f t="shared" si="3"/>
        <v>0</v>
      </c>
    </row>
    <row r="94">
      <c r="A94" s="10" t="str">
        <f t="shared" si="2"/>
        <v>Otros</v>
      </c>
      <c r="B94" s="18"/>
      <c r="C94" s="18"/>
      <c r="D94" s="16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3">
        <f t="shared" si="3"/>
        <v>0</v>
      </c>
    </row>
    <row r="95">
      <c r="A95" s="10" t="str">
        <f t="shared" si="2"/>
        <v>Otros</v>
      </c>
      <c r="B95" s="18"/>
      <c r="C95" s="18"/>
      <c r="D95" s="16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3">
        <f t="shared" si="3"/>
        <v>0</v>
      </c>
    </row>
    <row r="96">
      <c r="A96" s="10" t="str">
        <f t="shared" si="2"/>
        <v>Otros</v>
      </c>
      <c r="B96" s="18"/>
      <c r="C96" s="18"/>
      <c r="D96" s="16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3">
        <f t="shared" si="3"/>
        <v>0</v>
      </c>
    </row>
    <row r="97">
      <c r="A97" s="10" t="str">
        <f t="shared" si="2"/>
        <v>Otros</v>
      </c>
      <c r="B97" s="18"/>
      <c r="C97" s="18"/>
      <c r="D97" s="16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3">
        <f t="shared" si="3"/>
        <v>0</v>
      </c>
    </row>
    <row r="98">
      <c r="A98" s="10" t="str">
        <f t="shared" si="2"/>
        <v>Otros</v>
      </c>
      <c r="B98" s="18"/>
      <c r="C98" s="18"/>
      <c r="D98" s="16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3">
        <f t="shared" si="3"/>
        <v>0</v>
      </c>
    </row>
    <row r="99">
      <c r="A99" s="10" t="str">
        <f t="shared" si="2"/>
        <v>Otros</v>
      </c>
      <c r="B99" s="18"/>
      <c r="C99" s="18"/>
      <c r="D99" s="16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3">
        <f t="shared" si="3"/>
        <v>0</v>
      </c>
    </row>
    <row r="100">
      <c r="A100" s="10" t="str">
        <f t="shared" si="2"/>
        <v>Otros</v>
      </c>
      <c r="B100" s="18"/>
      <c r="C100" s="18"/>
      <c r="D100" s="16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3">
        <f t="shared" si="3"/>
        <v>0</v>
      </c>
    </row>
    <row r="101">
      <c r="A101" s="10" t="str">
        <f t="shared" si="2"/>
        <v>Otros</v>
      </c>
      <c r="B101" s="18"/>
      <c r="C101" s="18"/>
      <c r="D101" s="16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3">
        <f t="shared" si="3"/>
        <v>0</v>
      </c>
    </row>
    <row r="102">
      <c r="A102" s="10" t="str">
        <f t="shared" si="2"/>
        <v>Otros</v>
      </c>
      <c r="B102" s="18"/>
      <c r="C102" s="18"/>
      <c r="D102" s="16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3">
        <f t="shared" si="3"/>
        <v>0</v>
      </c>
    </row>
    <row r="103">
      <c r="A103" s="10" t="str">
        <f t="shared" si="2"/>
        <v>Otros</v>
      </c>
      <c r="B103" s="18"/>
      <c r="C103" s="18"/>
      <c r="D103" s="16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3">
        <f t="shared" si="3"/>
        <v>0</v>
      </c>
    </row>
    <row r="104">
      <c r="A104" s="10" t="str">
        <f t="shared" si="2"/>
        <v>Otros</v>
      </c>
      <c r="B104" s="18"/>
      <c r="C104" s="18"/>
      <c r="D104" s="16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3">
        <f t="shared" si="3"/>
        <v>0</v>
      </c>
    </row>
    <row r="105">
      <c r="A105" s="10" t="str">
        <f t="shared" si="2"/>
        <v>Otros</v>
      </c>
      <c r="B105" s="18"/>
      <c r="C105" s="18"/>
      <c r="D105" s="16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3">
        <f t="shared" si="3"/>
        <v>0</v>
      </c>
    </row>
    <row r="106">
      <c r="A106" s="10" t="str">
        <f t="shared" si="2"/>
        <v>Otros</v>
      </c>
      <c r="B106" s="18"/>
      <c r="C106" s="18"/>
      <c r="D106" s="16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3">
        <f t="shared" si="3"/>
        <v>0</v>
      </c>
    </row>
    <row r="107">
      <c r="A107" s="10" t="str">
        <f t="shared" si="2"/>
        <v>Otros</v>
      </c>
      <c r="B107" s="18"/>
      <c r="C107" s="18"/>
      <c r="D107" s="16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3">
        <f t="shared" si="3"/>
        <v>0</v>
      </c>
    </row>
    <row r="108">
      <c r="A108" s="10" t="str">
        <f t="shared" si="2"/>
        <v>Otros</v>
      </c>
      <c r="B108" s="18"/>
      <c r="C108" s="18"/>
      <c r="D108" s="16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3">
        <f t="shared" si="3"/>
        <v>0</v>
      </c>
    </row>
    <row r="109">
      <c r="A109" s="10" t="str">
        <f t="shared" si="2"/>
        <v>Otros</v>
      </c>
      <c r="B109" s="18"/>
      <c r="C109" s="18"/>
      <c r="D109" s="16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3">
        <f t="shared" si="3"/>
        <v>0</v>
      </c>
    </row>
    <row r="110">
      <c r="A110" s="10" t="str">
        <f t="shared" si="2"/>
        <v>Otros</v>
      </c>
      <c r="B110" s="18"/>
      <c r="C110" s="18"/>
      <c r="D110" s="16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3">
        <f t="shared" si="3"/>
        <v>0</v>
      </c>
    </row>
    <row r="111">
      <c r="A111" s="10" t="str">
        <f t="shared" si="2"/>
        <v>Otros</v>
      </c>
      <c r="B111" s="18"/>
      <c r="C111" s="18"/>
      <c r="D111" s="16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3">
        <f t="shared" si="3"/>
        <v>0</v>
      </c>
    </row>
    <row r="112">
      <c r="A112" s="10" t="str">
        <f t="shared" si="2"/>
        <v>Otros</v>
      </c>
      <c r="B112" s="18"/>
      <c r="C112" s="18"/>
      <c r="D112" s="16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3">
        <f t="shared" si="3"/>
        <v>0</v>
      </c>
    </row>
    <row r="113">
      <c r="A113" s="10" t="str">
        <f t="shared" si="2"/>
        <v>Otros</v>
      </c>
      <c r="B113" s="18"/>
      <c r="C113" s="18"/>
      <c r="D113" s="16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3">
        <f t="shared" si="3"/>
        <v>0</v>
      </c>
    </row>
    <row r="114">
      <c r="A114" s="10" t="str">
        <f t="shared" si="2"/>
        <v>Otros</v>
      </c>
      <c r="B114" s="18"/>
      <c r="C114" s="18"/>
      <c r="D114" s="16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3">
        <f t="shared" si="3"/>
        <v>0</v>
      </c>
    </row>
    <row r="115">
      <c r="A115" s="10" t="str">
        <f t="shared" si="2"/>
        <v>Otros</v>
      </c>
      <c r="B115" s="18"/>
      <c r="C115" s="18"/>
      <c r="D115" s="16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3">
        <f t="shared" si="3"/>
        <v>0</v>
      </c>
    </row>
    <row r="116">
      <c r="A116" s="10" t="str">
        <f t="shared" si="2"/>
        <v>Otros</v>
      </c>
      <c r="B116" s="18"/>
      <c r="C116" s="18"/>
      <c r="D116" s="16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3">
        <f t="shared" si="3"/>
        <v>0</v>
      </c>
    </row>
    <row r="117">
      <c r="A117" s="10" t="str">
        <f t="shared" si="2"/>
        <v>Otros</v>
      </c>
      <c r="B117" s="18"/>
      <c r="C117" s="18"/>
      <c r="D117" s="16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3">
        <f t="shared" si="3"/>
        <v>0</v>
      </c>
    </row>
    <row r="118">
      <c r="A118" s="10" t="str">
        <f t="shared" si="2"/>
        <v>Otros</v>
      </c>
      <c r="B118" s="18"/>
      <c r="C118" s="18"/>
      <c r="D118" s="16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3">
        <f t="shared" si="3"/>
        <v>0</v>
      </c>
    </row>
    <row r="119">
      <c r="A119" s="10" t="str">
        <f t="shared" si="2"/>
        <v>Otros</v>
      </c>
      <c r="B119" s="18"/>
      <c r="C119" s="18"/>
      <c r="D119" s="16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3">
        <f t="shared" si="3"/>
        <v>0</v>
      </c>
    </row>
    <row r="120">
      <c r="A120" s="10" t="str">
        <f t="shared" si="2"/>
        <v>Otros</v>
      </c>
      <c r="B120" s="18"/>
      <c r="C120" s="18"/>
      <c r="D120" s="16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3">
        <f t="shared" si="3"/>
        <v>0</v>
      </c>
    </row>
    <row r="121">
      <c r="A121" s="10" t="str">
        <f t="shared" si="2"/>
        <v>Otros</v>
      </c>
      <c r="B121" s="18"/>
      <c r="C121" s="18"/>
      <c r="D121" s="16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3">
        <f t="shared" si="3"/>
        <v>0</v>
      </c>
    </row>
    <row r="122">
      <c r="A122" s="10" t="str">
        <f t="shared" si="2"/>
        <v>Otros</v>
      </c>
      <c r="B122" s="18"/>
      <c r="C122" s="18"/>
      <c r="D122" s="16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3">
        <f t="shared" si="3"/>
        <v>0</v>
      </c>
    </row>
    <row r="123">
      <c r="A123" s="10" t="str">
        <f t="shared" si="2"/>
        <v>Otros</v>
      </c>
      <c r="B123" s="18"/>
      <c r="C123" s="18"/>
      <c r="D123" s="16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3">
        <f t="shared" si="3"/>
        <v>0</v>
      </c>
    </row>
    <row r="124">
      <c r="A124" s="10" t="str">
        <f t="shared" si="2"/>
        <v>Otros</v>
      </c>
      <c r="B124" s="18"/>
      <c r="C124" s="18"/>
      <c r="D124" s="16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3">
        <f t="shared" si="3"/>
        <v>0</v>
      </c>
    </row>
    <row r="125">
      <c r="A125" s="10" t="str">
        <f t="shared" si="2"/>
        <v>Otros</v>
      </c>
      <c r="B125" s="18"/>
      <c r="C125" s="18"/>
      <c r="D125" s="16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3">
        <f t="shared" si="3"/>
        <v>0</v>
      </c>
    </row>
    <row r="126">
      <c r="A126" s="10" t="str">
        <f t="shared" si="2"/>
        <v>Otros</v>
      </c>
      <c r="B126" s="18"/>
      <c r="C126" s="18"/>
      <c r="D126" s="16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3">
        <f t="shared" si="3"/>
        <v>0</v>
      </c>
    </row>
    <row r="127">
      <c r="A127" s="10" t="str">
        <f t="shared" si="2"/>
        <v>Otros</v>
      </c>
      <c r="B127" s="18"/>
      <c r="C127" s="18"/>
      <c r="D127" s="16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3">
        <f t="shared" si="3"/>
        <v>0</v>
      </c>
    </row>
    <row r="128">
      <c r="A128" s="10" t="str">
        <f t="shared" si="2"/>
        <v>Otros</v>
      </c>
      <c r="B128" s="18"/>
      <c r="C128" s="18"/>
      <c r="D128" s="16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3">
        <f t="shared" si="3"/>
        <v>0</v>
      </c>
    </row>
    <row r="129">
      <c r="A129" s="10" t="str">
        <f t="shared" si="2"/>
        <v>Otros</v>
      </c>
      <c r="B129" s="18"/>
      <c r="C129" s="18"/>
      <c r="D129" s="16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3">
        <f t="shared" si="3"/>
        <v>0</v>
      </c>
    </row>
    <row r="130">
      <c r="A130" s="10" t="str">
        <f t="shared" si="2"/>
        <v>Otros</v>
      </c>
      <c r="B130" s="18"/>
      <c r="C130" s="18"/>
      <c r="D130" s="16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3">
        <f t="shared" si="3"/>
        <v>0</v>
      </c>
    </row>
    <row r="131">
      <c r="A131" s="10" t="str">
        <f t="shared" si="2"/>
        <v>Otros</v>
      </c>
      <c r="B131" s="18"/>
      <c r="C131" s="18"/>
      <c r="D131" s="16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3">
        <f t="shared" si="3"/>
        <v>0</v>
      </c>
    </row>
    <row r="132">
      <c r="A132" s="10" t="str">
        <f t="shared" si="2"/>
        <v>Otros</v>
      </c>
      <c r="B132" s="18"/>
      <c r="C132" s="18"/>
      <c r="D132" s="16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3">
        <f t="shared" si="3"/>
        <v>0</v>
      </c>
    </row>
    <row r="133">
      <c r="A133" s="10" t="str">
        <f t="shared" si="2"/>
        <v>Otros</v>
      </c>
      <c r="B133" s="18"/>
      <c r="C133" s="18"/>
      <c r="D133" s="16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3">
        <f t="shared" si="3"/>
        <v>0</v>
      </c>
    </row>
    <row r="134">
      <c r="A134" s="10" t="str">
        <f t="shared" si="2"/>
        <v>Otros</v>
      </c>
      <c r="B134" s="18"/>
      <c r="C134" s="18"/>
      <c r="D134" s="16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3">
        <f t="shared" si="3"/>
        <v>0</v>
      </c>
    </row>
    <row r="135">
      <c r="A135" s="10" t="str">
        <f t="shared" si="2"/>
        <v>Otros</v>
      </c>
      <c r="B135" s="18"/>
      <c r="C135" s="18"/>
      <c r="D135" s="16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3">
        <f t="shared" si="3"/>
        <v>0</v>
      </c>
    </row>
    <row r="136">
      <c r="A136" s="10" t="str">
        <f t="shared" si="2"/>
        <v>Otros</v>
      </c>
      <c r="B136" s="18"/>
      <c r="C136" s="18"/>
      <c r="D136" s="16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3">
        <f t="shared" si="3"/>
        <v>0</v>
      </c>
    </row>
    <row r="137">
      <c r="A137" s="10" t="str">
        <f t="shared" si="2"/>
        <v>Otros</v>
      </c>
      <c r="B137" s="18"/>
      <c r="C137" s="18"/>
      <c r="D137" s="16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3">
        <f t="shared" si="3"/>
        <v>0</v>
      </c>
    </row>
    <row r="138">
      <c r="A138" s="10" t="str">
        <f t="shared" si="2"/>
        <v>Otros</v>
      </c>
      <c r="B138" s="18"/>
      <c r="C138" s="18"/>
      <c r="D138" s="16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3">
        <f t="shared" si="3"/>
        <v>0</v>
      </c>
    </row>
    <row r="139">
      <c r="A139" s="10" t="str">
        <f t="shared" si="2"/>
        <v>Otros</v>
      </c>
      <c r="B139" s="18"/>
      <c r="C139" s="18"/>
      <c r="D139" s="16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3">
        <f t="shared" si="3"/>
        <v>0</v>
      </c>
    </row>
    <row r="140">
      <c r="A140" s="10" t="str">
        <f t="shared" si="2"/>
        <v>Otros</v>
      </c>
      <c r="B140" s="18"/>
      <c r="C140" s="18"/>
      <c r="D140" s="16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3">
        <f t="shared" si="3"/>
        <v>0</v>
      </c>
    </row>
    <row r="141">
      <c r="A141" s="10" t="str">
        <f t="shared" si="2"/>
        <v>Otros</v>
      </c>
      <c r="B141" s="18"/>
      <c r="C141" s="18"/>
      <c r="D141" s="16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3">
        <f t="shared" si="3"/>
        <v>0</v>
      </c>
    </row>
    <row r="142">
      <c r="A142" s="10" t="str">
        <f t="shared" si="2"/>
        <v>Otros</v>
      </c>
      <c r="B142" s="18"/>
      <c r="C142" s="18"/>
      <c r="D142" s="16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3">
        <f t="shared" si="3"/>
        <v>0</v>
      </c>
    </row>
    <row r="143">
      <c r="A143" s="10" t="str">
        <f t="shared" si="2"/>
        <v>Otros</v>
      </c>
      <c r="B143" s="18"/>
      <c r="C143" s="18"/>
      <c r="D143" s="16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3">
        <f t="shared" si="3"/>
        <v>0</v>
      </c>
    </row>
    <row r="144">
      <c r="A144" s="10" t="str">
        <f t="shared" si="2"/>
        <v>Otros</v>
      </c>
      <c r="B144" s="18"/>
      <c r="C144" s="18"/>
      <c r="D144" s="1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3">
        <f t="shared" si="3"/>
        <v>0</v>
      </c>
    </row>
    <row r="145">
      <c r="A145" s="10" t="str">
        <f t="shared" si="2"/>
        <v>Otros</v>
      </c>
      <c r="B145" s="18"/>
      <c r="C145" s="18"/>
      <c r="D145" s="16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3">
        <f t="shared" si="3"/>
        <v>0</v>
      </c>
    </row>
    <row r="146">
      <c r="A146" s="10" t="str">
        <f t="shared" si="2"/>
        <v>Otros</v>
      </c>
      <c r="B146" s="18"/>
      <c r="C146" s="18"/>
      <c r="D146" s="1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3">
        <f t="shared" si="3"/>
        <v>0</v>
      </c>
    </row>
    <row r="147">
      <c r="A147" s="10" t="str">
        <f t="shared" si="2"/>
        <v>Otros</v>
      </c>
      <c r="B147" s="18"/>
      <c r="C147" s="18"/>
      <c r="D147" s="16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3">
        <f t="shared" si="3"/>
        <v>0</v>
      </c>
    </row>
    <row r="148">
      <c r="A148" s="10" t="str">
        <f t="shared" si="2"/>
        <v>Otros</v>
      </c>
      <c r="B148" s="18"/>
      <c r="C148" s="18"/>
      <c r="D148" s="16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3">
        <f t="shared" si="3"/>
        <v>0</v>
      </c>
    </row>
    <row r="149">
      <c r="A149" s="10" t="str">
        <f t="shared" si="2"/>
        <v>Otros</v>
      </c>
      <c r="B149" s="18"/>
      <c r="C149" s="18"/>
      <c r="D149" s="16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3">
        <f t="shared" si="3"/>
        <v>0</v>
      </c>
    </row>
    <row r="150">
      <c r="A150" s="10" t="str">
        <f t="shared" si="2"/>
        <v>Otros</v>
      </c>
      <c r="B150" s="18"/>
      <c r="C150" s="18"/>
      <c r="D150" s="1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3">
        <f t="shared" si="3"/>
        <v>0</v>
      </c>
    </row>
    <row r="151">
      <c r="A151" s="10" t="str">
        <f t="shared" si="2"/>
        <v>Otros</v>
      </c>
      <c r="B151" s="18"/>
      <c r="C151" s="18"/>
      <c r="D151" s="16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3">
        <f t="shared" si="3"/>
        <v>0</v>
      </c>
    </row>
    <row r="152">
      <c r="A152" s="10" t="str">
        <f t="shared" si="2"/>
        <v>Otros</v>
      </c>
      <c r="B152" s="18"/>
      <c r="C152" s="18"/>
      <c r="D152" s="16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3">
        <f t="shared" si="3"/>
        <v>0</v>
      </c>
    </row>
    <row r="153">
      <c r="A153" s="10" t="str">
        <f t="shared" si="2"/>
        <v>Otros</v>
      </c>
      <c r="B153" s="18"/>
      <c r="C153" s="18"/>
      <c r="D153" s="16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3">
        <f t="shared" si="3"/>
        <v>0</v>
      </c>
    </row>
    <row r="154">
      <c r="A154" s="10" t="str">
        <f t="shared" si="2"/>
        <v>Otros</v>
      </c>
      <c r="B154" s="18"/>
      <c r="C154" s="18"/>
      <c r="D154" s="16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3">
        <f t="shared" si="3"/>
        <v>0</v>
      </c>
    </row>
    <row r="155">
      <c r="A155" s="10" t="str">
        <f t="shared" si="2"/>
        <v>Otros</v>
      </c>
      <c r="B155" s="18"/>
      <c r="C155" s="18"/>
      <c r="D155" s="16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3">
        <f t="shared" si="3"/>
        <v>0</v>
      </c>
    </row>
    <row r="156">
      <c r="A156" s="10" t="str">
        <f t="shared" si="2"/>
        <v>Otros</v>
      </c>
      <c r="B156" s="18"/>
      <c r="C156" s="18"/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3">
        <f t="shared" si="3"/>
        <v>0</v>
      </c>
    </row>
    <row r="157">
      <c r="A157" s="10" t="str">
        <f t="shared" si="2"/>
        <v>Otros</v>
      </c>
      <c r="B157" s="18"/>
      <c r="C157" s="18"/>
      <c r="D157" s="16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3">
        <f t="shared" si="3"/>
        <v>0</v>
      </c>
    </row>
    <row r="158">
      <c r="A158" s="10" t="str">
        <f t="shared" si="2"/>
        <v>Otros</v>
      </c>
      <c r="B158" s="18"/>
      <c r="C158" s="18"/>
      <c r="D158" s="16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3">
        <f t="shared" si="3"/>
        <v>0</v>
      </c>
    </row>
    <row r="159">
      <c r="A159" s="10" t="str">
        <f t="shared" si="2"/>
        <v>Otros</v>
      </c>
      <c r="B159" s="18"/>
      <c r="C159" s="18"/>
      <c r="D159" s="16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3">
        <f t="shared" si="3"/>
        <v>0</v>
      </c>
    </row>
    <row r="160">
      <c r="A160" s="10" t="str">
        <f t="shared" si="2"/>
        <v>Otros</v>
      </c>
      <c r="B160" s="18"/>
      <c r="C160" s="18"/>
      <c r="D160" s="16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3">
        <f t="shared" si="3"/>
        <v>0</v>
      </c>
    </row>
    <row r="161">
      <c r="A161" s="10" t="str">
        <f t="shared" si="2"/>
        <v>Otros</v>
      </c>
      <c r="B161" s="18"/>
      <c r="C161" s="18"/>
      <c r="D161" s="16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3">
        <f t="shared" si="3"/>
        <v>0</v>
      </c>
    </row>
    <row r="162">
      <c r="A162" s="10" t="str">
        <f t="shared" si="2"/>
        <v>Otros</v>
      </c>
      <c r="B162" s="18"/>
      <c r="C162" s="18"/>
      <c r="D162" s="16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3">
        <f t="shared" si="3"/>
        <v>0</v>
      </c>
    </row>
    <row r="163">
      <c r="A163" s="10" t="str">
        <f t="shared" si="2"/>
        <v>Otros</v>
      </c>
      <c r="B163" s="18"/>
      <c r="C163" s="18"/>
      <c r="D163" s="16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3">
        <f t="shared" si="3"/>
        <v>0</v>
      </c>
    </row>
    <row r="164">
      <c r="A164" s="10" t="str">
        <f t="shared" si="2"/>
        <v>Otros</v>
      </c>
      <c r="B164" s="18"/>
      <c r="C164" s="18"/>
      <c r="D164" s="16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3">
        <f t="shared" si="3"/>
        <v>0</v>
      </c>
    </row>
    <row r="165">
      <c r="A165" s="10" t="str">
        <f t="shared" si="2"/>
        <v>Otros</v>
      </c>
      <c r="B165" s="18"/>
      <c r="C165" s="18"/>
      <c r="D165" s="16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3">
        <f t="shared" si="3"/>
        <v>0</v>
      </c>
    </row>
    <row r="166">
      <c r="A166" s="10" t="str">
        <f t="shared" si="2"/>
        <v>Otros</v>
      </c>
      <c r="B166" s="18"/>
      <c r="C166" s="18"/>
      <c r="D166" s="16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3">
        <f t="shared" si="3"/>
        <v>0</v>
      </c>
    </row>
    <row r="167">
      <c r="A167" s="10" t="str">
        <f t="shared" si="2"/>
        <v>Otros</v>
      </c>
      <c r="B167" s="18"/>
      <c r="C167" s="18"/>
      <c r="D167" s="16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3">
        <f t="shared" si="3"/>
        <v>0</v>
      </c>
    </row>
    <row r="168">
      <c r="A168" s="10" t="str">
        <f t="shared" si="2"/>
        <v>Otros</v>
      </c>
      <c r="B168" s="18"/>
      <c r="C168" s="18"/>
      <c r="D168" s="1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3">
        <f t="shared" si="3"/>
        <v>0</v>
      </c>
    </row>
    <row r="169">
      <c r="A169" s="10" t="str">
        <f t="shared" si="2"/>
        <v>Otros</v>
      </c>
      <c r="B169" s="18"/>
      <c r="C169" s="18"/>
      <c r="D169" s="16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3">
        <f t="shared" si="3"/>
        <v>0</v>
      </c>
    </row>
    <row r="170">
      <c r="A170" s="10" t="str">
        <f t="shared" si="2"/>
        <v>Otros</v>
      </c>
      <c r="B170" s="18"/>
      <c r="C170" s="18"/>
      <c r="D170" s="1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3">
        <f t="shared" si="3"/>
        <v>0</v>
      </c>
    </row>
    <row r="171">
      <c r="A171" s="10" t="str">
        <f t="shared" si="2"/>
        <v>Otros</v>
      </c>
      <c r="B171" s="18"/>
      <c r="C171" s="18"/>
      <c r="D171" s="16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3">
        <f t="shared" si="3"/>
        <v>0</v>
      </c>
    </row>
    <row r="172">
      <c r="A172" s="10" t="str">
        <f t="shared" si="2"/>
        <v>Otros</v>
      </c>
      <c r="B172" s="18"/>
      <c r="C172" s="18"/>
      <c r="D172" s="1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3">
        <f t="shared" si="3"/>
        <v>0</v>
      </c>
    </row>
    <row r="173">
      <c r="A173" s="10" t="str">
        <f t="shared" si="2"/>
        <v>Otros</v>
      </c>
      <c r="B173" s="18"/>
      <c r="C173" s="18"/>
      <c r="D173" s="16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3">
        <f t="shared" si="3"/>
        <v>0</v>
      </c>
    </row>
    <row r="174">
      <c r="A174" s="10" t="str">
        <f t="shared" si="2"/>
        <v>Otros</v>
      </c>
      <c r="B174" s="18"/>
      <c r="C174" s="18"/>
      <c r="D174" s="16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3">
        <f t="shared" si="3"/>
        <v>0</v>
      </c>
    </row>
    <row r="175">
      <c r="A175" s="10" t="str">
        <f t="shared" si="2"/>
        <v>Otros</v>
      </c>
      <c r="B175" s="18"/>
      <c r="C175" s="18"/>
      <c r="D175" s="16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3">
        <f t="shared" si="3"/>
        <v>0</v>
      </c>
    </row>
    <row r="176">
      <c r="A176" s="10" t="str">
        <f t="shared" si="2"/>
        <v>Otros</v>
      </c>
      <c r="B176" s="18"/>
      <c r="C176" s="18"/>
      <c r="D176" s="16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3">
        <f t="shared" si="3"/>
        <v>0</v>
      </c>
    </row>
    <row r="177">
      <c r="A177" s="10" t="str">
        <f t="shared" si="2"/>
        <v>Otros</v>
      </c>
      <c r="B177" s="18"/>
      <c r="C177" s="18"/>
      <c r="D177" s="16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3">
        <f t="shared" si="3"/>
        <v>0</v>
      </c>
    </row>
    <row r="178">
      <c r="A178" s="10" t="str">
        <f t="shared" si="2"/>
        <v>Otros</v>
      </c>
      <c r="B178" s="18"/>
      <c r="C178" s="18"/>
      <c r="D178" s="16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3">
        <f t="shared" si="3"/>
        <v>0</v>
      </c>
    </row>
    <row r="179">
      <c r="A179" s="10" t="str">
        <f t="shared" si="2"/>
        <v>Otros</v>
      </c>
      <c r="B179" s="18"/>
      <c r="C179" s="18"/>
      <c r="D179" s="16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3">
        <f t="shared" si="3"/>
        <v>0</v>
      </c>
    </row>
    <row r="180">
      <c r="A180" s="10" t="str">
        <f t="shared" si="2"/>
        <v>Otros</v>
      </c>
      <c r="B180" s="18"/>
      <c r="C180" s="18"/>
      <c r="D180" s="1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3">
        <f t="shared" si="3"/>
        <v>0</v>
      </c>
    </row>
    <row r="181">
      <c r="A181" s="10" t="str">
        <f t="shared" si="2"/>
        <v>Otros</v>
      </c>
      <c r="B181" s="18"/>
      <c r="C181" s="18"/>
      <c r="D181" s="16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3">
        <f t="shared" si="3"/>
        <v>0</v>
      </c>
    </row>
    <row r="182">
      <c r="A182" s="10" t="str">
        <f t="shared" si="2"/>
        <v>Otros</v>
      </c>
      <c r="B182" s="18"/>
      <c r="C182" s="18"/>
      <c r="D182" s="16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3">
        <f t="shared" si="3"/>
        <v>0</v>
      </c>
    </row>
    <row r="183">
      <c r="A183" s="10" t="str">
        <f t="shared" si="2"/>
        <v>Otros</v>
      </c>
      <c r="B183" s="18"/>
      <c r="C183" s="18"/>
      <c r="D183" s="16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3">
        <f t="shared" si="3"/>
        <v>0</v>
      </c>
    </row>
    <row r="184">
      <c r="A184" s="10" t="str">
        <f t="shared" si="2"/>
        <v>Otros</v>
      </c>
      <c r="B184" s="18"/>
      <c r="C184" s="18"/>
      <c r="D184" s="16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3">
        <f t="shared" si="3"/>
        <v>0</v>
      </c>
    </row>
    <row r="185">
      <c r="A185" s="10" t="str">
        <f t="shared" si="2"/>
        <v>Otros</v>
      </c>
      <c r="B185" s="18"/>
      <c r="C185" s="18"/>
      <c r="D185" s="16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3">
        <f t="shared" si="3"/>
        <v>0</v>
      </c>
    </row>
    <row r="186">
      <c r="A186" s="10" t="str">
        <f t="shared" si="2"/>
        <v>Otros</v>
      </c>
      <c r="B186" s="18"/>
      <c r="C186" s="18"/>
      <c r="D186" s="16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3">
        <f t="shared" si="3"/>
        <v>0</v>
      </c>
    </row>
    <row r="187">
      <c r="A187" s="10" t="str">
        <f t="shared" si="2"/>
        <v>Otros</v>
      </c>
      <c r="B187" s="18"/>
      <c r="C187" s="18"/>
      <c r="D187" s="16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3">
        <f t="shared" si="3"/>
        <v>0</v>
      </c>
    </row>
    <row r="188">
      <c r="A188" s="10" t="str">
        <f t="shared" si="2"/>
        <v>Otros</v>
      </c>
      <c r="B188" s="18"/>
      <c r="C188" s="18"/>
      <c r="D188" s="16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3">
        <f t="shared" si="3"/>
        <v>0</v>
      </c>
    </row>
    <row r="189">
      <c r="A189" s="10" t="str">
        <f t="shared" si="2"/>
        <v>Otros</v>
      </c>
      <c r="B189" s="18"/>
      <c r="C189" s="18"/>
      <c r="D189" s="16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3">
        <f t="shared" si="3"/>
        <v>0</v>
      </c>
    </row>
    <row r="190">
      <c r="A190" s="10" t="str">
        <f t="shared" si="2"/>
        <v>Otros</v>
      </c>
      <c r="B190" s="18"/>
      <c r="C190" s="18"/>
      <c r="D190" s="16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3">
        <f t="shared" si="3"/>
        <v>0</v>
      </c>
    </row>
    <row r="191">
      <c r="A191" s="10" t="str">
        <f t="shared" si="2"/>
        <v>Otros</v>
      </c>
      <c r="B191" s="18"/>
      <c r="C191" s="18"/>
      <c r="D191" s="16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3">
        <f t="shared" si="3"/>
        <v>0</v>
      </c>
    </row>
    <row r="192">
      <c r="A192" s="10" t="str">
        <f t="shared" si="2"/>
        <v>Otros</v>
      </c>
      <c r="B192" s="18"/>
      <c r="C192" s="18"/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3">
        <f t="shared" si="3"/>
        <v>0</v>
      </c>
    </row>
    <row r="193">
      <c r="A193" s="10" t="str">
        <f t="shared" si="2"/>
        <v>Otros</v>
      </c>
      <c r="B193" s="18"/>
      <c r="C193" s="18"/>
      <c r="D193" s="16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3">
        <f t="shared" si="3"/>
        <v>0</v>
      </c>
    </row>
    <row r="194">
      <c r="A194" s="10" t="str">
        <f t="shared" si="2"/>
        <v>Otros</v>
      </c>
      <c r="B194" s="18"/>
      <c r="C194" s="18"/>
      <c r="D194" s="1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3">
        <f t="shared" si="3"/>
        <v>0</v>
      </c>
    </row>
    <row r="195">
      <c r="A195" s="10" t="str">
        <f t="shared" si="2"/>
        <v>Otros</v>
      </c>
      <c r="B195" s="18"/>
      <c r="C195" s="18"/>
      <c r="D195" s="16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3">
        <f t="shared" si="3"/>
        <v>0</v>
      </c>
    </row>
    <row r="196">
      <c r="A196" s="10" t="str">
        <f t="shared" si="2"/>
        <v>Otros</v>
      </c>
      <c r="B196" s="18"/>
      <c r="C196" s="18"/>
      <c r="D196" s="16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3">
        <f t="shared" si="3"/>
        <v>0</v>
      </c>
    </row>
    <row r="197">
      <c r="A197" s="10" t="str">
        <f t="shared" si="2"/>
        <v>Otros</v>
      </c>
      <c r="B197" s="18"/>
      <c r="C197" s="18"/>
      <c r="D197" s="16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3">
        <f t="shared" si="3"/>
        <v>0</v>
      </c>
    </row>
    <row r="198">
      <c r="A198" s="10" t="str">
        <f t="shared" si="2"/>
        <v>Otros</v>
      </c>
      <c r="B198" s="18"/>
      <c r="C198" s="18"/>
      <c r="D198" s="1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3">
        <f t="shared" si="3"/>
        <v>0</v>
      </c>
    </row>
    <row r="199">
      <c r="A199" s="10" t="str">
        <f t="shared" si="2"/>
        <v>Otros</v>
      </c>
      <c r="B199" s="18"/>
      <c r="C199" s="18"/>
      <c r="D199" s="16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3">
        <f t="shared" si="3"/>
        <v>0</v>
      </c>
    </row>
    <row r="200">
      <c r="A200" s="10" t="str">
        <f t="shared" si="2"/>
        <v>Otros</v>
      </c>
      <c r="B200" s="18"/>
      <c r="C200" s="18"/>
      <c r="D200" s="1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3">
        <f t="shared" si="3"/>
        <v>0</v>
      </c>
    </row>
    <row r="201">
      <c r="A201" s="10" t="str">
        <f t="shared" si="2"/>
        <v>Otros</v>
      </c>
      <c r="B201" s="18"/>
      <c r="C201" s="18"/>
      <c r="D201" s="16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3">
        <f t="shared" si="3"/>
        <v>0</v>
      </c>
    </row>
    <row r="202">
      <c r="A202" s="10" t="str">
        <f t="shared" si="2"/>
        <v>Otros</v>
      </c>
      <c r="B202" s="18"/>
      <c r="C202" s="18"/>
      <c r="D202" s="16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3">
        <f t="shared" si="3"/>
        <v>0</v>
      </c>
    </row>
    <row r="203">
      <c r="A203" s="10" t="str">
        <f t="shared" si="2"/>
        <v>Otros</v>
      </c>
      <c r="B203" s="18"/>
      <c r="C203" s="18"/>
      <c r="D203" s="16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3">
        <f t="shared" si="3"/>
        <v>0</v>
      </c>
    </row>
    <row r="204">
      <c r="A204" s="10" t="str">
        <f t="shared" si="2"/>
        <v>Otros</v>
      </c>
      <c r="B204" s="18"/>
      <c r="C204" s="18"/>
      <c r="D204" s="16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3">
        <f t="shared" si="3"/>
        <v>0</v>
      </c>
    </row>
    <row r="205">
      <c r="A205" s="10" t="str">
        <f t="shared" si="2"/>
        <v>Otros</v>
      </c>
      <c r="B205" s="18"/>
      <c r="C205" s="18"/>
      <c r="D205" s="16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3">
        <f t="shared" si="3"/>
        <v>0</v>
      </c>
    </row>
    <row r="206">
      <c r="A206" s="10" t="str">
        <f t="shared" si="2"/>
        <v>Otros</v>
      </c>
      <c r="B206" s="18"/>
      <c r="C206" s="18"/>
      <c r="D206" s="1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3">
        <f t="shared" si="3"/>
        <v>0</v>
      </c>
    </row>
    <row r="207">
      <c r="A207" s="10" t="str">
        <f t="shared" si="2"/>
        <v>Otros</v>
      </c>
      <c r="B207" s="18"/>
      <c r="C207" s="18"/>
      <c r="D207" s="16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3">
        <f t="shared" si="3"/>
        <v>0</v>
      </c>
    </row>
    <row r="208">
      <c r="A208" s="10" t="str">
        <f t="shared" si="2"/>
        <v>Otros</v>
      </c>
      <c r="B208" s="18"/>
      <c r="C208" s="18"/>
      <c r="D208" s="16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3">
        <f t="shared" si="3"/>
        <v>0</v>
      </c>
    </row>
    <row r="209">
      <c r="A209" s="10" t="str">
        <f t="shared" si="2"/>
        <v>Otros</v>
      </c>
      <c r="B209" s="18"/>
      <c r="C209" s="18"/>
      <c r="D209" s="16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3">
        <f t="shared" si="3"/>
        <v>0</v>
      </c>
    </row>
    <row r="210">
      <c r="A210" s="10" t="str">
        <f t="shared" si="2"/>
        <v>Otros</v>
      </c>
      <c r="B210" s="18"/>
      <c r="C210" s="18"/>
      <c r="D210" s="1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3">
        <f t="shared" si="3"/>
        <v>0</v>
      </c>
    </row>
    <row r="211">
      <c r="A211" s="10" t="str">
        <f t="shared" si="2"/>
        <v>Otros</v>
      </c>
      <c r="B211" s="18"/>
      <c r="C211" s="18"/>
      <c r="D211" s="16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3">
        <f t="shared" si="3"/>
        <v>0</v>
      </c>
    </row>
    <row r="212">
      <c r="A212" s="10" t="str">
        <f t="shared" si="2"/>
        <v>Otros</v>
      </c>
      <c r="B212" s="18"/>
      <c r="C212" s="18"/>
      <c r="D212" s="1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3">
        <f t="shared" si="3"/>
        <v>0</v>
      </c>
    </row>
    <row r="213">
      <c r="A213" s="10" t="str">
        <f t="shared" si="2"/>
        <v>Otros</v>
      </c>
      <c r="B213" s="18"/>
      <c r="C213" s="18"/>
      <c r="D213" s="16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3">
        <f t="shared" si="3"/>
        <v>0</v>
      </c>
    </row>
    <row r="214">
      <c r="A214" s="10" t="str">
        <f t="shared" si="2"/>
        <v>Otros</v>
      </c>
      <c r="B214" s="18"/>
      <c r="C214" s="18"/>
      <c r="D214" s="16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3">
        <f t="shared" si="3"/>
        <v>0</v>
      </c>
    </row>
    <row r="215">
      <c r="A215" s="10" t="str">
        <f t="shared" si="2"/>
        <v>Otros</v>
      </c>
      <c r="B215" s="18"/>
      <c r="C215" s="18"/>
      <c r="D215" s="16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3">
        <f t="shared" si="3"/>
        <v>0</v>
      </c>
    </row>
    <row r="216">
      <c r="A216" s="10" t="str">
        <f t="shared" si="2"/>
        <v>Otros</v>
      </c>
      <c r="B216" s="18"/>
      <c r="C216" s="18"/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3">
        <f t="shared" si="3"/>
        <v>0</v>
      </c>
    </row>
    <row r="217">
      <c r="A217" s="10" t="str">
        <f t="shared" si="2"/>
        <v>Otros</v>
      </c>
      <c r="B217" s="18"/>
      <c r="C217" s="18"/>
      <c r="D217" s="16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3">
        <f t="shared" si="3"/>
        <v>0</v>
      </c>
    </row>
    <row r="218">
      <c r="A218" s="10" t="str">
        <f t="shared" si="2"/>
        <v>Otros</v>
      </c>
      <c r="B218" s="18"/>
      <c r="C218" s="18"/>
      <c r="D218" s="1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3">
        <f t="shared" si="3"/>
        <v>0</v>
      </c>
    </row>
    <row r="219">
      <c r="A219" s="10" t="str">
        <f t="shared" si="2"/>
        <v>Otros</v>
      </c>
      <c r="B219" s="18"/>
      <c r="C219" s="18"/>
      <c r="D219" s="16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3">
        <f t="shared" si="3"/>
        <v>0</v>
      </c>
    </row>
    <row r="220">
      <c r="A220" s="10" t="str">
        <f t="shared" si="2"/>
        <v>Otros</v>
      </c>
      <c r="B220" s="18"/>
      <c r="C220" s="18"/>
      <c r="D220" s="16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3">
        <f t="shared" si="3"/>
        <v>0</v>
      </c>
    </row>
    <row r="221">
      <c r="A221" s="10" t="str">
        <f t="shared" si="2"/>
        <v>Otros</v>
      </c>
      <c r="B221" s="18"/>
      <c r="C221" s="18"/>
      <c r="D221" s="16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3">
        <f t="shared" si="3"/>
        <v>0</v>
      </c>
    </row>
    <row r="222">
      <c r="A222" s="10" t="str">
        <f t="shared" si="2"/>
        <v>Otros</v>
      </c>
      <c r="B222" s="18"/>
      <c r="C222" s="18"/>
      <c r="D222" s="16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3">
        <f t="shared" si="3"/>
        <v>0</v>
      </c>
    </row>
    <row r="223">
      <c r="A223" s="10" t="str">
        <f t="shared" si="2"/>
        <v>Otros</v>
      </c>
      <c r="B223" s="18"/>
      <c r="C223" s="18"/>
      <c r="D223" s="16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3">
        <f t="shared" si="3"/>
        <v>0</v>
      </c>
    </row>
    <row r="224">
      <c r="A224" s="10" t="str">
        <f t="shared" si="2"/>
        <v>Otros</v>
      </c>
      <c r="B224" s="18"/>
      <c r="C224" s="18"/>
      <c r="D224" s="16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3">
        <f t="shared" si="3"/>
        <v>0</v>
      </c>
    </row>
    <row r="225">
      <c r="A225" s="10" t="str">
        <f t="shared" si="2"/>
        <v>Otros</v>
      </c>
      <c r="B225" s="18"/>
      <c r="C225" s="18"/>
      <c r="D225" s="16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3">
        <f t="shared" si="3"/>
        <v>0</v>
      </c>
    </row>
    <row r="226">
      <c r="A226" s="10" t="str">
        <f t="shared" si="2"/>
        <v>Otros</v>
      </c>
      <c r="B226" s="18"/>
      <c r="C226" s="18"/>
      <c r="D226" s="16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3">
        <f t="shared" si="3"/>
        <v>0</v>
      </c>
    </row>
    <row r="227">
      <c r="A227" s="10" t="str">
        <f t="shared" si="2"/>
        <v>Otros</v>
      </c>
      <c r="B227" s="18"/>
      <c r="C227" s="18"/>
      <c r="D227" s="16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3">
        <f t="shared" si="3"/>
        <v>0</v>
      </c>
    </row>
    <row r="228">
      <c r="A228" s="10" t="str">
        <f t="shared" si="2"/>
        <v>Otros</v>
      </c>
      <c r="B228" s="18"/>
      <c r="C228" s="18"/>
      <c r="D228" s="16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3">
        <f t="shared" si="3"/>
        <v>0</v>
      </c>
    </row>
    <row r="229">
      <c r="A229" s="10" t="str">
        <f t="shared" si="2"/>
        <v>Otros</v>
      </c>
      <c r="B229" s="18"/>
      <c r="C229" s="18"/>
      <c r="D229" s="16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3">
        <f t="shared" si="3"/>
        <v>0</v>
      </c>
    </row>
    <row r="230">
      <c r="A230" s="10" t="str">
        <f t="shared" si="2"/>
        <v>Otros</v>
      </c>
      <c r="B230" s="18"/>
      <c r="C230" s="18"/>
      <c r="D230" s="1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3">
        <f t="shared" si="3"/>
        <v>0</v>
      </c>
    </row>
    <row r="231">
      <c r="A231" s="10" t="str">
        <f t="shared" si="2"/>
        <v>Otros</v>
      </c>
      <c r="B231" s="18"/>
      <c r="C231" s="18"/>
      <c r="D231" s="16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3">
        <f t="shared" si="3"/>
        <v>0</v>
      </c>
    </row>
    <row r="232">
      <c r="A232" s="10" t="str">
        <f t="shared" si="2"/>
        <v>Otros</v>
      </c>
      <c r="B232" s="18"/>
      <c r="C232" s="18"/>
      <c r="D232" s="16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3">
        <f t="shared" si="3"/>
        <v>0</v>
      </c>
    </row>
    <row r="233">
      <c r="A233" s="10" t="str">
        <f t="shared" si="2"/>
        <v>Otros</v>
      </c>
      <c r="B233" s="18"/>
      <c r="C233" s="18"/>
      <c r="D233" s="16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3">
        <f t="shared" si="3"/>
        <v>0</v>
      </c>
    </row>
    <row r="234">
      <c r="A234" s="10" t="str">
        <f t="shared" si="2"/>
        <v>Otros</v>
      </c>
      <c r="B234" s="18"/>
      <c r="C234" s="18"/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3">
        <f t="shared" si="3"/>
        <v>0</v>
      </c>
    </row>
    <row r="235">
      <c r="A235" s="10" t="str">
        <f t="shared" si="2"/>
        <v>Otros</v>
      </c>
      <c r="B235" s="18"/>
      <c r="C235" s="18"/>
      <c r="D235" s="16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3">
        <f t="shared" si="3"/>
        <v>0</v>
      </c>
    </row>
    <row r="236">
      <c r="A236" s="10" t="str">
        <f t="shared" si="2"/>
        <v>Otros</v>
      </c>
      <c r="B236" s="18"/>
      <c r="C236" s="18"/>
      <c r="D236" s="1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3">
        <f t="shared" si="3"/>
        <v>0</v>
      </c>
    </row>
    <row r="237">
      <c r="A237" s="10" t="str">
        <f t="shared" si="2"/>
        <v>Otros</v>
      </c>
      <c r="B237" s="18"/>
      <c r="C237" s="18"/>
      <c r="D237" s="16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3">
        <f t="shared" si="3"/>
        <v>0</v>
      </c>
    </row>
    <row r="238">
      <c r="A238" s="10" t="str">
        <f t="shared" si="2"/>
        <v>Otros</v>
      </c>
      <c r="B238" s="18"/>
      <c r="C238" s="18"/>
      <c r="D238" s="1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3">
        <f t="shared" si="3"/>
        <v>0</v>
      </c>
    </row>
    <row r="239">
      <c r="A239" s="10" t="str">
        <f t="shared" si="2"/>
        <v>Otros</v>
      </c>
      <c r="B239" s="18"/>
      <c r="C239" s="18"/>
      <c r="D239" s="16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3">
        <f t="shared" si="3"/>
        <v>0</v>
      </c>
    </row>
    <row r="240">
      <c r="A240" s="10" t="str">
        <f t="shared" si="2"/>
        <v>Otros</v>
      </c>
      <c r="B240" s="18"/>
      <c r="C240" s="18"/>
      <c r="D240" s="1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3">
        <f t="shared" si="3"/>
        <v>0</v>
      </c>
    </row>
    <row r="241">
      <c r="A241" s="10" t="str">
        <f t="shared" si="2"/>
        <v>Otros</v>
      </c>
      <c r="B241" s="18"/>
      <c r="C241" s="18"/>
      <c r="D241" s="16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3">
        <f t="shared" si="3"/>
        <v>0</v>
      </c>
    </row>
    <row r="242">
      <c r="A242" s="10" t="str">
        <f t="shared" si="2"/>
        <v>Otros</v>
      </c>
      <c r="B242" s="18"/>
      <c r="C242" s="18"/>
      <c r="D242" s="1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3">
        <f t="shared" si="3"/>
        <v>0</v>
      </c>
    </row>
    <row r="243">
      <c r="A243" s="10" t="str">
        <f t="shared" si="2"/>
        <v>Otros</v>
      </c>
      <c r="B243" s="18"/>
      <c r="C243" s="18"/>
      <c r="D243" s="16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3">
        <f t="shared" si="3"/>
        <v>0</v>
      </c>
    </row>
    <row r="244">
      <c r="A244" s="10" t="str">
        <f t="shared" si="2"/>
        <v>Otros</v>
      </c>
      <c r="B244" s="18"/>
      <c r="C244" s="18"/>
      <c r="D244" s="16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3">
        <f t="shared" si="3"/>
        <v>0</v>
      </c>
    </row>
  </sheetData>
  <dataValidations>
    <dataValidation type="list" allowBlank="1" showErrorMessage="1" sqref="C3:C244">
      <formula1>Menus!$Q$2:$Q244</formula1>
    </dataValidation>
    <dataValidation type="list" allowBlank="1" showErrorMessage="1" sqref="B3:B244">
      <formula1>Menus!$A$2:$A244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63"/>
    <col customWidth="1" min="15" max="15" width="31.0"/>
    <col customWidth="1" min="16" max="16" width="17.63"/>
  </cols>
  <sheetData>
    <row r="1">
      <c r="A1" s="19" t="str">
        <f>IFERROR(__xludf.DUMMYFUNCTION("IMPORTRANGE(""10O_SXdz0dJt2tdyDkVj7WBPL_30nKHj5oXXQ8LjzZA8"",""Menus!A1:Z"")"),"Proyecto")</f>
        <v>Proyecto</v>
      </c>
      <c r="B1" s="19" t="str">
        <f>IFERROR(__xludf.DUMMYFUNCTION("""COMPUTED_VALUE"""),"Cuenta")</f>
        <v>Cuenta</v>
      </c>
      <c r="C1" s="18" t="str">
        <f>IFERROR(__xludf.DUMMYFUNCTION("""COMPUTED_VALUE"""),"Area")</f>
        <v>Area</v>
      </c>
      <c r="D1" s="18"/>
      <c r="E1" s="18" t="str">
        <f>IFERROR(__xludf.DUMMYFUNCTION("""COMPUTED_VALUE"""),"Mes")</f>
        <v>Mes</v>
      </c>
      <c r="F1" s="18"/>
      <c r="G1" s="18"/>
      <c r="H1" s="18"/>
      <c r="I1" s="18"/>
      <c r="J1" s="18" t="str">
        <f>IFERROR(__xludf.DUMMYFUNCTION("""COMPUTED_VALUE"""),"AbrR!A:AT")</f>
        <v>AbrR!A:AT</v>
      </c>
      <c r="K1" s="18" t="str">
        <f>IFERROR(__xludf.DUMMYFUNCTION("""COMPUTED_VALUE"""),"AbrR!$A$1:$A")</f>
        <v>AbrR!$A$1:$A</v>
      </c>
      <c r="L1" s="18" t="str">
        <f>IFERROR(__xludf.DUMMYFUNCTION("""COMPUTED_VALUE"""),"AbrR!$A$6:$6")</f>
        <v>AbrR!$A$6:$6</v>
      </c>
      <c r="M1" s="18"/>
      <c r="N1" s="18"/>
      <c r="O1" s="18" t="str">
        <f>IFERROR(__xludf.DUMMYFUNCTION("""COMPUTED_VALUE"""),"Proveedores")</f>
        <v>Proveedores</v>
      </c>
      <c r="P1" s="18" t="str">
        <f>IFERROR(__xludf.DUMMYFUNCTION("""COMPUTED_VALUE"""),"Forma de Pago")</f>
        <v>Forma de Pago</v>
      </c>
      <c r="Q1" s="18" t="str">
        <f>IFERROR(__xludf.DUMMYFUNCTION("""COMPUTED_VALUE"""),"Cuenta O")</f>
        <v>Cuenta O</v>
      </c>
      <c r="R1" s="18"/>
      <c r="S1" s="18"/>
      <c r="T1" s="18"/>
      <c r="U1" s="18"/>
      <c r="V1" s="18"/>
      <c r="W1" s="18"/>
      <c r="X1" s="18"/>
      <c r="Y1" s="18"/>
    </row>
    <row r="2">
      <c r="A2" s="18" t="str">
        <f>IFERROR(__xludf.DUMMYFUNCTION("""COMPUTED_VALUE"""),"(00) Administración")</f>
        <v>(00) Administración</v>
      </c>
      <c r="B2" s="18" t="str">
        <f>IFERROR(__xludf.DUMMYFUNCTION("""COMPUTED_VALUE"""),"A01 Seguridad")</f>
        <v>A01 Seguridad</v>
      </c>
      <c r="C2" s="18" t="str">
        <f>IFERROR(__xludf.DUMMYFUNCTION("""COMPUTED_VALUE"""),"(01) Compras")</f>
        <v>(01) Compras</v>
      </c>
      <c r="D2" s="18"/>
      <c r="E2" s="18" t="str">
        <f>IFERROR(__xludf.DUMMYFUNCTION("""COMPUTED_VALUE"""),"(01) Enero")</f>
        <v>(01) Enero</v>
      </c>
      <c r="F2" s="18" t="str">
        <f>IFERROR(__xludf.DUMMYFUNCTION("""COMPUTED_VALUE"""),"Ene P")</f>
        <v>Ene P</v>
      </c>
      <c r="G2" s="18" t="str">
        <f>IFERROR(__xludf.DUMMYFUNCTION("""COMPUTED_VALUE"""),"Ene R")</f>
        <v>Ene R</v>
      </c>
      <c r="H2" s="18" t="str">
        <f>IFERROR(__xludf.DUMMYFUNCTION("""COMPUTED_VALUE"""),"Ene D")</f>
        <v>Ene D</v>
      </c>
      <c r="I2" s="18" t="str">
        <f>IFERROR(__xludf.DUMMYFUNCTION("""COMPUTED_VALUE"""),"Consolidado!$E$3:$E")</f>
        <v>Consolidado!$E$3:$E</v>
      </c>
      <c r="J2" s="18" t="str">
        <f>IFERROR(__xludf.DUMMYFUNCTION("""COMPUTED_VALUE"""),"EneR!A:AT")</f>
        <v>EneR!A:AT</v>
      </c>
      <c r="K2" s="18" t="str">
        <f>IFERROR(__xludf.DUMMYFUNCTION("""COMPUTED_VALUE"""),"EneR!$A$1:$A")</f>
        <v>EneR!$A$1:$A</v>
      </c>
      <c r="L2" s="18" t="str">
        <f>IFERROR(__xludf.DUMMYFUNCTION("""COMPUTED_VALUE"""),"EneR!$A$6:$6")</f>
        <v>EneR!$A$6:$6</v>
      </c>
      <c r="M2" s="18" t="str">
        <f>IFERROR(__xludf.DUMMYFUNCTION("""COMPUTED_VALUE"""),"EneR")</f>
        <v>EneR</v>
      </c>
      <c r="N2" s="18"/>
      <c r="O2" s="18" t="str">
        <f>IFERROR(__xludf.DUMMYFUNCTION("""COMPUTED_VALUE"""),"(000) Traspaso de Cta 901")</f>
        <v>(000) Traspaso de Cta 901</v>
      </c>
      <c r="P2" s="18" t="str">
        <f>IFERROR(__xludf.DUMMYFUNCTION("""COMPUTED_VALUE"""),"(01) Cheque")</f>
        <v>(01) Cheque</v>
      </c>
      <c r="Q2" s="18" t="str">
        <f>IFERROR(__xludf.DUMMYFUNCTION("""COMPUTED_VALUE"""),"C01 Otros ingresos")</f>
        <v>C01 Otros ingresos</v>
      </c>
      <c r="R2" s="18"/>
      <c r="S2" s="18"/>
      <c r="T2" s="18"/>
      <c r="U2" s="18"/>
      <c r="V2" s="18"/>
      <c r="W2" s="18"/>
      <c r="X2" s="18"/>
      <c r="Y2" s="18"/>
    </row>
    <row r="3">
      <c r="A3" s="18" t="str">
        <f>IFERROR(__xludf.DUMMYFUNCTION("""COMPUTED_VALUE"""),"(01) C. Polanco")</f>
        <v>(01) C. Polanco</v>
      </c>
      <c r="B3" s="18" t="str">
        <f>IFERROR(__xludf.DUMMYFUNCTION("""COMPUTED_VALUE"""),"A02 Monitoreo")</f>
        <v>A02 Monitoreo</v>
      </c>
      <c r="C3" s="18" t="str">
        <f>IFERROR(__xludf.DUMMYFUNCTION("""COMPUTED_VALUE"""),"(02) Comercial")</f>
        <v>(02) Comercial</v>
      </c>
      <c r="D3" s="18"/>
      <c r="E3" s="18" t="str">
        <f>IFERROR(__xludf.DUMMYFUNCTION("""COMPUTED_VALUE"""),"(02) Febrero")</f>
        <v>(02) Febrero</v>
      </c>
      <c r="F3" s="18" t="str">
        <f>IFERROR(__xludf.DUMMYFUNCTION("""COMPUTED_VALUE"""),"Feb P")</f>
        <v>Feb P</v>
      </c>
      <c r="G3" s="18" t="str">
        <f>IFERROR(__xludf.DUMMYFUNCTION("""COMPUTED_VALUE"""),"Feb R")</f>
        <v>Feb R</v>
      </c>
      <c r="H3" s="18" t="str">
        <f>IFERROR(__xludf.DUMMYFUNCTION("""COMPUTED_VALUE"""),"Feb D")</f>
        <v>Feb D</v>
      </c>
      <c r="I3" s="18" t="str">
        <f>IFERROR(__xludf.DUMMYFUNCTION("""COMPUTED_VALUE"""),"Consolidado!$F$3:$F")</f>
        <v>Consolidado!$F$3:$F</v>
      </c>
      <c r="J3" s="18" t="str">
        <f>IFERROR(__xludf.DUMMYFUNCTION("""COMPUTED_VALUE"""),"FebR!A:AT")</f>
        <v>FebR!A:AT</v>
      </c>
      <c r="K3" s="18" t="str">
        <f>IFERROR(__xludf.DUMMYFUNCTION("""COMPUTED_VALUE"""),"FebR!$A$1:$A")</f>
        <v>FebR!$A$1:$A</v>
      </c>
      <c r="L3" s="18" t="str">
        <f>IFERROR(__xludf.DUMMYFUNCTION("""COMPUTED_VALUE"""),"FebR!$A$6:$6")</f>
        <v>FebR!$A$6:$6</v>
      </c>
      <c r="M3" s="18" t="str">
        <f>IFERROR(__xludf.DUMMYFUNCTION("""COMPUTED_VALUE"""),"FebR")</f>
        <v>FebR</v>
      </c>
      <c r="N3" s="18"/>
      <c r="O3" s="18" t="str">
        <f>IFERROR(__xludf.DUMMYFUNCTION("""COMPUTED_VALUE"""),"(001) Wepark Sa De Cv")</f>
        <v>(001) Wepark Sa De Cv</v>
      </c>
      <c r="P3" s="18" t="str">
        <f>IFERROR(__xludf.DUMMYFUNCTION("""COMPUTED_VALUE"""),"(02) Efectivo")</f>
        <v>(02) Efectivo</v>
      </c>
      <c r="Q3" s="18" t="str">
        <f>IFERROR(__xludf.DUMMYFUNCTION("""COMPUTED_VALUE"""),"D01 Otros gastos")</f>
        <v>D01 Otros gastos</v>
      </c>
      <c r="R3" s="18"/>
      <c r="S3" s="18"/>
      <c r="T3" s="18"/>
      <c r="U3" s="18"/>
      <c r="V3" s="18"/>
      <c r="W3" s="18"/>
      <c r="X3" s="18"/>
      <c r="Y3" s="18"/>
    </row>
    <row r="4">
      <c r="A4" s="18" t="str">
        <f>IFERROR(__xludf.DUMMYFUNCTION("""COMPUTED_VALUE"""),"(02) Wepark")</f>
        <v>(02) Wepark</v>
      </c>
      <c r="B4" s="18" t="str">
        <f>IFERROR(__xludf.DUMMYFUNCTION("""COMPUTED_VALUE"""),"B01 Nomina")</f>
        <v>B01 Nomina</v>
      </c>
      <c r="C4" s="18" t="str">
        <f>IFERROR(__xludf.DUMMYFUNCTION("""COMPUTED_VALUE"""),"(03) RH")</f>
        <v>(03) RH</v>
      </c>
      <c r="D4" s="18"/>
      <c r="E4" s="18" t="str">
        <f>IFERROR(__xludf.DUMMYFUNCTION("""COMPUTED_VALUE"""),"(03) Marzo")</f>
        <v>(03) Marzo</v>
      </c>
      <c r="F4" s="18" t="str">
        <f>IFERROR(__xludf.DUMMYFUNCTION("""COMPUTED_VALUE"""),"Mar P")</f>
        <v>Mar P</v>
      </c>
      <c r="G4" s="18" t="str">
        <f>IFERROR(__xludf.DUMMYFUNCTION("""COMPUTED_VALUE"""),"Mar R")</f>
        <v>Mar R</v>
      </c>
      <c r="H4" s="18" t="str">
        <f>IFERROR(__xludf.DUMMYFUNCTION("""COMPUTED_VALUE"""),"Mar D")</f>
        <v>Mar D</v>
      </c>
      <c r="I4" s="18" t="str">
        <f>IFERROR(__xludf.DUMMYFUNCTION("""COMPUTED_VALUE"""),"Consolidado!$G$3:$G")</f>
        <v>Consolidado!$G$3:$G</v>
      </c>
      <c r="J4" s="18" t="str">
        <f>IFERROR(__xludf.DUMMYFUNCTION("""COMPUTED_VALUE"""),"MarR!A:AT")</f>
        <v>MarR!A:AT</v>
      </c>
      <c r="K4" s="18" t="str">
        <f>IFERROR(__xludf.DUMMYFUNCTION("""COMPUTED_VALUE"""),"MarR!$A$1:$A")</f>
        <v>MarR!$A$1:$A</v>
      </c>
      <c r="L4" s="18" t="str">
        <f>IFERROR(__xludf.DUMMYFUNCTION("""COMPUTED_VALUE"""),"MarR!$A$6:$6")</f>
        <v>MarR!$A$6:$6</v>
      </c>
      <c r="M4" s="18" t="str">
        <f>IFERROR(__xludf.DUMMYFUNCTION("""COMPUTED_VALUE"""),"MarR")</f>
        <v>MarR</v>
      </c>
      <c r="N4" s="18"/>
      <c r="O4" s="18" t="str">
        <f>IFERROR(__xludf.DUMMYFUNCTION("""COMPUTED_VALUE"""),"(002) Artes Graficas En Periodico")</f>
        <v>(002) Artes Graficas En Periodico</v>
      </c>
      <c r="P4" s="18" t="str">
        <f>IFERROR(__xludf.DUMMYFUNCTION("""COMPUTED_VALUE"""),"(03) Transferencia")</f>
        <v>(03) Transferencia</v>
      </c>
      <c r="Q4" s="18" t="str">
        <f>IFERROR(__xludf.DUMMYFUNCTION("""COMPUTED_VALUE"""),"D02 Comisiones")</f>
        <v>D02 Comisiones</v>
      </c>
      <c r="R4" s="18"/>
      <c r="S4" s="18"/>
      <c r="T4" s="18"/>
      <c r="U4" s="18"/>
      <c r="V4" s="18"/>
      <c r="W4" s="18"/>
      <c r="X4" s="18"/>
      <c r="Y4" s="18"/>
    </row>
    <row r="5">
      <c r="A5" s="18" t="str">
        <f>IFERROR(__xludf.DUMMYFUNCTION("""COMPUTED_VALUE"""),"(03) Lagrange")</f>
        <v>(03) Lagrange</v>
      </c>
      <c r="B5" s="18" t="str">
        <f>IFERROR(__xludf.DUMMYFUNCTION("""COMPUTED_VALUE"""),"B02 Cuotas IMSS")</f>
        <v>B02 Cuotas IMSS</v>
      </c>
      <c r="C5" s="18" t="str">
        <f>IFERROR(__xludf.DUMMYFUNCTION("""COMPUTED_VALUE"""),"(04) Operacion")</f>
        <v>(04) Operacion</v>
      </c>
      <c r="D5" s="18"/>
      <c r="E5" s="18" t="str">
        <f>IFERROR(__xludf.DUMMYFUNCTION("""COMPUTED_VALUE"""),"(04) Abril")</f>
        <v>(04) Abril</v>
      </c>
      <c r="F5" s="18" t="str">
        <f>IFERROR(__xludf.DUMMYFUNCTION("""COMPUTED_VALUE"""),"Abr P")</f>
        <v>Abr P</v>
      </c>
      <c r="G5" s="18" t="str">
        <f>IFERROR(__xludf.DUMMYFUNCTION("""COMPUTED_VALUE"""),"Abr R")</f>
        <v>Abr R</v>
      </c>
      <c r="H5" s="18" t="str">
        <f>IFERROR(__xludf.DUMMYFUNCTION("""COMPUTED_VALUE"""),"Abr D")</f>
        <v>Abr D</v>
      </c>
      <c r="I5" s="18" t="str">
        <f>IFERROR(__xludf.DUMMYFUNCTION("""COMPUTED_VALUE"""),"Consolidado!$H$3:$H")</f>
        <v>Consolidado!$H$3:$H</v>
      </c>
      <c r="J5" s="18" t="str">
        <f>IFERROR(__xludf.DUMMYFUNCTION("""COMPUTED_VALUE"""),"AbrR!A:AT")</f>
        <v>AbrR!A:AT</v>
      </c>
      <c r="K5" s="18" t="str">
        <f>IFERROR(__xludf.DUMMYFUNCTION("""COMPUTED_VALUE"""),"AbrR!$A$1:$A")</f>
        <v>AbrR!$A$1:$A</v>
      </c>
      <c r="L5" s="18" t="str">
        <f>IFERROR(__xludf.DUMMYFUNCTION("""COMPUTED_VALUE"""),"AbrR!$A$6:$6")</f>
        <v>AbrR!$A$6:$6</v>
      </c>
      <c r="M5" s="18" t="str">
        <f>IFERROR(__xludf.DUMMYFUNCTION("""COMPUTED_VALUE"""),"AbrR")</f>
        <v>AbrR</v>
      </c>
      <c r="N5" s="18"/>
      <c r="O5" s="18" t="str">
        <f>IFERROR(__xludf.DUMMYFUNCTION("""COMPUTED_VALUE"""),"(003) Raul A Tapia Sanchez")</f>
        <v>(003) Raul A Tapia Sanchez</v>
      </c>
      <c r="P5" s="18" t="str">
        <f>IFERROR(__xludf.DUMMYFUNCTION("""COMPUTED_VALUE"""),"(04) Tarjeta de Credito")</f>
        <v>(04) Tarjeta de Credito</v>
      </c>
      <c r="Q5" s="18" t="str">
        <f>IFERROR(__xludf.DUMMYFUNCTION("""COMPUTED_VALUE"""),"D03 Compensaciones Efectivo")</f>
        <v>D03 Compensaciones Efectivo</v>
      </c>
      <c r="R5" s="18"/>
      <c r="S5" s="18"/>
      <c r="T5" s="18"/>
      <c r="U5" s="18"/>
      <c r="V5" s="18"/>
      <c r="W5" s="18"/>
      <c r="X5" s="18"/>
      <c r="Y5" s="18"/>
    </row>
    <row r="6">
      <c r="A6" s="18" t="str">
        <f>IFERROR(__xludf.DUMMYFUNCTION("""COMPUTED_VALUE"""),"(04) T. Prisma")</f>
        <v>(04) T. Prisma</v>
      </c>
      <c r="B6" s="18" t="str">
        <f>IFERROR(__xludf.DUMMYFUNCTION("""COMPUTED_VALUE"""),"B03 Cuotas AFORE")</f>
        <v>B03 Cuotas AFORE</v>
      </c>
      <c r="C6" s="18" t="str">
        <f>IFERROR(__xludf.DUMMYFUNCTION("""COMPUTED_VALUE"""),"(05) Licencias")</f>
        <v>(05) Licencias</v>
      </c>
      <c r="D6" s="18"/>
      <c r="E6" s="18" t="str">
        <f>IFERROR(__xludf.DUMMYFUNCTION("""COMPUTED_VALUE"""),"(05) Mayo")</f>
        <v>(05) Mayo</v>
      </c>
      <c r="F6" s="18" t="str">
        <f>IFERROR(__xludf.DUMMYFUNCTION("""COMPUTED_VALUE"""),"May P")</f>
        <v>May P</v>
      </c>
      <c r="G6" s="18" t="str">
        <f>IFERROR(__xludf.DUMMYFUNCTION("""COMPUTED_VALUE"""),"May R")</f>
        <v>May R</v>
      </c>
      <c r="H6" s="18" t="str">
        <f>IFERROR(__xludf.DUMMYFUNCTION("""COMPUTED_VALUE"""),"May D")</f>
        <v>May D</v>
      </c>
      <c r="I6" s="18" t="str">
        <f>IFERROR(__xludf.DUMMYFUNCTION("""COMPUTED_VALUE"""),"Consolidado!$I$3:$I")</f>
        <v>Consolidado!$I$3:$I</v>
      </c>
      <c r="J6" s="18" t="str">
        <f>IFERROR(__xludf.DUMMYFUNCTION("""COMPUTED_VALUE"""),"MayR!A:AT")</f>
        <v>MayR!A:AT</v>
      </c>
      <c r="K6" s="18" t="str">
        <f>IFERROR(__xludf.DUMMYFUNCTION("""COMPUTED_VALUE"""),"MayR!$A$1:$A")</f>
        <v>MayR!$A$1:$A</v>
      </c>
      <c r="L6" s="18" t="str">
        <f>IFERROR(__xludf.DUMMYFUNCTION("""COMPUTED_VALUE"""),"MayR!$A$6:$6")</f>
        <v>MayR!$A$6:$6</v>
      </c>
      <c r="M6" s="18" t="str">
        <f>IFERROR(__xludf.DUMMYFUNCTION("""COMPUTED_VALUE"""),"MayR")</f>
        <v>MayR</v>
      </c>
      <c r="N6" s="18"/>
      <c r="O6" s="18" t="str">
        <f>IFERROR(__xludf.DUMMYFUNCTION("""COMPUTED_VALUE"""),"(004) Jashmal Sa De Cv")</f>
        <v>(004) Jashmal Sa De Cv</v>
      </c>
      <c r="P6" s="18" t="str">
        <f>IFERROR(__xludf.DUMMYFUNCTION("""COMPUTED_VALUE"""),"(05) Anticipo")</f>
        <v>(05) Anticipo</v>
      </c>
      <c r="Q6" s="18" t="str">
        <f>IFERROR(__xludf.DUMMYFUNCTION("""COMPUTED_VALUE"""),"D04 Comisiones Rafa")</f>
        <v>D04 Comisiones Rafa</v>
      </c>
      <c r="R6" s="18"/>
      <c r="S6" s="18"/>
      <c r="T6" s="18"/>
      <c r="U6" s="18"/>
      <c r="V6" s="18"/>
      <c r="W6" s="18"/>
      <c r="X6" s="18"/>
      <c r="Y6" s="18"/>
    </row>
    <row r="7">
      <c r="A7" s="18" t="str">
        <f>IFERROR(__xludf.DUMMYFUNCTION("""COMPUTED_VALUE"""),"(07) Andes 120")</f>
        <v>(07) Andes 120</v>
      </c>
      <c r="B7" s="18" t="str">
        <f>IFERROR(__xludf.DUMMYFUNCTION("""COMPUTED_VALUE"""),"B04 Cuotas INFONAVIT")</f>
        <v>B04 Cuotas INFONAVIT</v>
      </c>
      <c r="C7" s="18" t="str">
        <f>IFERROR(__xludf.DUMMYFUNCTION("""COMPUTED_VALUE"""),"(06) Finanzas")</f>
        <v>(06) Finanzas</v>
      </c>
      <c r="D7" s="18"/>
      <c r="E7" s="18" t="str">
        <f>IFERROR(__xludf.DUMMYFUNCTION("""COMPUTED_VALUE"""),"(06) Junio")</f>
        <v>(06) Junio</v>
      </c>
      <c r="F7" s="18" t="str">
        <f>IFERROR(__xludf.DUMMYFUNCTION("""COMPUTED_VALUE"""),"Jun P")</f>
        <v>Jun P</v>
      </c>
      <c r="G7" s="18" t="str">
        <f>IFERROR(__xludf.DUMMYFUNCTION("""COMPUTED_VALUE"""),"Jun R")</f>
        <v>Jun R</v>
      </c>
      <c r="H7" s="18" t="str">
        <f>IFERROR(__xludf.DUMMYFUNCTION("""COMPUTED_VALUE"""),"Jun D")</f>
        <v>Jun D</v>
      </c>
      <c r="I7" s="18" t="str">
        <f>IFERROR(__xludf.DUMMYFUNCTION("""COMPUTED_VALUE"""),"Consolidado!$J$3:$J")</f>
        <v>Consolidado!$J$3:$J</v>
      </c>
      <c r="J7" s="18" t="str">
        <f>IFERROR(__xludf.DUMMYFUNCTION("""COMPUTED_VALUE"""),"JunR!A:AT")</f>
        <v>JunR!A:AT</v>
      </c>
      <c r="K7" s="18" t="str">
        <f>IFERROR(__xludf.DUMMYFUNCTION("""COMPUTED_VALUE"""),"JunR!$A$1:$A")</f>
        <v>JunR!$A$1:$A</v>
      </c>
      <c r="L7" s="18" t="str">
        <f>IFERROR(__xludf.DUMMYFUNCTION("""COMPUTED_VALUE"""),"JunR!$A$6:$6")</f>
        <v>JunR!$A$6:$6</v>
      </c>
      <c r="M7" s="18" t="str">
        <f>IFERROR(__xludf.DUMMYFUNCTION("""COMPUTED_VALUE"""),"JunR")</f>
        <v>JunR</v>
      </c>
      <c r="N7" s="18"/>
      <c r="O7" s="18" t="str">
        <f>IFERROR(__xludf.DUMMYFUNCTION("""COMPUTED_VALUE"""),"(005) Tecnosinergia S De Rl De Cv")</f>
        <v>(005) Tecnosinergia S De Rl De Cv</v>
      </c>
      <c r="P7" s="18"/>
      <c r="Q7" s="18"/>
      <c r="R7" s="18"/>
      <c r="S7" s="18"/>
      <c r="T7" s="18"/>
      <c r="U7" s="18"/>
      <c r="V7" s="18"/>
      <c r="W7" s="18"/>
      <c r="X7" s="18"/>
      <c r="Y7" s="18"/>
    </row>
    <row r="8">
      <c r="A8" s="18" t="str">
        <f>IFERROR(__xludf.DUMMYFUNCTION("""COMPUTED_VALUE"""),"(08) Xochimilco")</f>
        <v>(08) Xochimilco</v>
      </c>
      <c r="B8" s="20" t="str">
        <f>IFERROR(__xludf.DUMMYFUNCTION("""COMPUTED_VALUE"""),"B05 2.5% sobre nomina")</f>
        <v>B05 2.5% sobre nomina</v>
      </c>
      <c r="C8" s="18"/>
      <c r="D8" s="18"/>
      <c r="E8" s="18" t="str">
        <f>IFERROR(__xludf.DUMMYFUNCTION("""COMPUTED_VALUE"""),"(07) Julio")</f>
        <v>(07) Julio</v>
      </c>
      <c r="F8" s="18" t="str">
        <f>IFERROR(__xludf.DUMMYFUNCTION("""COMPUTED_VALUE"""),"Jul P")</f>
        <v>Jul P</v>
      </c>
      <c r="G8" s="18" t="str">
        <f>IFERROR(__xludf.DUMMYFUNCTION("""COMPUTED_VALUE"""),"Jul R")</f>
        <v>Jul R</v>
      </c>
      <c r="H8" s="18" t="str">
        <f>IFERROR(__xludf.DUMMYFUNCTION("""COMPUTED_VALUE"""),"Jul D")</f>
        <v>Jul D</v>
      </c>
      <c r="I8" s="18" t="str">
        <f>IFERROR(__xludf.DUMMYFUNCTION("""COMPUTED_VALUE"""),"Consolidado!$K$3:$K")</f>
        <v>Consolidado!$K$3:$K</v>
      </c>
      <c r="J8" s="18" t="str">
        <f>IFERROR(__xludf.DUMMYFUNCTION("""COMPUTED_VALUE"""),"JulR!A:AT")</f>
        <v>JulR!A:AT</v>
      </c>
      <c r="K8" s="18" t="str">
        <f>IFERROR(__xludf.DUMMYFUNCTION("""COMPUTED_VALUE"""),"JulR!$A$1:$A")</f>
        <v>JulR!$A$1:$A</v>
      </c>
      <c r="L8" s="18" t="str">
        <f>IFERROR(__xludf.DUMMYFUNCTION("""COMPUTED_VALUE"""),"JulR!$A$6:$6")</f>
        <v>JulR!$A$6:$6</v>
      </c>
      <c r="M8" s="18" t="str">
        <f>IFERROR(__xludf.DUMMYFUNCTION("""COMPUTED_VALUE"""),"JulR")</f>
        <v>JulR</v>
      </c>
      <c r="N8" s="18"/>
      <c r="O8" s="18" t="str">
        <f>IFERROR(__xludf.DUMMYFUNCTION("""COMPUTED_VALUE"""),"(006) Lp Comunicaciones Sa De Cv")</f>
        <v>(006) Lp Comunicaciones Sa De Cv</v>
      </c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18" t="str">
        <f>IFERROR(__xludf.DUMMYFUNCTION("""COMPUTED_VALUE"""),"(09) M. Pelvoux")</f>
        <v>(09) M. Pelvoux</v>
      </c>
      <c r="B9" s="18" t="str">
        <f>IFERROR(__xludf.DUMMYFUNCTION("""COMPUTED_VALUE"""),"B06 Aguinaldo")</f>
        <v>B06 Aguinaldo</v>
      </c>
      <c r="C9" s="18"/>
      <c r="D9" s="18"/>
      <c r="E9" s="18" t="str">
        <f>IFERROR(__xludf.DUMMYFUNCTION("""COMPUTED_VALUE"""),"(08) Agosto")</f>
        <v>(08) Agosto</v>
      </c>
      <c r="F9" s="18" t="str">
        <f>IFERROR(__xludf.DUMMYFUNCTION("""COMPUTED_VALUE"""),"Ago P")</f>
        <v>Ago P</v>
      </c>
      <c r="G9" s="18" t="str">
        <f>IFERROR(__xludf.DUMMYFUNCTION("""COMPUTED_VALUE"""),"Ago R")</f>
        <v>Ago R</v>
      </c>
      <c r="H9" s="18" t="str">
        <f>IFERROR(__xludf.DUMMYFUNCTION("""COMPUTED_VALUE"""),"Ago D")</f>
        <v>Ago D</v>
      </c>
      <c r="I9" s="18" t="str">
        <f>IFERROR(__xludf.DUMMYFUNCTION("""COMPUTED_VALUE"""),"Consolidado!$L$3:$L")</f>
        <v>Consolidado!$L$3:$L</v>
      </c>
      <c r="J9" s="18" t="str">
        <f>IFERROR(__xludf.DUMMYFUNCTION("""COMPUTED_VALUE"""),"AgoR!A:AT")</f>
        <v>AgoR!A:AT</v>
      </c>
      <c r="K9" s="18" t="str">
        <f>IFERROR(__xludf.DUMMYFUNCTION("""COMPUTED_VALUE"""),"AgoR!$A$1:$A")</f>
        <v>AgoR!$A$1:$A</v>
      </c>
      <c r="L9" s="18" t="str">
        <f>IFERROR(__xludf.DUMMYFUNCTION("""COMPUTED_VALUE"""),"AgoR!$A$6:$6")</f>
        <v>AgoR!$A$6:$6</v>
      </c>
      <c r="M9" s="18" t="str">
        <f>IFERROR(__xludf.DUMMYFUNCTION("""COMPUTED_VALUE"""),"AgoR")</f>
        <v>AgoR</v>
      </c>
      <c r="N9" s="18"/>
      <c r="O9" s="18" t="str">
        <f>IFERROR(__xludf.DUMMYFUNCTION("""COMPUTED_VALUE"""),"(007) Pruebas De Deteccion Sa De Cv")</f>
        <v>(007) Pruebas De Deteccion Sa De Cv</v>
      </c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18" t="str">
        <f>IFERROR(__xludf.DUMMYFUNCTION("""COMPUTED_VALUE"""),"(10) Quadrata")</f>
        <v>(10) Quadrata</v>
      </c>
      <c r="B10" s="18" t="str">
        <f>IFERROR(__xludf.DUMMYFUNCTION("""COMPUTED_VALUE"""),"B07 Comisiones Bancarias")</f>
        <v>B07 Comisiones Bancarias</v>
      </c>
      <c r="C10" s="18"/>
      <c r="D10" s="18"/>
      <c r="E10" s="18" t="str">
        <f>IFERROR(__xludf.DUMMYFUNCTION("""COMPUTED_VALUE"""),"(09) Septiembre")</f>
        <v>(09) Septiembre</v>
      </c>
      <c r="F10" s="18" t="str">
        <f>IFERROR(__xludf.DUMMYFUNCTION("""COMPUTED_VALUE"""),"Sep P")</f>
        <v>Sep P</v>
      </c>
      <c r="G10" s="18" t="str">
        <f>IFERROR(__xludf.DUMMYFUNCTION("""COMPUTED_VALUE"""),"Sep R")</f>
        <v>Sep R</v>
      </c>
      <c r="H10" s="18" t="str">
        <f>IFERROR(__xludf.DUMMYFUNCTION("""COMPUTED_VALUE"""),"Sep D")</f>
        <v>Sep D</v>
      </c>
      <c r="I10" s="18" t="str">
        <f>IFERROR(__xludf.DUMMYFUNCTION("""COMPUTED_VALUE"""),"Consolidado!$M$3:$M")</f>
        <v>Consolidado!$M$3:$M</v>
      </c>
      <c r="J10" s="18" t="str">
        <f>IFERROR(__xludf.DUMMYFUNCTION("""COMPUTED_VALUE"""),"SepR!A:AT")</f>
        <v>SepR!A:AT</v>
      </c>
      <c r="K10" s="18" t="str">
        <f>IFERROR(__xludf.DUMMYFUNCTION("""COMPUTED_VALUE"""),"SepR!$A$1:$A")</f>
        <v>SepR!$A$1:$A</v>
      </c>
      <c r="L10" s="18" t="str">
        <f>IFERROR(__xludf.DUMMYFUNCTION("""COMPUTED_VALUE"""),"SepR!$A$6:$6")</f>
        <v>SepR!$A$6:$6</v>
      </c>
      <c r="M10" s="18" t="str">
        <f>IFERROR(__xludf.DUMMYFUNCTION("""COMPUTED_VALUE"""),"SepR")</f>
        <v>SepR</v>
      </c>
      <c r="N10" s="18"/>
      <c r="O10" s="18" t="str">
        <f>IFERROR(__xludf.DUMMYFUNCTION("""COMPUTED_VALUE"""),"(008) Ruizgu Sa De Cv")</f>
        <v>(008) Ruizgu Sa De Cv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18" t="str">
        <f>IFERROR(__xludf.DUMMYFUNCTION("""COMPUTED_VALUE"""),"(11) Panorama")</f>
        <v>(11) Panorama</v>
      </c>
      <c r="B11" s="18" t="str">
        <f>IFERROR(__xludf.DUMMYFUNCTION("""COMPUTED_VALUE"""),"B08 Licencias y permisos")</f>
        <v>B08 Licencias y permisos</v>
      </c>
      <c r="C11" s="18"/>
      <c r="D11" s="18"/>
      <c r="E11" s="18" t="str">
        <f>IFERROR(__xludf.DUMMYFUNCTION("""COMPUTED_VALUE"""),"(10) Octubre")</f>
        <v>(10) Octubre</v>
      </c>
      <c r="F11" s="18" t="str">
        <f>IFERROR(__xludf.DUMMYFUNCTION("""COMPUTED_VALUE"""),"Oct P")</f>
        <v>Oct P</v>
      </c>
      <c r="G11" s="18" t="str">
        <f>IFERROR(__xludf.DUMMYFUNCTION("""COMPUTED_VALUE"""),"Oct R")</f>
        <v>Oct R</v>
      </c>
      <c r="H11" s="18" t="str">
        <f>IFERROR(__xludf.DUMMYFUNCTION("""COMPUTED_VALUE"""),"Oct D")</f>
        <v>Oct D</v>
      </c>
      <c r="I11" s="18" t="str">
        <f>IFERROR(__xludf.DUMMYFUNCTION("""COMPUTED_VALUE"""),"Consolidado!$N$3:$N")</f>
        <v>Consolidado!$N$3:$N</v>
      </c>
      <c r="J11" s="18" t="str">
        <f>IFERROR(__xludf.DUMMYFUNCTION("""COMPUTED_VALUE"""),"OctR!A:AT")</f>
        <v>OctR!A:AT</v>
      </c>
      <c r="K11" s="18" t="str">
        <f>IFERROR(__xludf.DUMMYFUNCTION("""COMPUTED_VALUE"""),"OctR!$A$1:$A")</f>
        <v>OctR!$A$1:$A</v>
      </c>
      <c r="L11" s="18" t="str">
        <f>IFERROR(__xludf.DUMMYFUNCTION("""COMPUTED_VALUE"""),"OctR!$A$6:$6")</f>
        <v>OctR!$A$6:$6</v>
      </c>
      <c r="M11" s="18" t="str">
        <f>IFERROR(__xludf.DUMMYFUNCTION("""COMPUTED_VALUE"""),"OctR")</f>
        <v>OctR</v>
      </c>
      <c r="N11" s="18"/>
      <c r="O11" s="18" t="str">
        <f>IFERROR(__xludf.DUMMYFUNCTION("""COMPUTED_VALUE"""),"(009) Juan Armando Sosa Lezama")</f>
        <v>(009) Juan Armando Sosa Lezama</v>
      </c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18" t="str">
        <f>IFERROR(__xludf.DUMMYFUNCTION("""COMPUTED_VALUE"""),"(12) Andes 105")</f>
        <v>(12) Andes 105</v>
      </c>
      <c r="B12" s="18" t="str">
        <f>IFERROR(__xludf.DUMMYFUNCTION("""COMPUTED_VALUE"""),"B09 Uniformes")</f>
        <v>B09 Uniformes</v>
      </c>
      <c r="C12" s="18"/>
      <c r="D12" s="18"/>
      <c r="E12" s="18" t="str">
        <f>IFERROR(__xludf.DUMMYFUNCTION("""COMPUTED_VALUE"""),"(11) Noviembre")</f>
        <v>(11) Noviembre</v>
      </c>
      <c r="F12" s="18" t="str">
        <f>IFERROR(__xludf.DUMMYFUNCTION("""COMPUTED_VALUE"""),"Nov P")</f>
        <v>Nov P</v>
      </c>
      <c r="G12" s="18" t="str">
        <f>IFERROR(__xludf.DUMMYFUNCTION("""COMPUTED_VALUE"""),"Nov R")</f>
        <v>Nov R</v>
      </c>
      <c r="H12" s="18" t="str">
        <f>IFERROR(__xludf.DUMMYFUNCTION("""COMPUTED_VALUE"""),"Nov D")</f>
        <v>Nov D</v>
      </c>
      <c r="I12" s="18" t="str">
        <f>IFERROR(__xludf.DUMMYFUNCTION("""COMPUTED_VALUE"""),"Consolidado!$O$3:$O")</f>
        <v>Consolidado!$O$3:$O</v>
      </c>
      <c r="J12" s="18" t="str">
        <f>IFERROR(__xludf.DUMMYFUNCTION("""COMPUTED_VALUE"""),"NovR!A:AT")</f>
        <v>NovR!A:AT</v>
      </c>
      <c r="K12" s="18" t="str">
        <f>IFERROR(__xludf.DUMMYFUNCTION("""COMPUTED_VALUE"""),"NovR!$A$1:$A")</f>
        <v>NovR!$A$1:$A</v>
      </c>
      <c r="L12" s="18" t="str">
        <f>IFERROR(__xludf.DUMMYFUNCTION("""COMPUTED_VALUE"""),"NovR!$A$6:$6")</f>
        <v>NovR!$A$6:$6</v>
      </c>
      <c r="M12" s="18" t="str">
        <f>IFERROR(__xludf.DUMMYFUNCTION("""COMPUTED_VALUE"""),"NovR")</f>
        <v>NovR</v>
      </c>
      <c r="N12" s="18"/>
      <c r="O12" s="18" t="str">
        <f>IFERROR(__xludf.DUMMYFUNCTION("""COMPUTED_VALUE"""),"(010) Asesoria En Copisistemas Y Com")</f>
        <v>(010) Asesoria En Copisistemas Y Com</v>
      </c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18" t="str">
        <f>IFERROR(__xludf.DUMMYFUNCTION("""COMPUTED_VALUE"""),"(13) E. Especiales")</f>
        <v>(13) E. Especiales</v>
      </c>
      <c r="B13" s="18" t="str">
        <f>IFERROR(__xludf.DUMMYFUNCTION("""COMPUTED_VALUE"""),"B10 Anuncios periódico")</f>
        <v>B10 Anuncios periódico</v>
      </c>
      <c r="C13" s="18"/>
      <c r="D13" s="18"/>
      <c r="E13" s="18" t="str">
        <f>IFERROR(__xludf.DUMMYFUNCTION("""COMPUTED_VALUE"""),"(12) Diciembre")</f>
        <v>(12) Diciembre</v>
      </c>
      <c r="F13" s="18" t="str">
        <f>IFERROR(__xludf.DUMMYFUNCTION("""COMPUTED_VALUE"""),"Dic P")</f>
        <v>Dic P</v>
      </c>
      <c r="G13" s="18" t="str">
        <f>IFERROR(__xludf.DUMMYFUNCTION("""COMPUTED_VALUE"""),"Dic R")</f>
        <v>Dic R</v>
      </c>
      <c r="H13" s="18" t="str">
        <f>IFERROR(__xludf.DUMMYFUNCTION("""COMPUTED_VALUE"""),"Dic D")</f>
        <v>Dic D</v>
      </c>
      <c r="I13" s="18" t="str">
        <f>IFERROR(__xludf.DUMMYFUNCTION("""COMPUTED_VALUE"""),"Consolidado!$P$3:$P")</f>
        <v>Consolidado!$P$3:$P</v>
      </c>
      <c r="J13" s="18" t="str">
        <f>IFERROR(__xludf.DUMMYFUNCTION("""COMPUTED_VALUE"""),"DicR!A:AT")</f>
        <v>DicR!A:AT</v>
      </c>
      <c r="K13" s="18" t="str">
        <f>IFERROR(__xludf.DUMMYFUNCTION("""COMPUTED_VALUE"""),"DicR!$A$1:$A")</f>
        <v>DicR!$A$1:$A</v>
      </c>
      <c r="L13" s="18" t="str">
        <f>IFERROR(__xludf.DUMMYFUNCTION("""COMPUTED_VALUE"""),"DicR!$A$6:$6")</f>
        <v>DicR!$A$6:$6</v>
      </c>
      <c r="M13" s="18" t="str">
        <f>IFERROR(__xludf.DUMMYFUNCTION("""COMPUTED_VALUE"""),"DicR")</f>
        <v>DicR</v>
      </c>
      <c r="N13" s="18"/>
      <c r="O13" s="18" t="str">
        <f>IFERROR(__xludf.DUMMYFUNCTION("""COMPUTED_VALUE"""),"(011) Avisetecnologias Sa De Cv")</f>
        <v>(011) Avisetecnologias Sa De Cv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18" t="str">
        <f>IFERROR(__xludf.DUMMYFUNCTION("""COMPUTED_VALUE"""),"(14) Bodega Sicario Chalco")</f>
        <v>(14) Bodega Sicario Chalco</v>
      </c>
      <c r="B14" s="18" t="str">
        <f>IFERROR(__xludf.DUMMYFUNCTION("""COMPUTED_VALUE"""),"B11 Telefonía")</f>
        <v>B11 Telefonía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 t="str">
        <f>IFERROR(__xludf.DUMMYFUNCTION("""COMPUTED_VALUE"""),"(012) Avendaño Y Asociados Sc")</f>
        <v>(012) Avendaño Y Asociados Sc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18" t="str">
        <f>IFERROR(__xludf.DUMMYFUNCTION("""COMPUTED_VALUE"""),"(15) Damas")</f>
        <v>(15) Damas</v>
      </c>
      <c r="B15" s="18" t="str">
        <f>IFERROR(__xludf.DUMMYFUNCTION("""COMPUTED_VALUE"""),"B12 Papelería")</f>
        <v>B12 Papelería</v>
      </c>
      <c r="C15" s="18"/>
      <c r="D15" s="18"/>
      <c r="E15" s="18" t="str">
        <f>IFERROR(__xludf.DUMMYFUNCTION("""COMPUTED_VALUE"""),"(01) Enero")</f>
        <v>(01) Enero</v>
      </c>
      <c r="F15" s="18" t="str">
        <f>IFERROR(__xludf.DUMMYFUNCTION("""COMPUTED_VALUE"""),"Enero")</f>
        <v>Enero</v>
      </c>
      <c r="G15" s="18" t="str">
        <f>IFERROR(__xludf.DUMMYFUNCTION("""COMPUTED_VALUE"""),"Ene R")</f>
        <v>Ene R</v>
      </c>
      <c r="H15" s="18" t="str">
        <f>IFERROR(__xludf.DUMMYFUNCTION("""COMPUTED_VALUE"""),"Ene D")</f>
        <v>Ene D</v>
      </c>
      <c r="I15" s="18" t="str">
        <f>IFERROR(__xludf.DUMMYFUNCTION("""COMPUTED_VALUE"""),"Otros!$E$3:$E")</f>
        <v>Otros!$E$3:$E</v>
      </c>
      <c r="J15" s="18" t="str">
        <f>IFERROR(__xludf.DUMMYFUNCTION("""COMPUTED_VALUE"""),"OtrosR!A:Q")</f>
        <v>OtrosR!A:Q</v>
      </c>
      <c r="K15" s="18" t="str">
        <f>IFERROR(__xludf.DUMMYFUNCTION("""COMPUTED_VALUE"""),"OtrosR!$C$1:$C")</f>
        <v>OtrosR!$C$1:$C</v>
      </c>
      <c r="L15" s="18" t="str">
        <f>IFERROR(__xludf.DUMMYFUNCTION("""COMPUTED_VALUE"""),"OtrosR!$B$1:$B")</f>
        <v>OtrosR!$B$1:$B</v>
      </c>
      <c r="M15" s="18" t="str">
        <f>IFERROR(__xludf.DUMMYFUNCTION("""COMPUTED_VALUE"""),"EneR")</f>
        <v>EneR</v>
      </c>
      <c r="N15" s="18"/>
      <c r="O15" s="18" t="str">
        <f>IFERROR(__xludf.DUMMYFUNCTION("""COMPUTED_VALUE"""),"(013) Gerardo Marcial Ramirez")</f>
        <v>(013) Gerardo Marcial Ramirez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18" t="str">
        <f>IFERROR(__xludf.DUMMYFUNCTION("""COMPUTED_VALUE"""),"(16) Onix")</f>
        <v>(16) Onix</v>
      </c>
      <c r="B16" s="18" t="str">
        <f>IFERROR(__xludf.DUMMYFUNCTION("""COMPUTED_VALUE"""),"B13 Honorarios")</f>
        <v>B13 Honorarios</v>
      </c>
      <c r="C16" s="18"/>
      <c r="D16" s="18"/>
      <c r="E16" s="18" t="str">
        <f>IFERROR(__xludf.DUMMYFUNCTION("""COMPUTED_VALUE"""),"(02) Febrero")</f>
        <v>(02) Febrero</v>
      </c>
      <c r="F16" s="18" t="str">
        <f>IFERROR(__xludf.DUMMYFUNCTION("""COMPUTED_VALUE"""),"Febrero")</f>
        <v>Febrero</v>
      </c>
      <c r="G16" s="18" t="str">
        <f>IFERROR(__xludf.DUMMYFUNCTION("""COMPUTED_VALUE"""),"Feb R")</f>
        <v>Feb R</v>
      </c>
      <c r="H16" s="18" t="str">
        <f>IFERROR(__xludf.DUMMYFUNCTION("""COMPUTED_VALUE"""),"Feb D")</f>
        <v>Feb D</v>
      </c>
      <c r="I16" s="18" t="str">
        <f>IFERROR(__xludf.DUMMYFUNCTION("""COMPUTED_VALUE"""),"Otros!$F$3:$F")</f>
        <v>Otros!$F$3:$F</v>
      </c>
      <c r="J16" s="18" t="str">
        <f>IFERROR(__xludf.DUMMYFUNCTION("""COMPUTED_VALUE"""),"FebR!A:AT")</f>
        <v>FebR!A:AT</v>
      </c>
      <c r="K16" s="18" t="str">
        <f>IFERROR(__xludf.DUMMYFUNCTION("""COMPUTED_VALUE"""),"FebR!$A$1:$A")</f>
        <v>FebR!$A$1:$A</v>
      </c>
      <c r="L16" s="18" t="str">
        <f>IFERROR(__xludf.DUMMYFUNCTION("""COMPUTED_VALUE"""),"FebR!$A$6:$6")</f>
        <v>FebR!$A$6:$6</v>
      </c>
      <c r="M16" s="18" t="str">
        <f>IFERROR(__xludf.DUMMYFUNCTION("""COMPUTED_VALUE"""),"FebR")</f>
        <v>FebR</v>
      </c>
      <c r="N16" s="18"/>
      <c r="O16" s="18" t="str">
        <f>IFERROR(__xludf.DUMMYFUNCTION("""COMPUTED_VALUE"""),"(014) Jose Ventura Calvo Cruz")</f>
        <v>(014) Jose Ventura Calvo Cruz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18" t="str">
        <f>IFERROR(__xludf.DUMMYFUNCTION("""COMPUTED_VALUE"""),"(17) Alce Blanco")</f>
        <v>(17) Alce Blanco</v>
      </c>
      <c r="B17" s="18" t="str">
        <f>IFERROR(__xludf.DUMMYFUNCTION("""COMPUTED_VALUE"""),"B14 Arrendamiento de inmuebles")</f>
        <v>B14 Arrendamiento de inmuebles</v>
      </c>
      <c r="C17" s="18"/>
      <c r="D17" s="18"/>
      <c r="E17" s="18" t="str">
        <f>IFERROR(__xludf.DUMMYFUNCTION("""COMPUTED_VALUE"""),"(03) Marzo")</f>
        <v>(03) Marzo</v>
      </c>
      <c r="F17" s="18" t="str">
        <f>IFERROR(__xludf.DUMMYFUNCTION("""COMPUTED_VALUE"""),"Marzo")</f>
        <v>Marzo</v>
      </c>
      <c r="G17" s="18" t="str">
        <f>IFERROR(__xludf.DUMMYFUNCTION("""COMPUTED_VALUE"""),"Mar R")</f>
        <v>Mar R</v>
      </c>
      <c r="H17" s="18" t="str">
        <f>IFERROR(__xludf.DUMMYFUNCTION("""COMPUTED_VALUE"""),"Mar D")</f>
        <v>Mar D</v>
      </c>
      <c r="I17" s="18" t="str">
        <f>IFERROR(__xludf.DUMMYFUNCTION("""COMPUTED_VALUE"""),"Otros!$G$3:$G")</f>
        <v>Otros!$G$3:$G</v>
      </c>
      <c r="J17" s="18" t="str">
        <f>IFERROR(__xludf.DUMMYFUNCTION("""COMPUTED_VALUE"""),"MarR!A:AT")</f>
        <v>MarR!A:AT</v>
      </c>
      <c r="K17" s="18" t="str">
        <f>IFERROR(__xludf.DUMMYFUNCTION("""COMPUTED_VALUE"""),"MarR!$A$1:$A")</f>
        <v>MarR!$A$1:$A</v>
      </c>
      <c r="L17" s="18" t="str">
        <f>IFERROR(__xludf.DUMMYFUNCTION("""COMPUTED_VALUE"""),"MarR!$A$6:$6")</f>
        <v>MarR!$A$6:$6</v>
      </c>
      <c r="M17" s="18" t="str">
        <f>IFERROR(__xludf.DUMMYFUNCTION("""COMPUTED_VALUE"""),"MarR")</f>
        <v>MarR</v>
      </c>
      <c r="N17" s="18"/>
      <c r="O17" s="18" t="str">
        <f>IFERROR(__xludf.DUMMYFUNCTION("""COMPUTED_VALUE"""),"(015) Gobierno De La Ciudad De Mexic")</f>
        <v>(015) Gobierno De La Ciudad De Mexic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18" t="str">
        <f>IFERROR(__xludf.DUMMYFUNCTION("""COMPUTED_VALUE"""),"(18) Campos Eliseos")</f>
        <v>(18) Campos Eliseos</v>
      </c>
      <c r="B18" s="18" t="str">
        <f>IFERROR(__xludf.DUMMYFUNCTION("""COMPUTED_VALUE"""),"B15 Mobiliario y equipo de oficina")</f>
        <v>B15 Mobiliario y equipo de oficina</v>
      </c>
      <c r="C18" s="18"/>
      <c r="D18" s="18"/>
      <c r="E18" s="18" t="str">
        <f>IFERROR(__xludf.DUMMYFUNCTION("""COMPUTED_VALUE"""),"(04) Abril")</f>
        <v>(04) Abril</v>
      </c>
      <c r="F18" s="18" t="str">
        <f>IFERROR(__xludf.DUMMYFUNCTION("""COMPUTED_VALUE"""),"Abril")</f>
        <v>Abril</v>
      </c>
      <c r="G18" s="18" t="str">
        <f>IFERROR(__xludf.DUMMYFUNCTION("""COMPUTED_VALUE"""),"Abr R")</f>
        <v>Abr R</v>
      </c>
      <c r="H18" s="18" t="str">
        <f>IFERROR(__xludf.DUMMYFUNCTION("""COMPUTED_VALUE"""),"Abr D")</f>
        <v>Abr D</v>
      </c>
      <c r="I18" s="18" t="str">
        <f>IFERROR(__xludf.DUMMYFUNCTION("""COMPUTED_VALUE"""),"Otros!$H$3:$H")</f>
        <v>Otros!$H$3:$H</v>
      </c>
      <c r="J18" s="18" t="str">
        <f>IFERROR(__xludf.DUMMYFUNCTION("""COMPUTED_VALUE"""),"AbrR!A:AT")</f>
        <v>AbrR!A:AT</v>
      </c>
      <c r="K18" s="18" t="str">
        <f>IFERROR(__xludf.DUMMYFUNCTION("""COMPUTED_VALUE"""),"AbrR!$A$1:$A")</f>
        <v>AbrR!$A$1:$A</v>
      </c>
      <c r="L18" s="18" t="str">
        <f>IFERROR(__xludf.DUMMYFUNCTION("""COMPUTED_VALUE"""),"AbrR!$A$6:$6")</f>
        <v>AbrR!$A$6:$6</v>
      </c>
      <c r="M18" s="18" t="str">
        <f>IFERROR(__xludf.DUMMYFUNCTION("""COMPUTED_VALUE"""),"AbrR")</f>
        <v>AbrR</v>
      </c>
      <c r="N18" s="18"/>
      <c r="O18" s="18" t="str">
        <f>IFERROR(__xludf.DUMMYFUNCTION("""COMPUTED_VALUE"""),"(016) Orotoga Consultores Sc")</f>
        <v>(016) Orotoga Consultores Sc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18" t="str">
        <f>IFERROR(__xludf.DUMMYFUNCTION("""COMPUTED_VALUE"""),"(21) Sur Oxidado")</f>
        <v>(21) Sur Oxidado</v>
      </c>
      <c r="B19" s="18" t="str">
        <f>IFERROR(__xludf.DUMMYFUNCTION("""COMPUTED_VALUE"""),"B16 Fianzas y seguros")</f>
        <v>B16 Fianzas y seguros</v>
      </c>
      <c r="C19" s="18"/>
      <c r="D19" s="18"/>
      <c r="E19" s="18" t="str">
        <f>IFERROR(__xludf.DUMMYFUNCTION("""COMPUTED_VALUE"""),"(05) Mayo")</f>
        <v>(05) Mayo</v>
      </c>
      <c r="F19" s="18" t="str">
        <f>IFERROR(__xludf.DUMMYFUNCTION("""COMPUTED_VALUE"""),"Mayo")</f>
        <v>Mayo</v>
      </c>
      <c r="G19" s="18" t="str">
        <f>IFERROR(__xludf.DUMMYFUNCTION("""COMPUTED_VALUE"""),"May R")</f>
        <v>May R</v>
      </c>
      <c r="H19" s="18" t="str">
        <f>IFERROR(__xludf.DUMMYFUNCTION("""COMPUTED_VALUE"""),"May D")</f>
        <v>May D</v>
      </c>
      <c r="I19" s="18" t="str">
        <f>IFERROR(__xludf.DUMMYFUNCTION("""COMPUTED_VALUE"""),"Otros!$I$3:$I")</f>
        <v>Otros!$I$3:$I</v>
      </c>
      <c r="J19" s="18" t="str">
        <f>IFERROR(__xludf.DUMMYFUNCTION("""COMPUTED_VALUE"""),"MayR!A:AT")</f>
        <v>MayR!A:AT</v>
      </c>
      <c r="K19" s="18" t="str">
        <f>IFERROR(__xludf.DUMMYFUNCTION("""COMPUTED_VALUE"""),"MayR!$A$1:$A")</f>
        <v>MayR!$A$1:$A</v>
      </c>
      <c r="L19" s="18" t="str">
        <f>IFERROR(__xludf.DUMMYFUNCTION("""COMPUTED_VALUE"""),"MayR!$A$6:$6")</f>
        <v>MayR!$A$6:$6</v>
      </c>
      <c r="M19" s="18" t="str">
        <f>IFERROR(__xludf.DUMMYFUNCTION("""COMPUTED_VALUE"""),"MayR")</f>
        <v>MayR</v>
      </c>
      <c r="N19" s="18"/>
      <c r="O19" s="18" t="str">
        <f>IFERROR(__xludf.DUMMYFUNCTION("""COMPUTED_VALUE"""),"(017) Berenice Frias Vigueras")</f>
        <v>(017) Berenice Frias Vigueras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18" t="str">
        <f>IFERROR(__xludf.DUMMYFUNCTION("""COMPUTED_VALUE"""),"(22) Summit")</f>
        <v>(22) Summit</v>
      </c>
      <c r="B20" s="18" t="str">
        <f>IFERROR(__xludf.DUMMYFUNCTION("""COMPUTED_VALUE"""),"B17 Mantenimiento Plaza/Oficina")</f>
        <v>B17 Mantenimiento Plaza/Oficina</v>
      </c>
      <c r="C20" s="18"/>
      <c r="D20" s="18"/>
      <c r="E20" s="18" t="str">
        <f>IFERROR(__xludf.DUMMYFUNCTION("""COMPUTED_VALUE"""),"(06) Junio")</f>
        <v>(06) Junio</v>
      </c>
      <c r="F20" s="18" t="str">
        <f>IFERROR(__xludf.DUMMYFUNCTION("""COMPUTED_VALUE"""),"Junio")</f>
        <v>Junio</v>
      </c>
      <c r="G20" s="18" t="str">
        <f>IFERROR(__xludf.DUMMYFUNCTION("""COMPUTED_VALUE"""),"Jun R")</f>
        <v>Jun R</v>
      </c>
      <c r="H20" s="18" t="str">
        <f>IFERROR(__xludf.DUMMYFUNCTION("""COMPUTED_VALUE"""),"Jun D")</f>
        <v>Jun D</v>
      </c>
      <c r="I20" s="18" t="str">
        <f>IFERROR(__xludf.DUMMYFUNCTION("""COMPUTED_VALUE"""),"Otros!$J$3:$J")</f>
        <v>Otros!$J$3:$J</v>
      </c>
      <c r="J20" s="18" t="str">
        <f>IFERROR(__xludf.DUMMYFUNCTION("""COMPUTED_VALUE"""),"JunR!A:AT")</f>
        <v>JunR!A:AT</v>
      </c>
      <c r="K20" s="18" t="str">
        <f>IFERROR(__xludf.DUMMYFUNCTION("""COMPUTED_VALUE"""),"JunR!$A$1:$A")</f>
        <v>JunR!$A$1:$A</v>
      </c>
      <c r="L20" s="18" t="str">
        <f>IFERROR(__xludf.DUMMYFUNCTION("""COMPUTED_VALUE"""),"JunR!$A$6:$6")</f>
        <v>JunR!$A$6:$6</v>
      </c>
      <c r="M20" s="18" t="str">
        <f>IFERROR(__xludf.DUMMYFUNCTION("""COMPUTED_VALUE"""),"JunR")</f>
        <v>JunR</v>
      </c>
      <c r="N20" s="18"/>
      <c r="O20" s="18" t="str">
        <f>IFERROR(__xludf.DUMMYFUNCTION("""COMPUTED_VALUE"""),"(018) Israel Garcia Concha")</f>
        <v>(018) Israel Garcia Concha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18" t="str">
        <f>IFERROR(__xludf.DUMMYFUNCTION("""COMPUTED_VALUE"""),"(24) Las Armas")</f>
        <v>(24) Las Armas</v>
      </c>
      <c r="B21" s="18" t="str">
        <f>IFERROR(__xludf.DUMMYFUNCTION("""COMPUTED_VALUE"""),"B18 Depreciación")</f>
        <v>B18 Depreciación</v>
      </c>
      <c r="C21" s="18"/>
      <c r="D21" s="18"/>
      <c r="E21" s="18" t="str">
        <f>IFERROR(__xludf.DUMMYFUNCTION("""COMPUTED_VALUE"""),"(07) Julio")</f>
        <v>(07) Julio</v>
      </c>
      <c r="F21" s="18" t="str">
        <f>IFERROR(__xludf.DUMMYFUNCTION("""COMPUTED_VALUE"""),"Julio")</f>
        <v>Julio</v>
      </c>
      <c r="G21" s="18" t="str">
        <f>IFERROR(__xludf.DUMMYFUNCTION("""COMPUTED_VALUE"""),"Jul R")</f>
        <v>Jul R</v>
      </c>
      <c r="H21" s="18" t="str">
        <f>IFERROR(__xludf.DUMMYFUNCTION("""COMPUTED_VALUE"""),"Jul D")</f>
        <v>Jul D</v>
      </c>
      <c r="I21" s="18" t="str">
        <f>IFERROR(__xludf.DUMMYFUNCTION("""COMPUTED_VALUE"""),"Otros!$K$3:$K")</f>
        <v>Otros!$K$3:$K</v>
      </c>
      <c r="J21" s="18" t="str">
        <f>IFERROR(__xludf.DUMMYFUNCTION("""COMPUTED_VALUE"""),"JulR!A:AT")</f>
        <v>JulR!A:AT</v>
      </c>
      <c r="K21" s="18" t="str">
        <f>IFERROR(__xludf.DUMMYFUNCTION("""COMPUTED_VALUE"""),"JulR!$A$1:$A")</f>
        <v>JulR!$A$1:$A</v>
      </c>
      <c r="L21" s="18" t="str">
        <f>IFERROR(__xludf.DUMMYFUNCTION("""COMPUTED_VALUE"""),"JulR!$A$6:$6")</f>
        <v>JulR!$A$6:$6</v>
      </c>
      <c r="M21" s="18" t="str">
        <f>IFERROR(__xludf.DUMMYFUNCTION("""COMPUTED_VALUE"""),"JulR")</f>
        <v>JulR</v>
      </c>
      <c r="N21" s="18"/>
      <c r="O21" s="18" t="str">
        <f>IFERROR(__xludf.DUMMYFUNCTION("""COMPUTED_VALUE"""),"(019) Rosa Gabriela Ortiz Galeana")</f>
        <v>(019) Rosa Gabriela Ortiz Galeana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18" t="str">
        <f>IFERROR(__xludf.DUMMYFUNCTION("""COMPUTED_VALUE"""),"(26) For Promocional")</f>
        <v>(26) For Promocional</v>
      </c>
      <c r="B22" s="18" t="str">
        <f>IFERROR(__xludf.DUMMYFUNCTION("""COMPUTED_VALUE"""),"B19 Comidas empleados")</f>
        <v>B19 Comidas empleados</v>
      </c>
      <c r="C22" s="18"/>
      <c r="D22" s="18"/>
      <c r="E22" s="18" t="str">
        <f>IFERROR(__xludf.DUMMYFUNCTION("""COMPUTED_VALUE"""),"(08) Agosto")</f>
        <v>(08) Agosto</v>
      </c>
      <c r="F22" s="18" t="str">
        <f>IFERROR(__xludf.DUMMYFUNCTION("""COMPUTED_VALUE"""),"Agosto")</f>
        <v>Agosto</v>
      </c>
      <c r="G22" s="18" t="str">
        <f>IFERROR(__xludf.DUMMYFUNCTION("""COMPUTED_VALUE"""),"Ago R")</f>
        <v>Ago R</v>
      </c>
      <c r="H22" s="18" t="str">
        <f>IFERROR(__xludf.DUMMYFUNCTION("""COMPUTED_VALUE"""),"Ago D")</f>
        <v>Ago D</v>
      </c>
      <c r="I22" s="18" t="str">
        <f>IFERROR(__xludf.DUMMYFUNCTION("""COMPUTED_VALUE"""),"Otros!$L$3:$L")</f>
        <v>Otros!$L$3:$L</v>
      </c>
      <c r="J22" s="18" t="str">
        <f>IFERROR(__xludf.DUMMYFUNCTION("""COMPUTED_VALUE"""),"AgoR!A:AT")</f>
        <v>AgoR!A:AT</v>
      </c>
      <c r="K22" s="18" t="str">
        <f>IFERROR(__xludf.DUMMYFUNCTION("""COMPUTED_VALUE"""),"AgoR!$A$1:$A")</f>
        <v>AgoR!$A$1:$A</v>
      </c>
      <c r="L22" s="18" t="str">
        <f>IFERROR(__xludf.DUMMYFUNCTION("""COMPUTED_VALUE"""),"AgoR!$A$6:$6")</f>
        <v>AgoR!$A$6:$6</v>
      </c>
      <c r="M22" s="18" t="str">
        <f>IFERROR(__xludf.DUMMYFUNCTION("""COMPUTED_VALUE"""),"AgoR")</f>
        <v>AgoR</v>
      </c>
      <c r="N22" s="18"/>
      <c r="O22" s="18" t="str">
        <f>IFERROR(__xludf.DUMMYFUNCTION("""COMPUTED_VALUE"""),"(020) Sanirent De Mexico Sa De Cv")</f>
        <v>(020) Sanirent De Mexico Sa De Cv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18" t="str">
        <f>IFERROR(__xludf.DUMMYFUNCTION("""COMPUTED_VALUE"""),"(28) Embajada de Canadá")</f>
        <v>(28) Embajada de Canadá</v>
      </c>
      <c r="B23" s="18" t="str">
        <f>IFERROR(__xludf.DUMMYFUNCTION("""COMPUTED_VALUE"""),"B20 Asesoría y gestoría")</f>
        <v>B20 Asesoría y gestoría</v>
      </c>
      <c r="C23" s="18"/>
      <c r="D23" s="18"/>
      <c r="E23" s="18" t="str">
        <f>IFERROR(__xludf.DUMMYFUNCTION("""COMPUTED_VALUE"""),"(09) Septiembre")</f>
        <v>(09) Septiembre</v>
      </c>
      <c r="F23" s="18" t="str">
        <f>IFERROR(__xludf.DUMMYFUNCTION("""COMPUTED_VALUE"""),"Septiembre")</f>
        <v>Septiembre</v>
      </c>
      <c r="G23" s="18" t="str">
        <f>IFERROR(__xludf.DUMMYFUNCTION("""COMPUTED_VALUE"""),"Sep R")</f>
        <v>Sep R</v>
      </c>
      <c r="H23" s="18" t="str">
        <f>IFERROR(__xludf.DUMMYFUNCTION("""COMPUTED_VALUE"""),"Sep D")</f>
        <v>Sep D</v>
      </c>
      <c r="I23" s="18" t="str">
        <f>IFERROR(__xludf.DUMMYFUNCTION("""COMPUTED_VALUE"""),"Otros!$M$3:$M")</f>
        <v>Otros!$M$3:$M</v>
      </c>
      <c r="J23" s="18" t="str">
        <f>IFERROR(__xludf.DUMMYFUNCTION("""COMPUTED_VALUE"""),"SepR!A:AT")</f>
        <v>SepR!A:AT</v>
      </c>
      <c r="K23" s="18" t="str">
        <f>IFERROR(__xludf.DUMMYFUNCTION("""COMPUTED_VALUE"""),"SepR!$A$1:$A")</f>
        <v>SepR!$A$1:$A</v>
      </c>
      <c r="L23" s="18" t="str">
        <f>IFERROR(__xludf.DUMMYFUNCTION("""COMPUTED_VALUE"""),"SepR!$A$6:$6")</f>
        <v>SepR!$A$6:$6</v>
      </c>
      <c r="M23" s="18" t="str">
        <f>IFERROR(__xludf.DUMMYFUNCTION("""COMPUTED_VALUE"""),"SepR")</f>
        <v>SepR</v>
      </c>
      <c r="N23" s="18"/>
      <c r="O23" s="18" t="str">
        <f>IFERROR(__xludf.DUMMYFUNCTION("""COMPUTED_VALUE"""),"(021) Consejo Nacional De Seguridad")</f>
        <v>(021) Consejo Nacional De Seguridad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18" t="str">
        <f>IFERROR(__xludf.DUMMYFUNCTION("""COMPUTED_VALUE"""),"(29) VFS Arquimedes ")</f>
        <v>(29) VFS Arquimedes </v>
      </c>
      <c r="B24" s="18" t="str">
        <f>IFERROR(__xludf.DUMMYFUNCTION("""COMPUTED_VALUE"""),"B21 Equipo de operación")</f>
        <v>B21 Equipo de operación</v>
      </c>
      <c r="C24" s="18"/>
      <c r="D24" s="18"/>
      <c r="E24" s="18" t="str">
        <f>IFERROR(__xludf.DUMMYFUNCTION("""COMPUTED_VALUE"""),"(10) Octubre")</f>
        <v>(10) Octubre</v>
      </c>
      <c r="F24" s="18" t="str">
        <f>IFERROR(__xludf.DUMMYFUNCTION("""COMPUTED_VALUE"""),"Octubre")</f>
        <v>Octubre</v>
      </c>
      <c r="G24" s="18" t="str">
        <f>IFERROR(__xludf.DUMMYFUNCTION("""COMPUTED_VALUE"""),"Oct R")</f>
        <v>Oct R</v>
      </c>
      <c r="H24" s="18" t="str">
        <f>IFERROR(__xludf.DUMMYFUNCTION("""COMPUTED_VALUE"""),"Oct D")</f>
        <v>Oct D</v>
      </c>
      <c r="I24" s="18" t="str">
        <f>IFERROR(__xludf.DUMMYFUNCTION("""COMPUTED_VALUE"""),"Otros!$N$3:$N")</f>
        <v>Otros!$N$3:$N</v>
      </c>
      <c r="J24" s="18" t="str">
        <f>IFERROR(__xludf.DUMMYFUNCTION("""COMPUTED_VALUE"""),"OctR!A:AT")</f>
        <v>OctR!A:AT</v>
      </c>
      <c r="K24" s="18" t="str">
        <f>IFERROR(__xludf.DUMMYFUNCTION("""COMPUTED_VALUE"""),"OctR!$A$1:$A")</f>
        <v>OctR!$A$1:$A</v>
      </c>
      <c r="L24" s="18" t="str">
        <f>IFERROR(__xludf.DUMMYFUNCTION("""COMPUTED_VALUE"""),"OctR!$A$6:$6")</f>
        <v>OctR!$A$6:$6</v>
      </c>
      <c r="M24" s="18" t="str">
        <f>IFERROR(__xludf.DUMMYFUNCTION("""COMPUTED_VALUE"""),"OctR")</f>
        <v>OctR</v>
      </c>
      <c r="N24" s="18"/>
      <c r="O24" s="18" t="str">
        <f>IFERROR(__xludf.DUMMYFUNCTION("""COMPUTED_VALUE"""),"(022) Ernesto Resendiz Hernandez")</f>
        <v>(022) Ernesto Resendiz Hernandez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18" t="str">
        <f>IFERROR(__xludf.DUMMYFUNCTION("""COMPUTED_VALUE"""),"(35) Plaza Polanco")</f>
        <v>(35) Plaza Polanco</v>
      </c>
      <c r="B25" s="18" t="str">
        <f>IFERROR(__xludf.DUMMYFUNCTION("""COMPUTED_VALUE"""),"B22 Equipo de capacitación")</f>
        <v>B22 Equipo de capacitación</v>
      </c>
      <c r="C25" s="18"/>
      <c r="D25" s="18"/>
      <c r="E25" s="18" t="str">
        <f>IFERROR(__xludf.DUMMYFUNCTION("""COMPUTED_VALUE"""),"(11) Noviembre")</f>
        <v>(11) Noviembre</v>
      </c>
      <c r="F25" s="18" t="str">
        <f>IFERROR(__xludf.DUMMYFUNCTION("""COMPUTED_VALUE"""),"Noviembre")</f>
        <v>Noviembre</v>
      </c>
      <c r="G25" s="18" t="str">
        <f>IFERROR(__xludf.DUMMYFUNCTION("""COMPUTED_VALUE"""),"Nov R")</f>
        <v>Nov R</v>
      </c>
      <c r="H25" s="18" t="str">
        <f>IFERROR(__xludf.DUMMYFUNCTION("""COMPUTED_VALUE"""),"Nov D")</f>
        <v>Nov D</v>
      </c>
      <c r="I25" s="18" t="str">
        <f>IFERROR(__xludf.DUMMYFUNCTION("""COMPUTED_VALUE"""),"Otros!$O$3:$O")</f>
        <v>Otros!$O$3:$O</v>
      </c>
      <c r="J25" s="18" t="str">
        <f>IFERROR(__xludf.DUMMYFUNCTION("""COMPUTED_VALUE"""),"NovR!A:AT")</f>
        <v>NovR!A:AT</v>
      </c>
      <c r="K25" s="18" t="str">
        <f>IFERROR(__xludf.DUMMYFUNCTION("""COMPUTED_VALUE"""),"NovR!$A$1:$A")</f>
        <v>NovR!$A$1:$A</v>
      </c>
      <c r="L25" s="18" t="str">
        <f>IFERROR(__xludf.DUMMYFUNCTION("""COMPUTED_VALUE"""),"NovR!$A$6:$6")</f>
        <v>NovR!$A$6:$6</v>
      </c>
      <c r="M25" s="18" t="str">
        <f>IFERROR(__xludf.DUMMYFUNCTION("""COMPUTED_VALUE"""),"NovR")</f>
        <v>NovR</v>
      </c>
      <c r="N25" s="18"/>
      <c r="O25" s="18" t="str">
        <f>IFERROR(__xludf.DUMMYFUNCTION("""COMPUTED_VALUE"""),"(023) Juan Guillermo Hernandez Diaz")</f>
        <v>(023) Juan Guillermo Hernandez Diaz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18" t="str">
        <f>IFERROR(__xludf.DUMMYFUNCTION("""COMPUTED_VALUE"""),"(36) Embajada de Australia")</f>
        <v>(36) Embajada de Australia</v>
      </c>
      <c r="B26" s="18" t="str">
        <f>IFERROR(__xludf.DUMMYFUNCTION("""COMPUTED_VALUE"""),"B23 Equipo Rondinero")</f>
        <v>B23 Equipo Rondinero</v>
      </c>
      <c r="C26" s="18"/>
      <c r="D26" s="18"/>
      <c r="E26" s="18" t="str">
        <f>IFERROR(__xludf.DUMMYFUNCTION("""COMPUTED_VALUE"""),"(12) Diciembre")</f>
        <v>(12) Diciembre</v>
      </c>
      <c r="F26" s="18" t="str">
        <f>IFERROR(__xludf.DUMMYFUNCTION("""COMPUTED_VALUE"""),"Diciembre")</f>
        <v>Diciembre</v>
      </c>
      <c r="G26" s="18" t="str">
        <f>IFERROR(__xludf.DUMMYFUNCTION("""COMPUTED_VALUE"""),"Dic R")</f>
        <v>Dic R</v>
      </c>
      <c r="H26" s="18" t="str">
        <f>IFERROR(__xludf.DUMMYFUNCTION("""COMPUTED_VALUE"""),"Dic D")</f>
        <v>Dic D</v>
      </c>
      <c r="I26" s="18" t="str">
        <f>IFERROR(__xludf.DUMMYFUNCTION("""COMPUTED_VALUE"""),"Otros!$P$3:$P")</f>
        <v>Otros!$P$3:$P</v>
      </c>
      <c r="J26" s="18" t="str">
        <f>IFERROR(__xludf.DUMMYFUNCTION("""COMPUTED_VALUE"""),"DicR!A:AT")</f>
        <v>DicR!A:AT</v>
      </c>
      <c r="K26" s="18" t="str">
        <f>IFERROR(__xludf.DUMMYFUNCTION("""COMPUTED_VALUE"""),"DicR!$A$1:$A")</f>
        <v>DicR!$A$1:$A</v>
      </c>
      <c r="L26" s="18" t="str">
        <f>IFERROR(__xludf.DUMMYFUNCTION("""COMPUTED_VALUE"""),"DicR!$A$6:$6")</f>
        <v>DicR!$A$6:$6</v>
      </c>
      <c r="M26" s="18" t="str">
        <f>IFERROR(__xludf.DUMMYFUNCTION("""COMPUTED_VALUE"""),"DicR")</f>
        <v>DicR</v>
      </c>
      <c r="N26" s="18"/>
      <c r="O26" s="18" t="str">
        <f>IFERROR(__xludf.DUMMYFUNCTION("""COMPUTED_VALUE"""),"(024) Efectivale S De Rl De Cv")</f>
        <v>(024) Efectivale S De Rl De Cv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18" t="str">
        <f>IFERROR(__xludf.DUMMYFUNCTION("""COMPUTED_VALUE"""),"(40) Aliah")</f>
        <v>(40) Aliah</v>
      </c>
      <c r="B27" s="18" t="str">
        <f>IFERROR(__xludf.DUMMYFUNCTION("""COMPUTED_VALUE"""),"B24 Equipo de seguridad")</f>
        <v>B24 Equipo de seguridad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 t="str">
        <f>IFERROR(__xludf.DUMMYFUNCTION("""COMPUTED_VALUE"""),"(025) Editorial Dmx Sa De Cv")</f>
        <v>(025) Editorial Dmx Sa De Cv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18" t="str">
        <f>IFERROR(__xludf.DUMMYFUNCTION("""COMPUTED_VALUE"""),"(42) Palmas")</f>
        <v>(42) Palmas</v>
      </c>
      <c r="B28" s="18" t="str">
        <f>IFERROR(__xludf.DUMMYFUNCTION("""COMPUTED_VALUE"""),"B25 Reparación equipo de operación")</f>
        <v>B25 Reparación equipo de operación</v>
      </c>
      <c r="C28" s="18"/>
      <c r="D28" s="18"/>
      <c r="E28" s="18" t="str">
        <f>IFERROR(__xludf.DUMMYFUNCTION("""COMPUTED_VALUE"""),"(01) Enero")</f>
        <v>(01) Enero</v>
      </c>
      <c r="F28" s="18" t="str">
        <f>IFERROR(__xludf.DUMMYFUNCTION("""COMPUTED_VALUE"""),"OtrosR!$E$3:$E")</f>
        <v>OtrosR!$E$3:$E</v>
      </c>
      <c r="G28" s="18" t="str">
        <f>IFERROR(__xludf.DUMMYFUNCTION("""COMPUTED_VALUE"""),"Gastos Admon Import!B7:B150")</f>
        <v>Gastos Admon Import!B7:B150</v>
      </c>
      <c r="H28" s="18" t="str">
        <f>IFERROR(__xludf.DUMMYFUNCTION("""COMPUTED_VALUE"""),"Enero")</f>
        <v>Enero</v>
      </c>
      <c r="I28" s="18" t="str">
        <f>IFERROR(__xludf.DUMMYFUNCTION("""COMPUTED_VALUE"""),"EneR")</f>
        <v>EneR</v>
      </c>
      <c r="J28" s="18"/>
      <c r="K28" s="18"/>
      <c r="L28" s="18"/>
      <c r="M28" s="18"/>
      <c r="N28" s="18"/>
      <c r="O28" s="18" t="str">
        <f>IFERROR(__xludf.DUMMYFUNCTION("""COMPUTED_VALUE"""),"(026) Patricia Ruvalcaba Salazar")</f>
        <v>(026) Patricia Ruvalcaba Salazar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18" t="str">
        <f>IFERROR(__xludf.DUMMYFUNCTION("""COMPUTED_VALUE"""),"(43) Negra Modelo")</f>
        <v>(43) Negra Modelo</v>
      </c>
      <c r="B29" s="18" t="str">
        <f>IFERROR(__xludf.DUMMYFUNCTION("""COMPUTED_VALUE"""),"B26 Mantenimiento equipo de operación")</f>
        <v>B26 Mantenimiento equipo de operación</v>
      </c>
      <c r="C29" s="18"/>
      <c r="D29" s="18"/>
      <c r="E29" s="18" t="str">
        <f>IFERROR(__xludf.DUMMYFUNCTION("""COMPUTED_VALUE"""),"(02) Febrero")</f>
        <v>(02) Febrero</v>
      </c>
      <c r="F29" s="18" t="str">
        <f>IFERROR(__xludf.DUMMYFUNCTION("""COMPUTED_VALUE"""),"OtrosR!$F$3:$F")</f>
        <v>OtrosR!$F$3:$F</v>
      </c>
      <c r="G29" s="18" t="str">
        <f>IFERROR(__xludf.DUMMYFUNCTION("""COMPUTED_VALUE"""),"Gastos Admon Import!C7:C150")</f>
        <v>Gastos Admon Import!C7:C150</v>
      </c>
      <c r="H29" s="18" t="str">
        <f>IFERROR(__xludf.DUMMYFUNCTION("""COMPUTED_VALUE"""),"Febrero")</f>
        <v>Febrero</v>
      </c>
      <c r="I29" s="18" t="str">
        <f>IFERROR(__xludf.DUMMYFUNCTION("""COMPUTED_VALUE"""),"FebR")</f>
        <v>FebR</v>
      </c>
      <c r="J29" s="18"/>
      <c r="K29" s="18"/>
      <c r="L29" s="18"/>
      <c r="M29" s="18"/>
      <c r="N29" s="18"/>
      <c r="O29" s="18" t="str">
        <f>IFERROR(__xludf.DUMMYFUNCTION("""COMPUTED_VALUE"""),"(027) Jose Juan Rosales Velarde")</f>
        <v>(027) Jose Juan Rosales Velarde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18" t="str">
        <f>IFERROR(__xludf.DUMMYFUNCTION("""COMPUTED_VALUE"""),"(46) Green Tower")</f>
        <v>(46) Green Tower</v>
      </c>
      <c r="B30" s="18" t="str">
        <f>IFERROR(__xludf.DUMMYFUNCTION("""COMPUTED_VALUE"""),"B27 Publicidad")</f>
        <v>B27 Publicidad</v>
      </c>
      <c r="C30" s="18"/>
      <c r="D30" s="18"/>
      <c r="E30" s="18" t="str">
        <f>IFERROR(__xludf.DUMMYFUNCTION("""COMPUTED_VALUE"""),"(03) Marzo")</f>
        <v>(03) Marzo</v>
      </c>
      <c r="F30" s="18" t="str">
        <f>IFERROR(__xludf.DUMMYFUNCTION("""COMPUTED_VALUE"""),"OtrosR!$G$3:$G")</f>
        <v>OtrosR!$G$3:$G</v>
      </c>
      <c r="G30" s="18" t="str">
        <f>IFERROR(__xludf.DUMMYFUNCTION("""COMPUTED_VALUE"""),"Gastos Admon Import!D7:D150")</f>
        <v>Gastos Admon Import!D7:D150</v>
      </c>
      <c r="H30" s="18" t="str">
        <f>IFERROR(__xludf.DUMMYFUNCTION("""COMPUTED_VALUE"""),"Marzo")</f>
        <v>Marzo</v>
      </c>
      <c r="I30" s="18" t="str">
        <f>IFERROR(__xludf.DUMMYFUNCTION("""COMPUTED_VALUE"""),"MarR")</f>
        <v>MarR</v>
      </c>
      <c r="J30" s="18"/>
      <c r="K30" s="18"/>
      <c r="L30" s="18"/>
      <c r="M30" s="18"/>
      <c r="N30" s="18"/>
      <c r="O30" s="18" t="str">
        <f>IFERROR(__xludf.DUMMYFUNCTION("""COMPUTED_VALUE"""),"(028) Camara Nacional De Comercio De")</f>
        <v>(028) Camara Nacional De Comercio De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18" t="str">
        <f>IFERROR(__xludf.DUMMYFUNCTION("""COMPUTED_VALUE"""),"(47) IB-Group")</f>
        <v>(47) IB-Group</v>
      </c>
      <c r="B31" s="18" t="str">
        <f>IFERROR(__xludf.DUMMYFUNCTION("""COMPUTED_VALUE"""),"B28 Suministros de oficina")</f>
        <v>B28 Suministros de oficina</v>
      </c>
      <c r="C31" s="18"/>
      <c r="D31" s="18"/>
      <c r="E31" s="18" t="str">
        <f>IFERROR(__xludf.DUMMYFUNCTION("""COMPUTED_VALUE"""),"(04) Abril")</f>
        <v>(04) Abril</v>
      </c>
      <c r="F31" s="18" t="str">
        <f>IFERROR(__xludf.DUMMYFUNCTION("""COMPUTED_VALUE"""),"OtrosR!$H$3:$H")</f>
        <v>OtrosR!$H$3:$H</v>
      </c>
      <c r="G31" s="18" t="str">
        <f>IFERROR(__xludf.DUMMYFUNCTION("""COMPUTED_VALUE"""),"Gastos Admon Import!E7:E150")</f>
        <v>Gastos Admon Import!E7:E150</v>
      </c>
      <c r="H31" s="18" t="str">
        <f>IFERROR(__xludf.DUMMYFUNCTION("""COMPUTED_VALUE"""),"Abril")</f>
        <v>Abril</v>
      </c>
      <c r="I31" s="18" t="str">
        <f>IFERROR(__xludf.DUMMYFUNCTION("""COMPUTED_VALUE"""),"AbrR")</f>
        <v>AbrR</v>
      </c>
      <c r="J31" s="18"/>
      <c r="K31" s="18"/>
      <c r="L31" s="18"/>
      <c r="M31" s="18"/>
      <c r="N31" s="18"/>
      <c r="O31" s="18" t="str">
        <f>IFERROR(__xludf.DUMMYFUNCTION("""COMPUTED_VALUE"""),"(029) Paraguas Iberia Int Sa De Cv")</f>
        <v>(029) Paraguas Iberia Int Sa De Cv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18" t="str">
        <f>IFERROR(__xludf.DUMMYFUNCTION("""COMPUTED_VALUE"""),"(48) Sonda-Nuevo León")</f>
        <v>(48) Sonda-Nuevo León</v>
      </c>
      <c r="B32" s="18" t="str">
        <f>IFERROR(__xludf.DUMMYFUNCTION("""COMPUTED_VALUE"""),"B29 Varios")</f>
        <v>B29 Varios</v>
      </c>
      <c r="C32" s="18"/>
      <c r="D32" s="18"/>
      <c r="E32" s="18" t="str">
        <f>IFERROR(__xludf.DUMMYFUNCTION("""COMPUTED_VALUE"""),"(05) Mayo")</f>
        <v>(05) Mayo</v>
      </c>
      <c r="F32" s="18" t="str">
        <f>IFERROR(__xludf.DUMMYFUNCTION("""COMPUTED_VALUE"""),"OtrosR!$I$3:$I")</f>
        <v>OtrosR!$I$3:$I</v>
      </c>
      <c r="G32" s="18" t="str">
        <f>IFERROR(__xludf.DUMMYFUNCTION("""COMPUTED_VALUE"""),"Gastos Admon Import!F7:F150")</f>
        <v>Gastos Admon Import!F7:F150</v>
      </c>
      <c r="H32" s="18" t="str">
        <f>IFERROR(__xludf.DUMMYFUNCTION("""COMPUTED_VALUE"""),"Mayo")</f>
        <v>Mayo</v>
      </c>
      <c r="I32" s="18" t="str">
        <f>IFERROR(__xludf.DUMMYFUNCTION("""COMPUTED_VALUE"""),"MayR")</f>
        <v>MayR</v>
      </c>
      <c r="J32" s="18"/>
      <c r="K32" s="18"/>
      <c r="L32" s="18"/>
      <c r="M32" s="18"/>
      <c r="N32" s="18"/>
      <c r="O32" s="18" t="str">
        <f>IFERROR(__xludf.DUMMYFUNCTION("""COMPUTED_VALUE"""),"(030) Alejandro Monroy Sanchez")</f>
        <v>(030) Alejandro Monroy Sanchez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18" t="str">
        <f>IFERROR(__xludf.DUMMYFUNCTION("""COMPUTED_VALUE"""),"(49) DeUna")</f>
        <v>(49) DeUna</v>
      </c>
      <c r="B33" s="18" t="str">
        <f>IFERROR(__xludf.DUMMYFUNCTION("""COMPUTED_VALUE"""),"B30 Artículos de Limpieza")</f>
        <v>B30 Artículos de Limpieza</v>
      </c>
      <c r="C33" s="18"/>
      <c r="D33" s="18"/>
      <c r="E33" s="18" t="str">
        <f>IFERROR(__xludf.DUMMYFUNCTION("""COMPUTED_VALUE"""),"(06) Junio")</f>
        <v>(06) Junio</v>
      </c>
      <c r="F33" s="18" t="str">
        <f>IFERROR(__xludf.DUMMYFUNCTION("""COMPUTED_VALUE"""),"OtrosR!$J$3:$J")</f>
        <v>OtrosR!$J$3:$J</v>
      </c>
      <c r="G33" s="18" t="str">
        <f>IFERROR(__xludf.DUMMYFUNCTION("""COMPUTED_VALUE"""),"Gastos Admon Import!G7:G150")</f>
        <v>Gastos Admon Import!G7:G150</v>
      </c>
      <c r="H33" s="18" t="str">
        <f>IFERROR(__xludf.DUMMYFUNCTION("""COMPUTED_VALUE"""),"Junio")</f>
        <v>Junio</v>
      </c>
      <c r="I33" s="18" t="str">
        <f>IFERROR(__xludf.DUMMYFUNCTION("""COMPUTED_VALUE"""),"JunR")</f>
        <v>JunR</v>
      </c>
      <c r="J33" s="18"/>
      <c r="K33" s="18"/>
      <c r="L33" s="18"/>
      <c r="M33" s="18"/>
      <c r="N33" s="18"/>
      <c r="O33" s="18" t="str">
        <f>IFERROR(__xludf.DUMMYFUNCTION("""COMPUTED_VALUE"""),"(031) Maria De Los Angeles Salas Gau")</f>
        <v>(031) Maria De Los Angeles Salas Gau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18" t="str">
        <f>IFERROR(__xludf.DUMMYFUNCTION("""COMPUTED_VALUE"""),"(50) Ampliequipos")</f>
        <v>(50) Ampliequipos</v>
      </c>
      <c r="B34" s="18" t="str">
        <f>IFERROR(__xludf.DUMMYFUNCTION("""COMPUTED_VALUE"""),"B31 No deducibles")</f>
        <v>B31 No deducibles</v>
      </c>
      <c r="C34" s="18"/>
      <c r="D34" s="18"/>
      <c r="E34" s="18" t="str">
        <f>IFERROR(__xludf.DUMMYFUNCTION("""COMPUTED_VALUE"""),"(07) Julio")</f>
        <v>(07) Julio</v>
      </c>
      <c r="F34" s="18" t="str">
        <f>IFERROR(__xludf.DUMMYFUNCTION("""COMPUTED_VALUE"""),"OtrosR!$K$3:$K")</f>
        <v>OtrosR!$K$3:$K</v>
      </c>
      <c r="G34" s="18" t="str">
        <f>IFERROR(__xludf.DUMMYFUNCTION("""COMPUTED_VALUE"""),"Gastos Admon Import!H7:H150")</f>
        <v>Gastos Admon Import!H7:H150</v>
      </c>
      <c r="H34" s="18" t="str">
        <f>IFERROR(__xludf.DUMMYFUNCTION("""COMPUTED_VALUE"""),"julio")</f>
        <v>julio</v>
      </c>
      <c r="I34" s="18" t="str">
        <f>IFERROR(__xludf.DUMMYFUNCTION("""COMPUTED_VALUE"""),"JulR")</f>
        <v>JulR</v>
      </c>
      <c r="J34" s="18"/>
      <c r="K34" s="18"/>
      <c r="L34" s="18"/>
      <c r="M34" s="18"/>
      <c r="N34" s="18"/>
      <c r="O34" s="18" t="str">
        <f>IFERROR(__xludf.DUMMYFUNCTION("""COMPUTED_VALUE"""),"(032) Notarios Caceres Sc")</f>
        <v>(032) Notarios Caceres Sc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18" t="str">
        <f>IFERROR(__xludf.DUMMYFUNCTION("""COMPUTED_VALUE"""),"(51) Revlon")</f>
        <v>(51) Revlon</v>
      </c>
      <c r="B35" s="18"/>
      <c r="C35" s="18"/>
      <c r="D35" s="18"/>
      <c r="E35" s="18" t="str">
        <f>IFERROR(__xludf.DUMMYFUNCTION("""COMPUTED_VALUE"""),"(08) Agosto")</f>
        <v>(08) Agosto</v>
      </c>
      <c r="F35" s="18" t="str">
        <f>IFERROR(__xludf.DUMMYFUNCTION("""COMPUTED_VALUE"""),"OtrosR!$L$3:$L")</f>
        <v>OtrosR!$L$3:$L</v>
      </c>
      <c r="G35" s="18" t="str">
        <f>IFERROR(__xludf.DUMMYFUNCTION("""COMPUTED_VALUE"""),"Gastos Admon Import!I7:I150")</f>
        <v>Gastos Admon Import!I7:I150</v>
      </c>
      <c r="H35" s="18" t="str">
        <f>IFERROR(__xludf.DUMMYFUNCTION("""COMPUTED_VALUE"""),"Agosto")</f>
        <v>Agosto</v>
      </c>
      <c r="I35" s="18" t="str">
        <f>IFERROR(__xludf.DUMMYFUNCTION("""COMPUTED_VALUE"""),"AgoR")</f>
        <v>AgoR</v>
      </c>
      <c r="J35" s="18"/>
      <c r="K35" s="18"/>
      <c r="L35" s="18"/>
      <c r="M35" s="18"/>
      <c r="N35" s="18"/>
      <c r="O35" s="18" t="str">
        <f>IFERROR(__xludf.DUMMYFUNCTION("""COMPUTED_VALUE"""),"(033) Delfina Aguilar Sandoval")</f>
        <v>(033) Delfina Aguilar Sandoval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18" t="str">
        <f>IFERROR(__xludf.DUMMYFUNCTION("""COMPUTED_VALUE"""),"(53) Aliah-Chapultepec")</f>
        <v>(53) Aliah-Chapultepec</v>
      </c>
      <c r="B36" s="18"/>
      <c r="C36" s="18"/>
      <c r="D36" s="18"/>
      <c r="E36" s="18" t="str">
        <f>IFERROR(__xludf.DUMMYFUNCTION("""COMPUTED_VALUE"""),"(09) Septiembre")</f>
        <v>(09) Septiembre</v>
      </c>
      <c r="F36" s="18" t="str">
        <f>IFERROR(__xludf.DUMMYFUNCTION("""COMPUTED_VALUE"""),"OtrosR!$M$3:$M")</f>
        <v>OtrosR!$M$3:$M</v>
      </c>
      <c r="G36" s="18" t="str">
        <f>IFERROR(__xludf.DUMMYFUNCTION("""COMPUTED_VALUE"""),"Gastos Admon Import!J7:J150")</f>
        <v>Gastos Admon Import!J7:J150</v>
      </c>
      <c r="H36" s="18" t="str">
        <f>IFERROR(__xludf.DUMMYFUNCTION("""COMPUTED_VALUE"""),"Septiembre")</f>
        <v>Septiembre</v>
      </c>
      <c r="I36" s="18" t="str">
        <f>IFERROR(__xludf.DUMMYFUNCTION("""COMPUTED_VALUE"""),"SepR")</f>
        <v>SepR</v>
      </c>
      <c r="J36" s="18"/>
      <c r="K36" s="18"/>
      <c r="L36" s="18"/>
      <c r="M36" s="18"/>
      <c r="N36" s="18"/>
      <c r="O36" s="18" t="str">
        <f>IFERROR(__xludf.DUMMYFUNCTION("""COMPUTED_VALUE"""),"(044) R3J3 Sa De Cv")</f>
        <v>(044) R3J3 Sa De Cv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18" t="str">
        <f>IFERROR(__xludf.DUMMYFUNCTION("""COMPUTED_VALUE"""),"(34) Radiatas")</f>
        <v>(34) Radiatas</v>
      </c>
      <c r="B37" s="18"/>
      <c r="C37" s="18"/>
      <c r="D37" s="18"/>
      <c r="E37" s="18" t="str">
        <f>IFERROR(__xludf.DUMMYFUNCTION("""COMPUTED_VALUE"""),"(10) Octubre")</f>
        <v>(10) Octubre</v>
      </c>
      <c r="F37" s="18" t="str">
        <f>IFERROR(__xludf.DUMMYFUNCTION("""COMPUTED_VALUE"""),"OtrosR!$N$3:$N")</f>
        <v>OtrosR!$N$3:$N</v>
      </c>
      <c r="G37" s="18" t="str">
        <f>IFERROR(__xludf.DUMMYFUNCTION("""COMPUTED_VALUE"""),"Gastos Admon Import!K7:K150")</f>
        <v>Gastos Admon Import!K7:K150</v>
      </c>
      <c r="H37" s="18" t="str">
        <f>IFERROR(__xludf.DUMMYFUNCTION("""COMPUTED_VALUE"""),"Octubre")</f>
        <v>Octubre</v>
      </c>
      <c r="I37" s="18" t="str">
        <f>IFERROR(__xludf.DUMMYFUNCTION("""COMPUTED_VALUE"""),"OctR")</f>
        <v>OctR</v>
      </c>
      <c r="J37" s="18"/>
      <c r="K37" s="18"/>
      <c r="L37" s="18"/>
      <c r="M37" s="18"/>
      <c r="N37" s="18"/>
      <c r="O37" s="18" t="str">
        <f>IFERROR(__xludf.DUMMYFUNCTION("""COMPUTED_VALUE"""),"(045) Proxiguard Mexico Sa De Cv")</f>
        <v>(045) Proxiguard Mexico Sa De Cv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18" t="str">
        <f>IFERROR(__xludf.DUMMYFUNCTION("""COMPUTED_VALUE"""),"(25) Urbano Town")</f>
        <v>(25) Urbano Town</v>
      </c>
      <c r="B38" s="18"/>
      <c r="C38" s="18"/>
      <c r="D38" s="18"/>
      <c r="E38" s="18" t="str">
        <f>IFERROR(__xludf.DUMMYFUNCTION("""COMPUTED_VALUE"""),"(11) Noviembre")</f>
        <v>(11) Noviembre</v>
      </c>
      <c r="F38" s="18" t="str">
        <f>IFERROR(__xludf.DUMMYFUNCTION("""COMPUTED_VALUE"""),"OtrosR!$O$3:$O")</f>
        <v>OtrosR!$O$3:$O</v>
      </c>
      <c r="G38" s="18" t="str">
        <f>IFERROR(__xludf.DUMMYFUNCTION("""COMPUTED_VALUE"""),"Gastos Admon Import!L7:L150")</f>
        <v>Gastos Admon Import!L7:L150</v>
      </c>
      <c r="H38" s="18" t="str">
        <f>IFERROR(__xludf.DUMMYFUNCTION("""COMPUTED_VALUE"""),"Noviembre")</f>
        <v>Noviembre</v>
      </c>
      <c r="I38" s="18" t="str">
        <f>IFERROR(__xludf.DUMMYFUNCTION("""COMPUTED_VALUE"""),"NovR")</f>
        <v>NovR</v>
      </c>
      <c r="J38" s="18"/>
      <c r="K38" s="18"/>
      <c r="L38" s="18"/>
      <c r="M38" s="18"/>
      <c r="N38" s="18"/>
      <c r="O38" s="18" t="str">
        <f>IFERROR(__xludf.DUMMYFUNCTION("""COMPUTED_VALUE"""),"(046) Joes Corp Interactive Sa De Cv")</f>
        <v>(046) Joes Corp Interactive Sa De Cv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18" t="str">
        <f>IFERROR(__xludf.DUMMYFUNCTION("""COMPUTED_VALUE"""),"(56) Sonda Bodega AP")</f>
        <v>(56) Sonda Bodega AP</v>
      </c>
      <c r="B39" s="18"/>
      <c r="C39" s="18"/>
      <c r="D39" s="18"/>
      <c r="E39" s="18" t="str">
        <f>IFERROR(__xludf.DUMMYFUNCTION("""COMPUTED_VALUE"""),"(12) Diciembre")</f>
        <v>(12) Diciembre</v>
      </c>
      <c r="F39" s="18" t="str">
        <f>IFERROR(__xludf.DUMMYFUNCTION("""COMPUTED_VALUE"""),"OtrosR!$P$3:$P")</f>
        <v>OtrosR!$P$3:$P</v>
      </c>
      <c r="G39" s="18" t="str">
        <f>IFERROR(__xludf.DUMMYFUNCTION("""COMPUTED_VALUE"""),"Gastos Admon Import!M7:M150")</f>
        <v>Gastos Admon Import!M7:M150</v>
      </c>
      <c r="H39" s="18" t="str">
        <f>IFERROR(__xludf.DUMMYFUNCTION("""COMPUTED_VALUE"""),"Diciembre")</f>
        <v>Diciembre</v>
      </c>
      <c r="I39" s="18" t="str">
        <f>IFERROR(__xludf.DUMMYFUNCTION("""COMPUTED_VALUE"""),"DicR")</f>
        <v>DicR</v>
      </c>
      <c r="J39" s="18"/>
      <c r="K39" s="18"/>
      <c r="L39" s="18"/>
      <c r="M39" s="18"/>
      <c r="N39" s="18"/>
      <c r="O39" s="18" t="str">
        <f>IFERROR(__xludf.DUMMYFUNCTION("""COMPUTED_VALUE"""),"(047) Marcas Y Patentes En Linea Sc")</f>
        <v>(047) Marcas Y Patentes En Linea Sc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18" t="str">
        <f>IFERROR(__xludf.DUMMYFUNCTION("""COMPUTED_VALUE"""),"(57) Nuevo 4")</f>
        <v>(57) Nuevo 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 t="str">
        <f>IFERROR(__xludf.DUMMYFUNCTION("""COMPUTED_VALUE"""),"(048) Javier Benitez Vega")</f>
        <v>(048) Javier Benitez Vega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18" t="str">
        <f>IFERROR(__xludf.DUMMYFUNCTION("""COMPUTED_VALUE"""),"(58) Nuevo 5")</f>
        <v>(58) Nuevo 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 t="str">
        <f>IFERROR(__xludf.DUMMYFUNCTION("""COMPUTED_VALUE"""),"(049) Estrategia En Sistemas Adminis")</f>
        <v>(049) Estrategia En Sistemas Adminis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18" t="str">
        <f>IFERROR(__xludf.DUMMYFUNCTION("""COMPUTED_VALUE"""),"(44) Zendere")</f>
        <v>(44) Zendere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 t="str">
        <f>IFERROR(__xludf.DUMMYFUNCTION("""COMPUTED_VALUE"""),"(050) Afianzadora Sofimex Sa")</f>
        <v>(050) Afianzadora Sofimex Sa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 t="str">
        <f>IFERROR(__xludf.DUMMYFUNCTION("""COMPUTED_VALUE"""),"(051) Qualitas Compañia De Seguros S")</f>
        <v>(051) Qualitas Compañia De Seguros S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 t="str">
        <f>IFERROR(__xludf.DUMMYFUNCTION("""COMPUTED_VALUE"""),"(052) Linda Yesenia Herrera Leyva")</f>
        <v>(052) Linda Yesenia Herrera Leyva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 t="str">
        <f>IFERROR(__xludf.DUMMYFUNCTION("""COMPUTED_VALUE"""),"(053) Ehs Asessment And Infraestruct")</f>
        <v>(053) Ehs Asessment And Infraestruct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 t="str">
        <f>IFERROR(__xludf.DUMMYFUNCTION("""COMPUTED_VALUE"""),"(054) Secretaria De Finanzas De La C")</f>
        <v>(054) Secretaria De Finanzas De La C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 t="str">
        <f>IFERROR(__xludf.DUMMYFUNCTION("""COMPUTED_VALUE"""),"(055) Axa Seguros Sa De Cv")</f>
        <v>(055) Axa Seguros Sa De Cv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 t="str">
        <f>IFERROR(__xludf.DUMMYFUNCTION("""COMPUTED_VALUE"""),"(056) Dahfsa De Mexico Sa De Cv")</f>
        <v>(056) Dahfsa De Mexico Sa De Cv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 t="str">
        <f>IFERROR(__xludf.DUMMYFUNCTION("""COMPUTED_VALUE"""),"(057) La Casa Del Guante Soledad Sa")</f>
        <v>(057) La Casa Del Guante Soledad Sa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 t="str">
        <f>IFERROR(__xludf.DUMMYFUNCTION("""COMPUTED_VALUE"""),"(058) Telefonos De Mexico Sa De Cv")</f>
        <v>(058) Telefonos De Mexico Sa De Cv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 t="str">
        <f>IFERROR(__xludf.DUMMYFUNCTION("""COMPUTED_VALUE"""),"(059) Cyberpuerta Sa De Cv")</f>
        <v>(059) Cyberpuerta Sa De Cv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 t="str">
        <f>IFERROR(__xludf.DUMMYFUNCTION("""COMPUTED_VALUE"""),"(060) Empacadora El Fresno Sa De Cv")</f>
        <v>(060) Empacadora El Fresno Sa De Cv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 t="str">
        <f>IFERROR(__xludf.DUMMYFUNCTION("""COMPUTED_VALUE"""),"(061) Ivan Diaz Garcia")</f>
        <v>(061) Ivan Diaz Garcia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 t="str">
        <f>IFERROR(__xludf.DUMMYFUNCTION("""COMPUTED_VALUE"""),"(062) Endomex Sa De Cv")</f>
        <v>(062) Endomex Sa De Cv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 t="str">
        <f>IFERROR(__xludf.DUMMYFUNCTION("""COMPUTED_VALUE"""),"(063) Marketing Followers Sa De Cv")</f>
        <v>(063) Marketing Followers Sa De Cv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 t="str">
        <f>IFERROR(__xludf.DUMMYFUNCTION("""COMPUTED_VALUE"""),"(064) Virginia Isabel Camacho Martin")</f>
        <v>(064) Virginia Isabel Camacho Martin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 t="str">
        <f>IFERROR(__xludf.DUMMYFUNCTION("""COMPUTED_VALUE"""),"(065) Mb Certification Mexico Sc")</f>
        <v>(065) Mb Certification Mexico Sc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 t="str">
        <f>IFERROR(__xludf.DUMMYFUNCTION("""COMPUTED_VALUE"""),"(066) Comunicacion Global Monytor Sa")</f>
        <v>(066) Comunicacion Global Monytor Sa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 t="str">
        <f>IFERROR(__xludf.DUMMYFUNCTION("""COMPUTED_VALUE"""),"(067) Sistemas Informacion Satelital")</f>
        <v>(067) Sistemas Informacion Satelital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 t="str">
        <f>IFERROR(__xludf.DUMMYFUNCTION("""COMPUTED_VALUE"""),"(068) Horacio Garcia Barron")</f>
        <v>(068) Horacio Garcia Barron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 t="str">
        <f>IFERROR(__xludf.DUMMYFUNCTION("""COMPUTED_VALUE"""),"(069) Nodo Final Sa De Cv")</f>
        <v>(069) Nodo Final Sa De Cv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 t="str">
        <f>IFERROR(__xludf.DUMMYFUNCTION("""COMPUTED_VALUE"""),"(070) Tesoreria De La Federacion")</f>
        <v>(070) Tesoreria De La Federacion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 t="str">
        <f>IFERROR(__xludf.DUMMYFUNCTION("""COMPUTED_VALUE"""),"(071) Secretaria De Finanzas Del Gob")</f>
        <v>(071) Secretaria De Finanzas Del Gob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 t="str">
        <f>IFERROR(__xludf.DUMMYFUNCTION("""COMPUTED_VALUE"""),"(072) Antelmo Zavala Vigueras")</f>
        <v>(072) Antelmo Zavala Vigueras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 t="str">
        <f>IFERROR(__xludf.DUMMYFUNCTION("""COMPUTED_VALUE"""),"(073) Sofimex, Institucion De Garant")</f>
        <v>(073) Sofimex, Institucion De Garant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 t="str">
        <f>IFERROR(__xludf.DUMMYFUNCTION("""COMPUTED_VALUE"""),"(074) Maria Teresa Alvarado Gonzalez")</f>
        <v>(074) Maria Teresa Alvarado Gonzalez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 t="str">
        <f>IFERROR(__xludf.DUMMYFUNCTION("""COMPUTED_VALUE"""),"(075) Comercializadora Ypsilon Sa De")</f>
        <v>(075) Comercializadora Ypsilon Sa De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 t="str">
        <f>IFERROR(__xludf.DUMMYFUNCTION("""COMPUTED_VALUE"""),"(076) Gpr Comunicaciones Sa De Cv")</f>
        <v>(076) Gpr Comunicaciones Sa De Cv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 t="str">
        <f>IFERROR(__xludf.DUMMYFUNCTION("""COMPUTED_VALUE"""),"(077) Tania Rubi Monroy Camacho")</f>
        <v>(077) Tania Rubi Monroy Camacho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 t="str">
        <f>IFERROR(__xludf.DUMMYFUNCTION("""COMPUTED_VALUE"""),"(078) Roanda Comercial Inc Sa De Cv")</f>
        <v>(078) Roanda Comercial Inc Sa De Cv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 t="str">
        <f>IFERROR(__xludf.DUMMYFUNCTION("""COMPUTED_VALUE"""),"(079) Grupo Nacional Provincial Sab")</f>
        <v>(079) Grupo Nacional Provincial Sab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 t="str">
        <f>IFERROR(__xludf.DUMMYFUNCTION("""COMPUTED_VALUE"""),"(080) Real Power Systems Mexico")</f>
        <v>(080) Real Power Systems Mexico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 t="str">
        <f>IFERROR(__xludf.DUMMYFUNCTION("""COMPUTED_VALUE"""),"(081) Solis Camara Y Compañia Sc")</f>
        <v>(081) Solis Camara Y Compañia Sc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 t="str">
        <f>IFERROR(__xludf.DUMMYFUNCTION("""COMPUTED_VALUE"""),"(082) Carlos Valdes Garcia")</f>
        <v>(082) Carlos Valdes Garcia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 t="str">
        <f>IFERROR(__xludf.DUMMYFUNCTION("""COMPUTED_VALUE"""),"(083) Formato Ergon Sa De Cv")</f>
        <v>(083) Formato Ergon Sa De Cv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 t="str">
        <f>IFERROR(__xludf.DUMMYFUNCTION("""COMPUTED_VALUE"""),"(084) Natera Consultores Sc")</f>
        <v>(084) Natera Consultores Sc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 t="str">
        <f>IFERROR(__xludf.DUMMYFUNCTION("""COMPUTED_VALUE"""),"(085) Raul Rojas Lugo")</f>
        <v>(085) Raul Rojas Lugo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 t="str">
        <f>IFERROR(__xludf.DUMMYFUNCTION("""COMPUTED_VALUE"""),"(086) Comercializadora Guibor Sa De")</f>
        <v>(086) Comercializadora Guibor Sa De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 t="str">
        <f>IFERROR(__xludf.DUMMYFUNCTION("""COMPUTED_VALUE"""),"(087) 360 Sistemas Y Comunicaciones")</f>
        <v>(087) 360 Sistemas Y Comunicaciones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 t="str">
        <f>IFERROR(__xludf.DUMMYFUNCTION("""COMPUTED_VALUE"""),"(088) Miguel Angel Olguin Ortega")</f>
        <v>(088) Miguel Angel Olguin Ortega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 t="str">
        <f>IFERROR(__xludf.DUMMYFUNCTION("""COMPUTED_VALUE"""),"(089) Gleeson Ruiz Sc")</f>
        <v>(089) Gleeson Ruiz Sc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 t="str">
        <f>IFERROR(__xludf.DUMMYFUNCTION("""COMPUTED_VALUE"""),"(090) Francisco De La Barrera Espino")</f>
        <v>(090) Francisco De La Barrera Espino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 t="str">
        <f>IFERROR(__xludf.DUMMYFUNCTION("""COMPUTED_VALUE"""),"(091) Aaron Hamui Heifetz")</f>
        <v>(091) Aaron Hamui Heifetz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 t="str">
        <f>IFERROR(__xludf.DUMMYFUNCTION("""COMPUTED_VALUE"""),"(092) Hugo Enrique Sanchez Segura")</f>
        <v>(092) Hugo Enrique Sanchez Segura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 t="str">
        <f>IFERROR(__xludf.DUMMYFUNCTION("""COMPUTED_VALUE"""),"(093) Servillantas Siete Leguas Sa D")</f>
        <v>(093) Servillantas Siete Leguas Sa D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 t="str">
        <f>IFERROR(__xludf.DUMMYFUNCTION("""COMPUTED_VALUE"""),"(094) Imakeba Capital Intelectual Sc")</f>
        <v>(094) Imakeba Capital Intelectual Sc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 t="str">
        <f>IFERROR(__xludf.DUMMYFUNCTION("""COMPUTED_VALUE"""),"(095) Jose Manuel Campos Monroy")</f>
        <v>(095) Jose Manuel Campos Monroy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 t="str">
        <f>IFERROR(__xludf.DUMMYFUNCTION("""COMPUTED_VALUE"""),"(096) Rafael Sanchez Guzman")</f>
        <v>(096) Rafael Sanchez Guzman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 t="str">
        <f>IFERROR(__xludf.DUMMYFUNCTION("""COMPUTED_VALUE"""),"(097) Sobre Todo Soluciones Y Result")</f>
        <v>(097) Sobre Todo Soluciones Y Result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 t="str">
        <f>IFERROR(__xludf.DUMMYFUNCTION("""COMPUTED_VALUE"""),"(098) Efren Armando Rodriguez Gonzal")</f>
        <v>(098) Efren Armando Rodriguez Gonzal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 t="str">
        <f>IFERROR(__xludf.DUMMYFUNCTION("""COMPUTED_VALUE"""),"(099) Chrisalim Abastecedora De Prod")</f>
        <v>(099) Chrisalim Abastecedora De Prod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 t="str">
        <f>IFERROR(__xludf.DUMMYFUNCTION("""COMPUTED_VALUE"""),"(100) Tarjeta De Credito")</f>
        <v>(100) Tarjeta De Credito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 t="str">
        <f>IFERROR(__xludf.DUMMYFUNCTION("""COMPUTED_VALUE"""),"(101) Cuidado Con El Editor Sa De Cv")</f>
        <v>(101) Cuidado Con El Editor Sa De Cv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 t="str">
        <f>IFERROR(__xludf.DUMMYFUNCTION("""COMPUTED_VALUE"""),"(102) Luis Armando Guerena Barrera")</f>
        <v>(102) Luis Armando Guerena Barrera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 t="str">
        <f>IFERROR(__xludf.DUMMYFUNCTION("""COMPUTED_VALUE"""),"(103) Hugo Casasanero Orduña")</f>
        <v>(103) Hugo Casasanero Orduña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 t="str">
        <f>IFERROR(__xludf.DUMMYFUNCTION("""COMPUTED_VALUE"""),"(104) Radio Xefr S De Rl De Cv")</f>
        <v>(104) Radio Xefr S De Rl De Cv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 t="str">
        <f>IFERROR(__xludf.DUMMYFUNCTION("""COMPUTED_VALUE"""),"(105) Radio Frecuencia Modulada S De")</f>
        <v>(105) Radio Frecuencia Modulada S De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 t="str">
        <f>IFERROR(__xludf.DUMMYFUNCTION("""COMPUTED_VALUE"""),"(106) Radio Xhsh S De Rl De Cv")</f>
        <v>(106) Radio Xhsh S De Rl De Cv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 t="str">
        <f>IFERROR(__xludf.DUMMYFUNCTION("""COMPUTED_VALUE"""),"(107) Radio 888 S De Rl De Cv")</f>
        <v>(107) Radio 888 S De Rl De Cv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 t="str">
        <f>IFERROR(__xludf.DUMMYFUNCTION("""COMPUTED_VALUE"""),"(108) Griselda Marlen Escobedo Sanch")</f>
        <v>(108) Griselda Marlen Escobedo Sanch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 t="str">
        <f>IFERROR(__xludf.DUMMYFUNCTION("""COMPUTED_VALUE"""),"(109) Formula Melodica S De Rl De Cv")</f>
        <v>(109) Formula Melodica S De Rl De Cv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 t="str">
        <f>IFERROR(__xludf.DUMMYFUNCTION("""COMPUTED_VALUE"""),"(110) Roberto Felix Berumen")</f>
        <v>(110) Roberto Felix Berumen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 t="str">
        <f>IFERROR(__xludf.DUMMYFUNCTION("""COMPUTED_VALUE"""),"(111) Chubb Seguros Mexico Sa")</f>
        <v>(111) Chubb Seguros Mexico Sa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 t="str">
        <f>IFERROR(__xludf.DUMMYFUNCTION("""COMPUTED_VALUE"""),"(112) Aline Gadeh Liniado")</f>
        <v>(112) Aline Gadeh Liniado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 t="str">
        <f>IFERROR(__xludf.DUMMYFUNCTION("""COMPUTED_VALUE"""),"(113) Etiquetas Rams")</f>
        <v>(113) Etiquetas Rams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 t="str">
        <f>IFERROR(__xludf.DUMMYFUNCTION("""COMPUTED_VALUE"""),"(114) Hitch Technology Sa De Cv")</f>
        <v>(114) Hitch Technology Sa De Cv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 t="str">
        <f>IFERROR(__xludf.DUMMYFUNCTION("""COMPUTED_VALUE"""),"(115) Secretaria De Finanzas Y Admin")</f>
        <v>(115) Secretaria De Finanzas Y Admin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 t="str">
        <f>IFERROR(__xludf.DUMMYFUNCTION("""COMPUTED_VALUE"""),"(116) Elite Network Lobbying")</f>
        <v>(116) Elite Network Lobbying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 t="str">
        <f>IFERROR(__xludf.DUMMYFUNCTION("""COMPUTED_VALUE"""),"(117) Ac-Fin Sapi De Cv")</f>
        <v>(117) Ac-Fin Sapi De Cv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 t="str">
        <f>IFERROR(__xludf.DUMMYFUNCTION("""COMPUTED_VALUE"""),"(118) Carlos Tovar Rodriguez")</f>
        <v>(118) Carlos Tovar Rodriguez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 t="str">
        <f>IFERROR(__xludf.DUMMYFUNCTION("""COMPUTED_VALUE"""),"(119) Samuel Cruz Perez")</f>
        <v>(119) Samuel Cruz Perez</v>
      </c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 t="str">
        <f>IFERROR(__xludf.DUMMYFUNCTION("""COMPUTED_VALUE"""),"(120) Tesoreria De La Ciudad De Mexi")</f>
        <v>(120) Tesoreria De La Ciudad De Mexi</v>
      </c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 t="str">
        <f>IFERROR(__xludf.DUMMYFUNCTION("""COMPUTED_VALUE"""),"(121) Loyalty Corp Ms Sapi De Cv")</f>
        <v>(121) Loyalty Corp Ms Sapi De Cv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 t="str">
        <f>IFERROR(__xludf.DUMMYFUNCTION("""COMPUTED_VALUE"""),"(122) Juan Pablo Sandez Lizardi")</f>
        <v>(122) Juan Pablo Sandez Lizardi</v>
      </c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 t="str">
        <f>IFERROR(__xludf.DUMMYFUNCTION("""COMPUTED_VALUE"""),"(123) Jesus Javier Vazquez Alvarado")</f>
        <v>(123) Jesus Javier Vazquez Alvarado</v>
      </c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 t="str">
        <f>IFERROR(__xludf.DUMMYFUNCTION("""COMPUTED_VALUE"""),"(124) Allan De Jesus Romero Celis")</f>
        <v>(124) Allan De Jesus Romero Celis</v>
      </c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 t="str">
        <f>IFERROR(__xludf.DUMMYFUNCTION("""COMPUTED_VALUE"""),"(125) Condominio Plaza Polanco Ac")</f>
        <v>(125) Condominio Plaza Polanco Ac</v>
      </c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 t="str">
        <f>IFERROR(__xludf.DUMMYFUNCTION("""COMPUTED_VALUE"""),"(126) Ll-C Certification Mexico")</f>
        <v>(126) Ll-C Certification Mexico</v>
      </c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 t="str">
        <f>IFERROR(__xludf.DUMMYFUNCTION("""COMPUTED_VALUE"""),"(127) Alejandra Carlos Gudiño")</f>
        <v>(127) Alejandra Carlos Gudiño</v>
      </c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drawing r:id="rId1"/>
</worksheet>
</file>