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>
    <definedName hidden="1" localSheetId="0" name="_xlnm._FilterDatabase">Presupuesto!$A$2:$Q$328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9">
      <text>
        <t xml:space="preserve">Impresora de credenciales 
</t>
      </text>
    </comment>
    <comment authorId="0" ref="B267">
      <text>
        <t xml:space="preserve">Arquimides
</t>
      </text>
    </comment>
    <comment authorId="0" ref="B268">
      <text>
        <t xml:space="preserve">Arquimides
</t>
      </text>
    </comment>
    <comment authorId="0" ref="B269">
      <text>
        <t xml:space="preserve">Arquimides
</t>
      </text>
    </comment>
    <comment authorId="0" ref="B270">
      <text>
        <t xml:space="preserve">Arquimides
</t>
      </text>
    </comment>
    <comment authorId="0" ref="B271">
      <text>
        <t xml:space="preserve">Arquimides
</t>
      </text>
    </comment>
  </commentList>
</comments>
</file>

<file path=xl/sharedStrings.xml><?xml version="1.0" encoding="utf-8"?>
<sst xmlns="http://schemas.openxmlformats.org/spreadsheetml/2006/main" count="826" uniqueCount="92">
  <si>
    <t>Presupuesto</t>
  </si>
  <si>
    <t>(01) Compras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</si>
  <si>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</si>
  <si>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</si>
  <si>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</si>
  <si>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</si>
  <si>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</si>
  <si>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</si>
  <si>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</si>
  <si>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</si>
  <si>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</si>
  <si>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</si>
  <si>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</si>
  <si>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</si>
  <si>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</si>
  <si>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</si>
  <si>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</si>
  <si>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</si>
  <si>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</si>
  <si>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(00) Administración</t>
  </si>
  <si>
    <t>B12 Papelería</t>
  </si>
  <si>
    <t>Papelería</t>
  </si>
  <si>
    <t>B30 Artículos de Limpieza</t>
  </si>
  <si>
    <t>Limpieza</t>
  </si>
  <si>
    <t>Consumibles</t>
  </si>
  <si>
    <t>B09 Uniformes</t>
  </si>
  <si>
    <t>Uniforme traje</t>
  </si>
  <si>
    <t>Uniforme comando</t>
  </si>
  <si>
    <t>Abrigo</t>
  </si>
  <si>
    <t>Ropa invernal</t>
  </si>
  <si>
    <t>Impermeable</t>
  </si>
  <si>
    <t>B17 Mantenimiento Plaza/Oficina</t>
  </si>
  <si>
    <t>Mantenimiento de oficina</t>
  </si>
  <si>
    <t>Mantto. aire acondicionado</t>
  </si>
  <si>
    <t>Servicio de lavandería / reparación prenda</t>
  </si>
  <si>
    <t>Credenciales PVC</t>
  </si>
  <si>
    <t>Cinta para credencial</t>
  </si>
  <si>
    <t>Bolsas para credencial</t>
  </si>
  <si>
    <t>Volantes vacantes</t>
  </si>
  <si>
    <t>Lona vacantes</t>
  </si>
  <si>
    <t>B21 Equipo de operación</t>
  </si>
  <si>
    <t>GPS</t>
  </si>
  <si>
    <t>Pruebas de detección</t>
  </si>
  <si>
    <t>B28 Suministros de oficina</t>
  </si>
  <si>
    <t>Agua</t>
  </si>
  <si>
    <t>B29 Varios</t>
  </si>
  <si>
    <t>Regalos clientes</t>
  </si>
  <si>
    <t>Plumas de contratación</t>
  </si>
  <si>
    <t>Detalles corporativos (día de madre / padre)</t>
  </si>
  <si>
    <t>Despensa</t>
  </si>
  <si>
    <t>Membresía COTSCO</t>
  </si>
  <si>
    <t>Paraguas</t>
  </si>
  <si>
    <t>Recertificación ISO</t>
  </si>
  <si>
    <t>B26 Mantenimiento equipo de operación</t>
  </si>
  <si>
    <t>Mantto. Multifuncional</t>
  </si>
  <si>
    <t>Licencias MONDAY</t>
  </si>
  <si>
    <t>B15 Mobiliario y equipo de oficina</t>
  </si>
  <si>
    <t>Renta de multifuncional</t>
  </si>
  <si>
    <t>(01) C. Polanco</t>
  </si>
  <si>
    <t>Baterías</t>
  </si>
  <si>
    <t>Mantto. radios</t>
  </si>
  <si>
    <t>(02) Wepark</t>
  </si>
  <si>
    <t>(03) Lagrange</t>
  </si>
  <si>
    <t>Mantto. Cuatrimotos</t>
  </si>
  <si>
    <t>(04) T. Prisma</t>
  </si>
  <si>
    <t>(07) Andes 120</t>
  </si>
  <si>
    <t>(08) Xochimilco</t>
  </si>
  <si>
    <t>(09) M. Pelvoux</t>
  </si>
  <si>
    <t>(10) Quadrata</t>
  </si>
  <si>
    <t>(11) Panorama</t>
  </si>
  <si>
    <t>(12) Andes 105</t>
  </si>
  <si>
    <t>(14) Bodega Sicario Chalco</t>
  </si>
  <si>
    <t>(16) Onix</t>
  </si>
  <si>
    <t>(17) Alce Blanco</t>
  </si>
  <si>
    <t>(18) Campos Eliseos</t>
  </si>
  <si>
    <t>(21) Sur Oxidado</t>
  </si>
  <si>
    <t>(22) Summit</t>
  </si>
  <si>
    <t>(24) Las Armas</t>
  </si>
  <si>
    <t>(26) For Promocional</t>
  </si>
  <si>
    <t>(28) Embajada de Canadá</t>
  </si>
  <si>
    <t>(35) Plaza Polanco</t>
  </si>
  <si>
    <t>(36) Embajada de Australia</t>
  </si>
  <si>
    <t>(40) Aliah</t>
  </si>
  <si>
    <t>(42) Palmas</t>
  </si>
  <si>
    <t>(43) Negra Modelo</t>
  </si>
  <si>
    <t>(46) Green Tower</t>
  </si>
  <si>
    <t>(47) IB-Group</t>
  </si>
  <si>
    <t>(48) Sonda-Nuevo León</t>
  </si>
  <si>
    <t>(50) Ampliequipos</t>
  </si>
  <si>
    <t>(51) Revlon</t>
  </si>
  <si>
    <t>(53) Aliah-Chapultepec</t>
  </si>
  <si>
    <t xml:space="preserve">(29) VFS Arquimedes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</si>
</sst>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Calibri Light&quot;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1" fillId="0" fontId="6" numFmtId="164" xfId="0" applyAlignment="1" applyBorder="1" applyFont="1" applyNumberFormat="1">
      <alignment readingOrder="0" shrinkToFit="0" vertical="bottom" wrapText="0"/>
    </xf>
    <xf borderId="2" fillId="0" fontId="7" numFmtId="164" xfId="0" applyAlignment="1" applyBorder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2" fillId="0" fontId="7" numFmtId="164" xfId="0" applyAlignment="1" applyBorder="1" applyFont="1" applyNumberFormat="1">
      <alignment readingOrder="0" vertical="bottom"/>
    </xf>
    <xf borderId="0" fillId="0" fontId="7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vertical="bottom"/>
    </xf>
    <xf borderId="1" fillId="0" fontId="7" numFmtId="164" xfId="0" applyAlignment="1" applyBorder="1" applyFont="1" applyNumberFormat="1">
      <alignment vertical="bottom"/>
    </xf>
    <xf borderId="2" fillId="0" fontId="7" numFmtId="164" xfId="0" applyAlignment="1" applyBorder="1" applyFont="1" applyNumberFormat="1">
      <alignment vertical="bottom"/>
    </xf>
    <xf borderId="1" fillId="0" fontId="7" numFmtId="164" xfId="0" applyAlignment="1" applyBorder="1" applyFont="1" applyNumberFormat="1">
      <alignment readingOrder="0" vertical="bottom"/>
    </xf>
    <xf borderId="1" fillId="0" fontId="8" numFmtId="164" xfId="0" applyAlignment="1" applyBorder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readingOrder="0"/>
    </xf>
    <xf borderId="0" fillId="0" fontId="5" numFmtId="0" xfId="0" applyFont="1"/>
    <xf borderId="1" fillId="0" fontId="5" numFmtId="164" xfId="0" applyBorder="1" applyFont="1" applyNumberFormat="1"/>
    <xf borderId="0" fillId="0" fontId="4" numFmtId="0" xfId="0" applyAlignment="1" applyFon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13"/>
    <col customWidth="1" min="2" max="2" width="26.25"/>
    <col customWidth="1" min="3" max="3" width="32.38"/>
    <col customWidth="1" min="4" max="4" width="33.63"/>
    <col customWidth="1" min="5" max="7" width="10.25"/>
    <col customWidth="1" min="8" max="10" width="9.38"/>
    <col customWidth="1" min="11" max="14" width="10.25"/>
    <col customWidth="1" min="15" max="15" width="9.38"/>
    <col customWidth="1" min="16" max="16" width="10.13"/>
    <col customWidth="1" min="17" max="17" width="11.63"/>
  </cols>
  <sheetData>
    <row r="1">
      <c r="B1" s="1" t="s">
        <v>0</v>
      </c>
      <c r="C1" s="2" t="s">
        <v>1</v>
      </c>
      <c r="D1" s="3"/>
      <c r="E1" s="4">
        <f t="shared" ref="E1:Q1" si="1">SUM(E3:E328)</f>
        <v>36030</v>
      </c>
      <c r="F1" s="5">
        <f t="shared" si="1"/>
        <v>183845</v>
      </c>
      <c r="G1" s="5">
        <f t="shared" si="1"/>
        <v>177490</v>
      </c>
      <c r="H1" s="5">
        <f t="shared" si="1"/>
        <v>73170</v>
      </c>
      <c r="I1" s="5">
        <f t="shared" si="1"/>
        <v>81860</v>
      </c>
      <c r="J1" s="5">
        <f t="shared" si="1"/>
        <v>69970</v>
      </c>
      <c r="K1" s="5">
        <f t="shared" si="1"/>
        <v>91190</v>
      </c>
      <c r="L1" s="5">
        <f t="shared" si="1"/>
        <v>163080</v>
      </c>
      <c r="M1" s="5">
        <f t="shared" si="1"/>
        <v>233130</v>
      </c>
      <c r="N1" s="5">
        <f t="shared" si="1"/>
        <v>110960</v>
      </c>
      <c r="O1" s="5">
        <f t="shared" si="1"/>
        <v>137260</v>
      </c>
      <c r="P1" s="6">
        <f t="shared" si="1"/>
        <v>91960</v>
      </c>
      <c r="Q1" s="5">
        <f t="shared" si="1"/>
        <v>1449945</v>
      </c>
    </row>
    <row r="2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0" t="s">
        <v>18</v>
      </c>
    </row>
    <row r="3">
      <c r="A3" s="12" t="str">
        <f t="shared" ref="A3:A328" si="2">$C$1</f>
        <v>(01) Compras</v>
      </c>
      <c r="B3" s="12" t="s">
        <v>19</v>
      </c>
      <c r="C3" s="12" t="s">
        <v>20</v>
      </c>
      <c r="D3" s="13" t="s">
        <v>21</v>
      </c>
      <c r="E3" s="14">
        <v>680.0</v>
      </c>
      <c r="F3" s="15">
        <v>680.0</v>
      </c>
      <c r="G3" s="15">
        <v>680.0</v>
      </c>
      <c r="H3" s="15">
        <v>680.0</v>
      </c>
      <c r="I3" s="15">
        <v>680.0</v>
      </c>
      <c r="J3" s="15">
        <v>680.0</v>
      </c>
      <c r="K3" s="15">
        <v>680.0</v>
      </c>
      <c r="L3" s="15">
        <v>680.0</v>
      </c>
      <c r="M3" s="15">
        <v>680.0</v>
      </c>
      <c r="N3" s="15">
        <v>680.0</v>
      </c>
      <c r="O3" s="15">
        <v>1050.0</v>
      </c>
      <c r="P3" s="16"/>
      <c r="Q3" s="17">
        <f t="shared" ref="Q3:Q328" si="3">SUM(E3:P3)</f>
        <v>7850</v>
      </c>
    </row>
    <row r="4">
      <c r="A4" s="12" t="str">
        <f t="shared" si="2"/>
        <v>(01) Compras</v>
      </c>
      <c r="B4" s="12" t="s">
        <v>19</v>
      </c>
      <c r="C4" s="12" t="s">
        <v>22</v>
      </c>
      <c r="D4" s="13" t="s">
        <v>23</v>
      </c>
      <c r="E4" s="14">
        <v>190.0</v>
      </c>
      <c r="F4" s="15">
        <v>190.0</v>
      </c>
      <c r="G4" s="15">
        <v>190.0</v>
      </c>
      <c r="H4" s="15">
        <v>190.0</v>
      </c>
      <c r="I4" s="15">
        <v>190.0</v>
      </c>
      <c r="J4" s="15">
        <v>190.0</v>
      </c>
      <c r="K4" s="15">
        <v>190.0</v>
      </c>
      <c r="L4" s="15">
        <v>190.0</v>
      </c>
      <c r="M4" s="15">
        <v>190.0</v>
      </c>
      <c r="N4" s="15">
        <v>190.0</v>
      </c>
      <c r="O4" s="15">
        <v>260.0</v>
      </c>
      <c r="P4" s="16"/>
      <c r="Q4" s="17">
        <f t="shared" si="3"/>
        <v>2160</v>
      </c>
    </row>
    <row r="5">
      <c r="A5" s="12" t="str">
        <f t="shared" si="2"/>
        <v>(01) Compras</v>
      </c>
      <c r="B5" s="12" t="s">
        <v>19</v>
      </c>
      <c r="C5" s="12" t="s">
        <v>22</v>
      </c>
      <c r="D5" s="13" t="s">
        <v>24</v>
      </c>
      <c r="E5" s="14">
        <v>1590.0</v>
      </c>
      <c r="F5" s="17"/>
      <c r="G5" s="15"/>
      <c r="H5" s="17"/>
      <c r="I5" s="17"/>
      <c r="J5" s="15">
        <v>1590.0</v>
      </c>
      <c r="K5" s="17"/>
      <c r="L5" s="17"/>
      <c r="M5" s="15"/>
      <c r="N5" s="17"/>
      <c r="O5" s="15">
        <v>1590.0</v>
      </c>
      <c r="P5" s="16"/>
      <c r="Q5" s="17">
        <f t="shared" si="3"/>
        <v>4770</v>
      </c>
    </row>
    <row r="6">
      <c r="A6" s="12" t="str">
        <f t="shared" si="2"/>
        <v>(01) Compras</v>
      </c>
      <c r="B6" s="12" t="s">
        <v>19</v>
      </c>
      <c r="C6" s="12" t="s">
        <v>25</v>
      </c>
      <c r="D6" s="13" t="s">
        <v>26</v>
      </c>
      <c r="E6" s="18"/>
      <c r="F6" s="19">
        <v>13830.0</v>
      </c>
      <c r="G6" s="19">
        <v>13830.0</v>
      </c>
      <c r="H6" s="19"/>
      <c r="I6" s="19"/>
      <c r="J6" s="20"/>
      <c r="K6" s="19"/>
      <c r="L6" s="19">
        <v>13830.0</v>
      </c>
      <c r="M6" s="19">
        <v>13830.0</v>
      </c>
      <c r="N6" s="20"/>
      <c r="O6" s="20"/>
      <c r="P6" s="21"/>
      <c r="Q6" s="17">
        <f t="shared" si="3"/>
        <v>55320</v>
      </c>
    </row>
    <row r="7">
      <c r="A7" s="12" t="str">
        <f t="shared" si="2"/>
        <v>(01) Compras</v>
      </c>
      <c r="B7" s="12" t="s">
        <v>19</v>
      </c>
      <c r="C7" s="12" t="s">
        <v>25</v>
      </c>
      <c r="D7" s="13" t="s">
        <v>27</v>
      </c>
      <c r="E7" s="18"/>
      <c r="F7" s="19">
        <v>5107.5</v>
      </c>
      <c r="G7" s="19">
        <v>5107.5</v>
      </c>
      <c r="H7" s="19"/>
      <c r="I7" s="20"/>
      <c r="J7" s="20"/>
      <c r="K7" s="19"/>
      <c r="L7" s="19">
        <v>5107.5</v>
      </c>
      <c r="M7" s="19">
        <v>5107.5</v>
      </c>
      <c r="N7" s="20"/>
      <c r="O7" s="20"/>
      <c r="P7" s="21"/>
      <c r="Q7" s="17">
        <f t="shared" si="3"/>
        <v>20430</v>
      </c>
    </row>
    <row r="8">
      <c r="A8" s="12" t="str">
        <f t="shared" si="2"/>
        <v>(01) Compras</v>
      </c>
      <c r="B8" s="12" t="s">
        <v>19</v>
      </c>
      <c r="C8" s="12" t="s">
        <v>25</v>
      </c>
      <c r="D8" s="13" t="s">
        <v>28</v>
      </c>
      <c r="E8" s="22"/>
      <c r="F8" s="20"/>
      <c r="G8" s="20"/>
      <c r="H8" s="20"/>
      <c r="I8" s="20"/>
      <c r="J8" s="20"/>
      <c r="K8" s="20"/>
      <c r="L8" s="20"/>
      <c r="M8" s="19"/>
      <c r="N8" s="19">
        <v>5505.0</v>
      </c>
      <c r="O8" s="19">
        <v>5505.0</v>
      </c>
      <c r="P8" s="21"/>
      <c r="Q8" s="17">
        <f t="shared" si="3"/>
        <v>11010</v>
      </c>
    </row>
    <row r="9">
      <c r="A9" s="12" t="str">
        <f t="shared" si="2"/>
        <v>(01) Compras</v>
      </c>
      <c r="B9" s="12" t="s">
        <v>19</v>
      </c>
      <c r="C9" s="12" t="s">
        <v>25</v>
      </c>
      <c r="D9" s="13" t="s">
        <v>29</v>
      </c>
      <c r="E9" s="22"/>
      <c r="F9" s="20"/>
      <c r="G9" s="20"/>
      <c r="H9" s="20"/>
      <c r="I9" s="20"/>
      <c r="J9" s="20"/>
      <c r="K9" s="20"/>
      <c r="L9" s="20"/>
      <c r="M9" s="20"/>
      <c r="N9" s="19"/>
      <c r="O9" s="19">
        <v>900.0</v>
      </c>
      <c r="P9" s="21"/>
      <c r="Q9" s="17">
        <f t="shared" si="3"/>
        <v>900</v>
      </c>
    </row>
    <row r="10">
      <c r="A10" s="12" t="str">
        <f t="shared" si="2"/>
        <v>(01) Compras</v>
      </c>
      <c r="B10" s="12" t="s">
        <v>19</v>
      </c>
      <c r="C10" s="12" t="s">
        <v>25</v>
      </c>
      <c r="D10" s="13" t="s">
        <v>30</v>
      </c>
      <c r="E10" s="22"/>
      <c r="F10" s="20"/>
      <c r="G10" s="19">
        <v>855.0</v>
      </c>
      <c r="H10" s="20"/>
      <c r="I10" s="20"/>
      <c r="J10" s="20"/>
      <c r="K10" s="20"/>
      <c r="L10" s="20"/>
      <c r="M10" s="20"/>
      <c r="N10" s="20"/>
      <c r="O10" s="20"/>
      <c r="P10" s="21"/>
      <c r="Q10" s="17">
        <f t="shared" si="3"/>
        <v>855</v>
      </c>
    </row>
    <row r="11">
      <c r="A11" s="12" t="str">
        <f t="shared" si="2"/>
        <v>(01) Compras</v>
      </c>
      <c r="B11" s="12" t="s">
        <v>19</v>
      </c>
      <c r="C11" s="12" t="s">
        <v>31</v>
      </c>
      <c r="D11" s="13" t="s">
        <v>32</v>
      </c>
      <c r="E11" s="18"/>
      <c r="F11" s="19">
        <v>650.0</v>
      </c>
      <c r="G11" s="20"/>
      <c r="H11" s="19"/>
      <c r="I11" s="19">
        <v>650.0</v>
      </c>
      <c r="J11" s="19"/>
      <c r="K11" s="20"/>
      <c r="L11" s="19">
        <v>650.0</v>
      </c>
      <c r="M11" s="20"/>
      <c r="N11" s="19"/>
      <c r="O11" s="19">
        <v>650.0</v>
      </c>
      <c r="P11" s="21"/>
      <c r="Q11" s="17">
        <f t="shared" si="3"/>
        <v>2600</v>
      </c>
    </row>
    <row r="12">
      <c r="A12" s="12" t="str">
        <f t="shared" si="2"/>
        <v>(01) Compras</v>
      </c>
      <c r="B12" s="12" t="s">
        <v>19</v>
      </c>
      <c r="C12" s="12" t="s">
        <v>31</v>
      </c>
      <c r="D12" s="13" t="s">
        <v>33</v>
      </c>
      <c r="E12" s="22"/>
      <c r="F12" s="20"/>
      <c r="G12" s="20"/>
      <c r="H12" s="20"/>
      <c r="I12" s="20"/>
      <c r="J12" s="19">
        <v>18000.0</v>
      </c>
      <c r="K12" s="20"/>
      <c r="L12" s="20"/>
      <c r="M12" s="20"/>
      <c r="N12" s="20"/>
      <c r="O12" s="20"/>
      <c r="P12" s="21"/>
      <c r="Q12" s="17">
        <f t="shared" si="3"/>
        <v>18000</v>
      </c>
    </row>
    <row r="13">
      <c r="A13" s="12" t="str">
        <f t="shared" si="2"/>
        <v>(01) Compras</v>
      </c>
      <c r="B13" s="12" t="s">
        <v>19</v>
      </c>
      <c r="C13" s="12" t="s">
        <v>25</v>
      </c>
      <c r="D13" s="13" t="s">
        <v>34</v>
      </c>
      <c r="E13" s="18">
        <v>480.0</v>
      </c>
      <c r="F13" s="19"/>
      <c r="G13" s="19"/>
      <c r="H13" s="19">
        <v>480.0</v>
      </c>
      <c r="I13" s="19"/>
      <c r="J13" s="19"/>
      <c r="K13" s="19">
        <v>480.0</v>
      </c>
      <c r="L13" s="19"/>
      <c r="M13" s="19"/>
      <c r="N13" s="19">
        <v>480.0</v>
      </c>
      <c r="O13" s="19"/>
      <c r="P13" s="23"/>
      <c r="Q13" s="17">
        <f t="shared" si="3"/>
        <v>1920</v>
      </c>
    </row>
    <row r="14">
      <c r="A14" s="12" t="str">
        <f t="shared" si="2"/>
        <v>(01) Compras</v>
      </c>
      <c r="B14" s="12" t="s">
        <v>19</v>
      </c>
      <c r="C14" s="12" t="s">
        <v>20</v>
      </c>
      <c r="D14" s="13" t="s">
        <v>35</v>
      </c>
      <c r="E14" s="18"/>
      <c r="F14" s="20"/>
      <c r="G14" s="20"/>
      <c r="H14" s="20">
        <f>3.6*600</f>
        <v>2160</v>
      </c>
      <c r="I14" s="19"/>
      <c r="J14" s="20"/>
      <c r="K14" s="20"/>
      <c r="L14" s="20"/>
      <c r="M14" s="20"/>
      <c r="N14" s="20"/>
      <c r="O14" s="20"/>
      <c r="P14" s="21"/>
      <c r="Q14" s="17">
        <f t="shared" si="3"/>
        <v>2160</v>
      </c>
    </row>
    <row r="15">
      <c r="A15" s="12" t="str">
        <f t="shared" si="2"/>
        <v>(01) Compras</v>
      </c>
      <c r="B15" s="12" t="s">
        <v>19</v>
      </c>
      <c r="C15" s="12" t="s">
        <v>20</v>
      </c>
      <c r="D15" s="13" t="s">
        <v>36</v>
      </c>
      <c r="E15" s="22"/>
      <c r="F15" s="20"/>
      <c r="G15" s="19"/>
      <c r="H15" s="20">
        <f>200*15</f>
        <v>3000</v>
      </c>
      <c r="I15" s="20"/>
      <c r="J15" s="20"/>
      <c r="K15" s="20"/>
      <c r="L15" s="20"/>
      <c r="M15" s="20"/>
      <c r="N15" s="20"/>
      <c r="O15" s="20"/>
      <c r="P15" s="21"/>
      <c r="Q15" s="17">
        <f t="shared" si="3"/>
        <v>3000</v>
      </c>
    </row>
    <row r="16">
      <c r="A16" s="12" t="str">
        <f t="shared" si="2"/>
        <v>(01) Compras</v>
      </c>
      <c r="B16" s="12" t="s">
        <v>19</v>
      </c>
      <c r="C16" s="12" t="s">
        <v>20</v>
      </c>
      <c r="D16" s="13" t="s">
        <v>37</v>
      </c>
      <c r="E16" s="18">
        <v>350.0</v>
      </c>
      <c r="F16" s="20"/>
      <c r="G16" s="20"/>
      <c r="H16" s="19">
        <v>350.0</v>
      </c>
      <c r="I16" s="20"/>
      <c r="J16" s="20"/>
      <c r="K16" s="19">
        <v>350.0</v>
      </c>
      <c r="L16" s="20"/>
      <c r="M16" s="20"/>
      <c r="N16" s="19">
        <v>350.0</v>
      </c>
      <c r="O16" s="19"/>
      <c r="P16" s="21"/>
      <c r="Q16" s="17">
        <f t="shared" si="3"/>
        <v>1400</v>
      </c>
    </row>
    <row r="17">
      <c r="A17" s="12" t="str">
        <f t="shared" si="2"/>
        <v>(01) Compras</v>
      </c>
      <c r="B17" s="12" t="s">
        <v>19</v>
      </c>
      <c r="C17" s="12" t="s">
        <v>20</v>
      </c>
      <c r="D17" s="13" t="s">
        <v>38</v>
      </c>
      <c r="E17" s="18">
        <v>380.0</v>
      </c>
      <c r="F17" s="19"/>
      <c r="G17" s="19"/>
      <c r="H17" s="19">
        <v>380.0</v>
      </c>
      <c r="I17" s="19"/>
      <c r="J17" s="20"/>
      <c r="K17" s="19">
        <v>380.0</v>
      </c>
      <c r="L17" s="20"/>
      <c r="M17" s="19"/>
      <c r="N17" s="19">
        <v>380.0</v>
      </c>
      <c r="O17" s="19"/>
      <c r="P17" s="21"/>
      <c r="Q17" s="17">
        <f t="shared" si="3"/>
        <v>1520</v>
      </c>
    </row>
    <row r="18">
      <c r="A18" s="12" t="str">
        <f t="shared" si="2"/>
        <v>(01) Compras</v>
      </c>
      <c r="B18" s="12" t="s">
        <v>19</v>
      </c>
      <c r="C18" s="12" t="s">
        <v>20</v>
      </c>
      <c r="D18" s="13" t="s">
        <v>39</v>
      </c>
      <c r="E18" s="18">
        <v>450.0</v>
      </c>
      <c r="F18" s="20"/>
      <c r="G18" s="20"/>
      <c r="H18" s="20"/>
      <c r="I18" s="20"/>
      <c r="J18" s="20"/>
      <c r="K18" s="19">
        <v>450.0</v>
      </c>
      <c r="L18" s="20"/>
      <c r="M18" s="20"/>
      <c r="N18" s="20"/>
      <c r="O18" s="20"/>
      <c r="P18" s="21"/>
      <c r="Q18" s="17">
        <f t="shared" si="3"/>
        <v>900</v>
      </c>
    </row>
    <row r="19">
      <c r="A19" s="12" t="str">
        <f t="shared" si="2"/>
        <v>(01) Compras</v>
      </c>
      <c r="B19" s="12" t="s">
        <v>19</v>
      </c>
      <c r="C19" s="12" t="s">
        <v>40</v>
      </c>
      <c r="D19" s="13" t="s">
        <v>41</v>
      </c>
      <c r="E19" s="22"/>
      <c r="F19" s="20"/>
      <c r="G19" s="20"/>
      <c r="H19" s="19"/>
      <c r="I19" s="20"/>
      <c r="J19" s="20"/>
      <c r="K19" s="19">
        <v>5100.0</v>
      </c>
      <c r="L19" s="20"/>
      <c r="M19" s="20"/>
      <c r="N19" s="20"/>
      <c r="O19" s="20"/>
      <c r="P19" s="21"/>
      <c r="Q19" s="17">
        <f t="shared" si="3"/>
        <v>5100</v>
      </c>
    </row>
    <row r="20">
      <c r="A20" s="12" t="str">
        <f t="shared" si="2"/>
        <v>(01) Compras</v>
      </c>
      <c r="B20" s="12" t="s">
        <v>19</v>
      </c>
      <c r="C20" s="12" t="s">
        <v>40</v>
      </c>
      <c r="D20" s="13" t="s">
        <v>42</v>
      </c>
      <c r="E20" s="22"/>
      <c r="F20" s="20"/>
      <c r="G20" s="20"/>
      <c r="H20" s="19"/>
      <c r="I20" s="20"/>
      <c r="J20" s="20"/>
      <c r="K20" s="20"/>
      <c r="L20" s="20"/>
      <c r="M20" s="20"/>
      <c r="N20" s="19">
        <v>4850.0</v>
      </c>
      <c r="O20" s="19"/>
      <c r="P20" s="21"/>
      <c r="Q20" s="17">
        <f t="shared" si="3"/>
        <v>4850</v>
      </c>
    </row>
    <row r="21">
      <c r="A21" s="12" t="str">
        <f t="shared" si="2"/>
        <v>(01) Compras</v>
      </c>
      <c r="B21" s="12" t="s">
        <v>19</v>
      </c>
      <c r="C21" s="12" t="s">
        <v>43</v>
      </c>
      <c r="D21" s="13" t="s">
        <v>44</v>
      </c>
      <c r="E21" s="18">
        <v>560.0</v>
      </c>
      <c r="F21" s="19">
        <v>560.0</v>
      </c>
      <c r="G21" s="19">
        <v>560.0</v>
      </c>
      <c r="H21" s="19">
        <v>560.0</v>
      </c>
      <c r="I21" s="19">
        <v>560.0</v>
      </c>
      <c r="J21" s="19">
        <v>560.0</v>
      </c>
      <c r="K21" s="19">
        <v>560.0</v>
      </c>
      <c r="L21" s="19">
        <v>560.0</v>
      </c>
      <c r="M21" s="19">
        <v>560.0</v>
      </c>
      <c r="N21" s="19">
        <v>560.0</v>
      </c>
      <c r="O21" s="19">
        <v>560.0</v>
      </c>
      <c r="P21" s="23">
        <v>560.0</v>
      </c>
      <c r="Q21" s="17">
        <f t="shared" si="3"/>
        <v>6720</v>
      </c>
    </row>
    <row r="22">
      <c r="A22" s="12" t="str">
        <f t="shared" si="2"/>
        <v>(01) Compras</v>
      </c>
      <c r="B22" s="12" t="s">
        <v>19</v>
      </c>
      <c r="C22" s="12" t="s">
        <v>45</v>
      </c>
      <c r="D22" s="13" t="s">
        <v>46</v>
      </c>
      <c r="E22" s="2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3">
        <v>18900.0</v>
      </c>
      <c r="Q22" s="17">
        <f t="shared" si="3"/>
        <v>18900</v>
      </c>
    </row>
    <row r="23">
      <c r="A23" s="12" t="str">
        <f t="shared" si="2"/>
        <v>(01) Compras</v>
      </c>
      <c r="B23" s="12" t="s">
        <v>19</v>
      </c>
      <c r="C23" s="12" t="s">
        <v>20</v>
      </c>
      <c r="D23" s="13" t="s">
        <v>47</v>
      </c>
      <c r="E23" s="22"/>
      <c r="F23" s="20"/>
      <c r="G23" s="19"/>
      <c r="H23" s="20"/>
      <c r="I23" s="20">
        <f>12*250</f>
        <v>3000</v>
      </c>
      <c r="J23" s="20"/>
      <c r="K23" s="20"/>
      <c r="L23" s="20"/>
      <c r="M23" s="20"/>
      <c r="N23" s="20"/>
      <c r="O23" s="20"/>
      <c r="P23" s="21"/>
      <c r="Q23" s="17">
        <f t="shared" si="3"/>
        <v>3000</v>
      </c>
    </row>
    <row r="24">
      <c r="A24" s="12" t="str">
        <f t="shared" si="2"/>
        <v>(01) Compras</v>
      </c>
      <c r="B24" s="12" t="s">
        <v>19</v>
      </c>
      <c r="C24" s="12" t="s">
        <v>45</v>
      </c>
      <c r="D24" s="13" t="s">
        <v>48</v>
      </c>
      <c r="E24" s="22"/>
      <c r="F24" s="20"/>
      <c r="G24" s="20"/>
      <c r="H24" s="20"/>
      <c r="I24" s="19">
        <v>6800.0</v>
      </c>
      <c r="J24" s="19">
        <v>8900.0</v>
      </c>
      <c r="K24" s="20"/>
      <c r="L24" s="20"/>
      <c r="M24" s="20"/>
      <c r="N24" s="20"/>
      <c r="O24" s="20"/>
      <c r="P24" s="21"/>
      <c r="Q24" s="17">
        <f t="shared" si="3"/>
        <v>15700</v>
      </c>
    </row>
    <row r="25">
      <c r="A25" s="12" t="str">
        <f t="shared" si="2"/>
        <v>(01) Compras</v>
      </c>
      <c r="B25" s="12" t="s">
        <v>19</v>
      </c>
      <c r="C25" s="12" t="s">
        <v>45</v>
      </c>
      <c r="D25" s="13" t="s">
        <v>49</v>
      </c>
      <c r="E25" s="2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3">
        <v>4000.0</v>
      </c>
      <c r="Q25" s="17">
        <f t="shared" si="3"/>
        <v>4000</v>
      </c>
    </row>
    <row r="26">
      <c r="A26" s="12" t="str">
        <f t="shared" si="2"/>
        <v>(01) Compras</v>
      </c>
      <c r="B26" s="12" t="s">
        <v>19</v>
      </c>
      <c r="C26" s="12" t="s">
        <v>45</v>
      </c>
      <c r="D26" s="13" t="s">
        <v>50</v>
      </c>
      <c r="E26" s="22"/>
      <c r="F26" s="19">
        <v>550.0</v>
      </c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7">
        <f t="shared" si="3"/>
        <v>550</v>
      </c>
    </row>
    <row r="27">
      <c r="A27" s="12" t="str">
        <f t="shared" si="2"/>
        <v>(01) Compras</v>
      </c>
      <c r="B27" s="12" t="s">
        <v>19</v>
      </c>
      <c r="C27" s="12" t="s">
        <v>40</v>
      </c>
      <c r="D27" s="13" t="s">
        <v>51</v>
      </c>
      <c r="E27" s="22"/>
      <c r="F27" s="19">
        <v>460.0</v>
      </c>
      <c r="G27" s="19"/>
      <c r="H27" s="20"/>
      <c r="I27" s="20"/>
      <c r="J27" s="20"/>
      <c r="K27" s="20"/>
      <c r="L27" s="20"/>
      <c r="M27" s="20"/>
      <c r="N27" s="20"/>
      <c r="O27" s="20"/>
      <c r="P27" s="21"/>
      <c r="Q27" s="17">
        <f t="shared" si="3"/>
        <v>460</v>
      </c>
    </row>
    <row r="28">
      <c r="A28" s="12" t="str">
        <f t="shared" si="2"/>
        <v>(01) Compras</v>
      </c>
      <c r="B28" s="12" t="s">
        <v>19</v>
      </c>
      <c r="C28" s="12" t="s">
        <v>45</v>
      </c>
      <c r="D28" s="13" t="s">
        <v>52</v>
      </c>
      <c r="E28" s="22"/>
      <c r="F28" s="20"/>
      <c r="G28" s="20"/>
      <c r="H28" s="20"/>
      <c r="I28" s="20"/>
      <c r="J28" s="20"/>
      <c r="K28" s="19">
        <v>68300.0</v>
      </c>
      <c r="L28" s="20"/>
      <c r="M28" s="20"/>
      <c r="N28" s="20"/>
      <c r="O28" s="20"/>
      <c r="P28" s="21"/>
      <c r="Q28" s="17">
        <f t="shared" si="3"/>
        <v>68300</v>
      </c>
    </row>
    <row r="29">
      <c r="A29" s="12" t="str">
        <f t="shared" si="2"/>
        <v>(01) Compras</v>
      </c>
      <c r="B29" s="12" t="s">
        <v>19</v>
      </c>
      <c r="C29" s="12" t="s">
        <v>53</v>
      </c>
      <c r="D29" s="13" t="s">
        <v>54</v>
      </c>
      <c r="E29" s="22"/>
      <c r="F29" s="19"/>
      <c r="G29" s="19">
        <v>1400.0</v>
      </c>
      <c r="H29" s="20"/>
      <c r="I29" s="20"/>
      <c r="J29" s="20"/>
      <c r="K29" s="20"/>
      <c r="L29" s="20"/>
      <c r="M29" s="20"/>
      <c r="N29" s="20"/>
      <c r="O29" s="20"/>
      <c r="P29" s="21"/>
      <c r="Q29" s="17">
        <f t="shared" si="3"/>
        <v>1400</v>
      </c>
    </row>
    <row r="30">
      <c r="A30" s="12" t="str">
        <f t="shared" si="2"/>
        <v>(01) Compras</v>
      </c>
      <c r="B30" s="12" t="s">
        <v>19</v>
      </c>
      <c r="C30" s="12" t="s">
        <v>45</v>
      </c>
      <c r="D30" s="24" t="s">
        <v>55</v>
      </c>
      <c r="E30" s="18"/>
      <c r="F30" s="19"/>
      <c r="G30" s="19"/>
      <c r="H30" s="19"/>
      <c r="I30" s="19"/>
      <c r="J30" s="19"/>
      <c r="K30" s="20"/>
      <c r="L30" s="20"/>
      <c r="M30" s="20">
        <f>2880*21</f>
        <v>60480</v>
      </c>
      <c r="N30" s="20"/>
      <c r="O30" s="20"/>
      <c r="P30" s="21"/>
      <c r="Q30" s="17">
        <f t="shared" si="3"/>
        <v>60480</v>
      </c>
    </row>
    <row r="31">
      <c r="A31" s="12" t="str">
        <f t="shared" si="2"/>
        <v>(01) Compras</v>
      </c>
      <c r="B31" s="12" t="s">
        <v>19</v>
      </c>
      <c r="C31" s="12" t="s">
        <v>56</v>
      </c>
      <c r="D31" s="24" t="s">
        <v>57</v>
      </c>
      <c r="E31" s="18">
        <v>2100.0</v>
      </c>
      <c r="F31" s="19">
        <v>2100.0</v>
      </c>
      <c r="G31" s="19">
        <v>2100.0</v>
      </c>
      <c r="H31" s="19">
        <v>2100.0</v>
      </c>
      <c r="I31" s="19">
        <v>2100.0</v>
      </c>
      <c r="J31" s="19">
        <v>2100.0</v>
      </c>
      <c r="K31" s="19">
        <v>2100.0</v>
      </c>
      <c r="L31" s="19">
        <v>2100.0</v>
      </c>
      <c r="M31" s="19">
        <v>2100.0</v>
      </c>
      <c r="N31" s="19">
        <v>2100.0</v>
      </c>
      <c r="O31" s="19">
        <v>2100.0</v>
      </c>
      <c r="P31" s="23">
        <v>2100.0</v>
      </c>
      <c r="Q31" s="17">
        <f t="shared" si="3"/>
        <v>25200</v>
      </c>
    </row>
    <row r="32">
      <c r="A32" s="12" t="str">
        <f t="shared" si="2"/>
        <v>(01) Compras</v>
      </c>
      <c r="B32" s="12" t="s">
        <v>58</v>
      </c>
      <c r="C32" s="12" t="s">
        <v>25</v>
      </c>
      <c r="D32" s="13" t="s">
        <v>26</v>
      </c>
      <c r="E32" s="22"/>
      <c r="F32" s="19">
        <v>11105.0</v>
      </c>
      <c r="G32" s="19">
        <v>11105.0</v>
      </c>
      <c r="H32" s="19"/>
      <c r="I32" s="19"/>
      <c r="J32" s="20"/>
      <c r="K32" s="20"/>
      <c r="L32" s="19">
        <v>11105.0</v>
      </c>
      <c r="M32" s="19">
        <v>11105.0</v>
      </c>
      <c r="N32" s="20"/>
      <c r="O32" s="20"/>
      <c r="P32" s="21"/>
      <c r="Q32" s="17">
        <f t="shared" si="3"/>
        <v>44420</v>
      </c>
    </row>
    <row r="33">
      <c r="A33" s="12" t="str">
        <f t="shared" si="2"/>
        <v>(01) Compras</v>
      </c>
      <c r="B33" s="12" t="s">
        <v>58</v>
      </c>
      <c r="C33" s="12" t="s">
        <v>25</v>
      </c>
      <c r="D33" s="13" t="s">
        <v>28</v>
      </c>
      <c r="E33" s="18"/>
      <c r="F33" s="19"/>
      <c r="G33" s="20"/>
      <c r="H33" s="20"/>
      <c r="I33" s="20"/>
      <c r="J33" s="20"/>
      <c r="K33" s="20"/>
      <c r="L33" s="20"/>
      <c r="M33" s="19"/>
      <c r="N33" s="19">
        <v>6855.0</v>
      </c>
      <c r="O33" s="19">
        <v>6855.0</v>
      </c>
      <c r="P33" s="21"/>
      <c r="Q33" s="17">
        <f t="shared" si="3"/>
        <v>13710</v>
      </c>
    </row>
    <row r="34">
      <c r="A34" s="12" t="str">
        <f t="shared" si="2"/>
        <v>(01) Compras</v>
      </c>
      <c r="B34" s="12" t="s">
        <v>58</v>
      </c>
      <c r="C34" s="12" t="s">
        <v>25</v>
      </c>
      <c r="D34" s="13" t="s">
        <v>29</v>
      </c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19">
        <v>1350.0</v>
      </c>
      <c r="P34" s="23"/>
      <c r="Q34" s="17">
        <f t="shared" si="3"/>
        <v>1350</v>
      </c>
    </row>
    <row r="35">
      <c r="A35" s="12" t="str">
        <f t="shared" si="2"/>
        <v>(01) Compras</v>
      </c>
      <c r="B35" s="12" t="s">
        <v>58</v>
      </c>
      <c r="C35" s="12" t="s">
        <v>20</v>
      </c>
      <c r="D35" s="13" t="s">
        <v>21</v>
      </c>
      <c r="E35" s="18">
        <v>510.0</v>
      </c>
      <c r="F35" s="19">
        <v>510.0</v>
      </c>
      <c r="G35" s="19">
        <v>510.0</v>
      </c>
      <c r="H35" s="19">
        <v>510.0</v>
      </c>
      <c r="I35" s="19">
        <v>510.0</v>
      </c>
      <c r="J35" s="19">
        <v>510.0</v>
      </c>
      <c r="K35" s="19">
        <v>510.0</v>
      </c>
      <c r="L35" s="19">
        <v>510.0</v>
      </c>
      <c r="M35" s="19">
        <v>510.0</v>
      </c>
      <c r="N35" s="19">
        <v>510.0</v>
      </c>
      <c r="O35" s="19">
        <v>880.0</v>
      </c>
      <c r="P35" s="21"/>
      <c r="Q35" s="17">
        <f t="shared" si="3"/>
        <v>5980</v>
      </c>
    </row>
    <row r="36">
      <c r="A36" s="12" t="str">
        <f t="shared" si="2"/>
        <v>(01) Compras</v>
      </c>
      <c r="B36" s="12" t="s">
        <v>58</v>
      </c>
      <c r="C36" s="12" t="s">
        <v>40</v>
      </c>
      <c r="D36" s="13" t="s">
        <v>59</v>
      </c>
      <c r="E36" s="22"/>
      <c r="F36" s="20"/>
      <c r="G36" s="20"/>
      <c r="H36" s="19">
        <v>4600.0</v>
      </c>
      <c r="I36" s="19">
        <v>4600.0</v>
      </c>
      <c r="J36" s="20"/>
      <c r="K36" s="20"/>
      <c r="L36" s="20"/>
      <c r="M36" s="19"/>
      <c r="N36" s="19"/>
      <c r="O36" s="20"/>
      <c r="P36" s="21"/>
      <c r="Q36" s="17">
        <f t="shared" si="3"/>
        <v>9200</v>
      </c>
    </row>
    <row r="37">
      <c r="A37" s="12" t="str">
        <f t="shared" si="2"/>
        <v>(01) Compras</v>
      </c>
      <c r="B37" s="12" t="s">
        <v>58</v>
      </c>
      <c r="C37" s="12" t="s">
        <v>53</v>
      </c>
      <c r="D37" s="13" t="s">
        <v>60</v>
      </c>
      <c r="E37" s="22"/>
      <c r="F37" s="19">
        <v>2960.0</v>
      </c>
      <c r="G37" s="19">
        <v>2960.0</v>
      </c>
      <c r="H37" s="20"/>
      <c r="I37" s="20"/>
      <c r="J37" s="20"/>
      <c r="K37" s="20"/>
      <c r="L37" s="20"/>
      <c r="M37" s="20"/>
      <c r="N37" s="19">
        <v>2960.0</v>
      </c>
      <c r="O37" s="19">
        <v>2960.0</v>
      </c>
      <c r="P37" s="21"/>
      <c r="Q37" s="17">
        <f t="shared" si="3"/>
        <v>11840</v>
      </c>
    </row>
    <row r="38">
      <c r="A38" s="12" t="str">
        <f t="shared" si="2"/>
        <v>(01) Compras</v>
      </c>
      <c r="B38" s="12" t="s">
        <v>58</v>
      </c>
      <c r="C38" s="12" t="s">
        <v>45</v>
      </c>
      <c r="D38" s="13" t="s">
        <v>49</v>
      </c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3">
        <v>6000.0</v>
      </c>
      <c r="Q38" s="17">
        <f t="shared" si="3"/>
        <v>6000</v>
      </c>
    </row>
    <row r="39">
      <c r="A39" s="12" t="str">
        <f t="shared" si="2"/>
        <v>(01) Compras</v>
      </c>
      <c r="B39" s="12" t="s">
        <v>58</v>
      </c>
      <c r="C39" s="12" t="s">
        <v>22</v>
      </c>
      <c r="D39" s="13" t="s">
        <v>23</v>
      </c>
      <c r="E39" s="18">
        <v>130.0</v>
      </c>
      <c r="F39" s="19">
        <v>130.0</v>
      </c>
      <c r="G39" s="19">
        <v>130.0</v>
      </c>
      <c r="H39" s="19">
        <v>130.0</v>
      </c>
      <c r="I39" s="19">
        <v>130.0</v>
      </c>
      <c r="J39" s="19">
        <v>130.0</v>
      </c>
      <c r="K39" s="19">
        <v>130.0</v>
      </c>
      <c r="L39" s="19">
        <v>130.0</v>
      </c>
      <c r="M39" s="19">
        <v>130.0</v>
      </c>
      <c r="N39" s="19">
        <v>130.0</v>
      </c>
      <c r="O39" s="19">
        <v>220.0</v>
      </c>
      <c r="P39" s="21"/>
      <c r="Q39" s="17">
        <f t="shared" si="3"/>
        <v>1520</v>
      </c>
    </row>
    <row r="40">
      <c r="A40" s="12" t="str">
        <f t="shared" si="2"/>
        <v>(01) Compras</v>
      </c>
      <c r="B40" s="12" t="s">
        <v>61</v>
      </c>
      <c r="C40" s="12" t="s">
        <v>25</v>
      </c>
      <c r="D40" s="13" t="s">
        <v>26</v>
      </c>
      <c r="E40" s="22"/>
      <c r="F40" s="19">
        <v>4437.5</v>
      </c>
      <c r="G40" s="19">
        <v>4437.5</v>
      </c>
      <c r="H40" s="20"/>
      <c r="I40" s="20"/>
      <c r="J40" s="20"/>
      <c r="K40" s="20"/>
      <c r="L40" s="19">
        <v>4437.5</v>
      </c>
      <c r="M40" s="19">
        <v>4437.5</v>
      </c>
      <c r="N40" s="20"/>
      <c r="O40" s="20"/>
      <c r="P40" s="23"/>
      <c r="Q40" s="17">
        <f t="shared" si="3"/>
        <v>17750</v>
      </c>
    </row>
    <row r="41">
      <c r="A41" s="12" t="str">
        <f t="shared" si="2"/>
        <v>(01) Compras</v>
      </c>
      <c r="B41" s="12" t="s">
        <v>61</v>
      </c>
      <c r="C41" s="12" t="s">
        <v>25</v>
      </c>
      <c r="D41" s="13" t="s">
        <v>28</v>
      </c>
      <c r="E41" s="18"/>
      <c r="F41" s="19"/>
      <c r="G41" s="20"/>
      <c r="H41" s="20"/>
      <c r="I41" s="20"/>
      <c r="J41" s="20"/>
      <c r="K41" s="19"/>
      <c r="L41" s="19"/>
      <c r="M41" s="20"/>
      <c r="N41" s="19">
        <v>2745.0</v>
      </c>
      <c r="O41" s="19">
        <v>2745.0</v>
      </c>
      <c r="P41" s="21"/>
      <c r="Q41" s="17">
        <f t="shared" si="3"/>
        <v>5490</v>
      </c>
    </row>
    <row r="42">
      <c r="A42" s="12" t="str">
        <f t="shared" si="2"/>
        <v>(01) Compras</v>
      </c>
      <c r="B42" s="12" t="s">
        <v>61</v>
      </c>
      <c r="C42" s="12" t="s">
        <v>25</v>
      </c>
      <c r="D42" s="13" t="s">
        <v>29</v>
      </c>
      <c r="E42" s="22"/>
      <c r="F42" s="20"/>
      <c r="G42" s="20"/>
      <c r="H42" s="20"/>
      <c r="I42" s="20"/>
      <c r="J42" s="20"/>
      <c r="K42" s="20"/>
      <c r="L42" s="20"/>
      <c r="M42" s="19"/>
      <c r="N42" s="19"/>
      <c r="O42" s="19">
        <v>540.0</v>
      </c>
      <c r="P42" s="21"/>
      <c r="Q42" s="17">
        <f t="shared" si="3"/>
        <v>540</v>
      </c>
    </row>
    <row r="43">
      <c r="A43" s="12" t="str">
        <f t="shared" si="2"/>
        <v>(01) Compras</v>
      </c>
      <c r="B43" s="12" t="s">
        <v>61</v>
      </c>
      <c r="C43" s="12" t="s">
        <v>20</v>
      </c>
      <c r="D43" s="13" t="s">
        <v>21</v>
      </c>
      <c r="E43" s="18">
        <v>180.0</v>
      </c>
      <c r="F43" s="19">
        <v>180.0</v>
      </c>
      <c r="G43" s="19">
        <v>180.0</v>
      </c>
      <c r="H43" s="19">
        <v>180.0</v>
      </c>
      <c r="I43" s="19">
        <v>180.0</v>
      </c>
      <c r="J43" s="19">
        <v>180.0</v>
      </c>
      <c r="K43" s="19">
        <v>180.0</v>
      </c>
      <c r="L43" s="19">
        <v>180.0</v>
      </c>
      <c r="M43" s="19">
        <v>180.0</v>
      </c>
      <c r="N43" s="19">
        <v>180.0</v>
      </c>
      <c r="O43" s="19">
        <v>260.0</v>
      </c>
      <c r="P43" s="21"/>
      <c r="Q43" s="17">
        <f t="shared" si="3"/>
        <v>2060</v>
      </c>
    </row>
    <row r="44">
      <c r="A44" s="12" t="str">
        <f t="shared" si="2"/>
        <v>(01) Compras</v>
      </c>
      <c r="B44" s="12" t="s">
        <v>61</v>
      </c>
      <c r="C44" s="12" t="s">
        <v>22</v>
      </c>
      <c r="D44" s="13" t="s">
        <v>23</v>
      </c>
      <c r="E44" s="18">
        <v>190.0</v>
      </c>
      <c r="F44" s="19">
        <v>190.0</v>
      </c>
      <c r="G44" s="19">
        <v>190.0</v>
      </c>
      <c r="H44" s="19">
        <v>190.0</v>
      </c>
      <c r="I44" s="19">
        <v>190.0</v>
      </c>
      <c r="J44" s="19">
        <v>190.0</v>
      </c>
      <c r="K44" s="19">
        <v>190.0</v>
      </c>
      <c r="L44" s="19">
        <v>190.0</v>
      </c>
      <c r="M44" s="19">
        <v>190.0</v>
      </c>
      <c r="N44" s="19">
        <v>190.0</v>
      </c>
      <c r="O44" s="19">
        <v>370.0</v>
      </c>
      <c r="P44" s="21"/>
      <c r="Q44" s="17">
        <f t="shared" si="3"/>
        <v>2270</v>
      </c>
    </row>
    <row r="45">
      <c r="A45" s="12" t="str">
        <f t="shared" si="2"/>
        <v>(01) Compras</v>
      </c>
      <c r="B45" s="12" t="s">
        <v>61</v>
      </c>
      <c r="C45" s="12" t="s">
        <v>40</v>
      </c>
      <c r="D45" s="13" t="s">
        <v>59</v>
      </c>
      <c r="E45" s="22"/>
      <c r="F45" s="20"/>
      <c r="G45" s="20"/>
      <c r="H45" s="19">
        <v>4600.0</v>
      </c>
      <c r="I45" s="19"/>
      <c r="J45" s="20"/>
      <c r="K45" s="20"/>
      <c r="L45" s="20"/>
      <c r="M45" s="20"/>
      <c r="N45" s="20"/>
      <c r="O45" s="20"/>
      <c r="P45" s="21"/>
      <c r="Q45" s="17">
        <f t="shared" si="3"/>
        <v>4600</v>
      </c>
    </row>
    <row r="46">
      <c r="A46" s="12" t="str">
        <f t="shared" si="2"/>
        <v>(01) Compras</v>
      </c>
      <c r="B46" s="12" t="s">
        <v>61</v>
      </c>
      <c r="C46" s="12" t="s">
        <v>53</v>
      </c>
      <c r="D46" s="13" t="s">
        <v>60</v>
      </c>
      <c r="E46" s="22"/>
      <c r="F46" s="19">
        <v>2960.0</v>
      </c>
      <c r="G46" s="19"/>
      <c r="H46" s="19"/>
      <c r="I46" s="20"/>
      <c r="J46" s="20"/>
      <c r="K46" s="20"/>
      <c r="L46" s="20"/>
      <c r="M46" s="20"/>
      <c r="N46" s="20"/>
      <c r="O46" s="19"/>
      <c r="P46" s="21"/>
      <c r="Q46" s="17">
        <f t="shared" si="3"/>
        <v>2960</v>
      </c>
    </row>
    <row r="47">
      <c r="A47" s="12" t="str">
        <f t="shared" si="2"/>
        <v>(01) Compras</v>
      </c>
      <c r="B47" s="12" t="s">
        <v>61</v>
      </c>
      <c r="C47" s="12" t="s">
        <v>45</v>
      </c>
      <c r="D47" s="13" t="s">
        <v>49</v>
      </c>
      <c r="E47" s="22"/>
      <c r="F47" s="19"/>
      <c r="G47" s="20"/>
      <c r="H47" s="20"/>
      <c r="I47" s="20"/>
      <c r="J47" s="20"/>
      <c r="K47" s="20"/>
      <c r="L47" s="20"/>
      <c r="M47" s="20"/>
      <c r="N47" s="19"/>
      <c r="O47" s="20"/>
      <c r="P47" s="23">
        <v>2400.0</v>
      </c>
      <c r="Q47" s="17">
        <f t="shared" si="3"/>
        <v>2400</v>
      </c>
    </row>
    <row r="48">
      <c r="A48" s="12" t="str">
        <f t="shared" si="2"/>
        <v>(01) Compras</v>
      </c>
      <c r="B48" s="12" t="s">
        <v>62</v>
      </c>
      <c r="C48" s="12" t="s">
        <v>25</v>
      </c>
      <c r="D48" s="13" t="s">
        <v>26</v>
      </c>
      <c r="E48" s="22"/>
      <c r="F48" s="19">
        <v>10347.5</v>
      </c>
      <c r="G48" s="19">
        <v>10347.5</v>
      </c>
      <c r="H48" s="20"/>
      <c r="I48" s="20"/>
      <c r="J48" s="20"/>
      <c r="K48" s="20"/>
      <c r="L48" s="19">
        <v>10347.5</v>
      </c>
      <c r="M48" s="19">
        <v>10347.5</v>
      </c>
      <c r="N48" s="20"/>
      <c r="O48" s="20"/>
      <c r="P48" s="23"/>
      <c r="Q48" s="17">
        <f t="shared" si="3"/>
        <v>41390</v>
      </c>
    </row>
    <row r="49">
      <c r="A49" s="12" t="str">
        <f t="shared" si="2"/>
        <v>(01) Compras</v>
      </c>
      <c r="B49" s="12" t="s">
        <v>62</v>
      </c>
      <c r="C49" s="12" t="s">
        <v>25</v>
      </c>
      <c r="D49" s="13" t="s">
        <v>28</v>
      </c>
      <c r="E49" s="18"/>
      <c r="F49" s="19"/>
      <c r="G49" s="20"/>
      <c r="H49" s="20"/>
      <c r="I49" s="20"/>
      <c r="J49" s="20"/>
      <c r="K49" s="19"/>
      <c r="L49" s="19"/>
      <c r="M49" s="20"/>
      <c r="N49" s="19">
        <v>6385.0</v>
      </c>
      <c r="O49" s="19">
        <v>6385.0</v>
      </c>
      <c r="P49" s="21"/>
      <c r="Q49" s="17">
        <f t="shared" si="3"/>
        <v>12770</v>
      </c>
    </row>
    <row r="50">
      <c r="A50" s="12" t="str">
        <f t="shared" si="2"/>
        <v>(01) Compras</v>
      </c>
      <c r="B50" s="12" t="s">
        <v>62</v>
      </c>
      <c r="C50" s="12" t="s">
        <v>25</v>
      </c>
      <c r="D50" s="13" t="s">
        <v>29</v>
      </c>
      <c r="E50" s="22"/>
      <c r="F50" s="20"/>
      <c r="G50" s="20"/>
      <c r="H50" s="20"/>
      <c r="I50" s="20"/>
      <c r="J50" s="20"/>
      <c r="K50" s="20"/>
      <c r="L50" s="20"/>
      <c r="M50" s="19"/>
      <c r="N50" s="19"/>
      <c r="O50" s="19">
        <v>1260.0</v>
      </c>
      <c r="P50" s="21"/>
      <c r="Q50" s="17">
        <f t="shared" si="3"/>
        <v>1260</v>
      </c>
    </row>
    <row r="51">
      <c r="A51" s="12" t="str">
        <f t="shared" si="2"/>
        <v>(01) Compras</v>
      </c>
      <c r="B51" s="12" t="s">
        <v>62</v>
      </c>
      <c r="C51" s="12" t="s">
        <v>20</v>
      </c>
      <c r="D51" s="13" t="s">
        <v>21</v>
      </c>
      <c r="E51" s="18">
        <v>430.0</v>
      </c>
      <c r="F51" s="19">
        <v>430.0</v>
      </c>
      <c r="G51" s="19">
        <v>430.0</v>
      </c>
      <c r="H51" s="19">
        <v>430.0</v>
      </c>
      <c r="I51" s="19">
        <v>430.0</v>
      </c>
      <c r="J51" s="19">
        <v>430.0</v>
      </c>
      <c r="K51" s="19">
        <v>430.0</v>
      </c>
      <c r="L51" s="19">
        <v>430.0</v>
      </c>
      <c r="M51" s="19">
        <v>430.0</v>
      </c>
      <c r="N51" s="19">
        <v>430.0</v>
      </c>
      <c r="O51" s="19">
        <v>780.0</v>
      </c>
      <c r="P51" s="21"/>
      <c r="Q51" s="17">
        <f t="shared" si="3"/>
        <v>5080</v>
      </c>
    </row>
    <row r="52">
      <c r="A52" s="12" t="str">
        <f t="shared" si="2"/>
        <v>(01) Compras</v>
      </c>
      <c r="B52" s="12" t="s">
        <v>62</v>
      </c>
      <c r="C52" s="12" t="s">
        <v>40</v>
      </c>
      <c r="D52" s="13" t="s">
        <v>59</v>
      </c>
      <c r="E52" s="18"/>
      <c r="F52" s="20"/>
      <c r="G52" s="19"/>
      <c r="H52" s="19">
        <v>3450.0</v>
      </c>
      <c r="I52" s="19">
        <v>3450.0</v>
      </c>
      <c r="J52" s="19">
        <v>3450.0</v>
      </c>
      <c r="K52" s="20"/>
      <c r="L52" s="20"/>
      <c r="M52" s="19"/>
      <c r="N52" s="20"/>
      <c r="O52" s="19"/>
      <c r="P52" s="21"/>
      <c r="Q52" s="17">
        <f t="shared" si="3"/>
        <v>10350</v>
      </c>
    </row>
    <row r="53">
      <c r="A53" s="12" t="str">
        <f t="shared" si="2"/>
        <v>(01) Compras</v>
      </c>
      <c r="B53" s="12" t="s">
        <v>62</v>
      </c>
      <c r="C53" s="12" t="s">
        <v>53</v>
      </c>
      <c r="D53" s="13" t="s">
        <v>60</v>
      </c>
      <c r="E53" s="22"/>
      <c r="F53" s="20"/>
      <c r="G53" s="19">
        <v>3330.0</v>
      </c>
      <c r="H53" s="19">
        <v>3330.0</v>
      </c>
      <c r="I53" s="19"/>
      <c r="J53" s="20"/>
      <c r="K53" s="20"/>
      <c r="L53" s="20"/>
      <c r="M53" s="20"/>
      <c r="N53" s="20"/>
      <c r="O53" s="19">
        <v>4250.0</v>
      </c>
      <c r="P53" s="21"/>
      <c r="Q53" s="17">
        <f t="shared" si="3"/>
        <v>10910</v>
      </c>
    </row>
    <row r="54">
      <c r="A54" s="12" t="str">
        <f t="shared" si="2"/>
        <v>(01) Compras</v>
      </c>
      <c r="B54" s="12" t="s">
        <v>62</v>
      </c>
      <c r="C54" s="12" t="s">
        <v>53</v>
      </c>
      <c r="D54" s="13" t="s">
        <v>63</v>
      </c>
      <c r="E54" s="18"/>
      <c r="F54" s="19"/>
      <c r="G54" s="20"/>
      <c r="H54" s="20"/>
      <c r="I54" s="19">
        <v>2050.0</v>
      </c>
      <c r="J54" s="20"/>
      <c r="K54" s="20"/>
      <c r="L54" s="20"/>
      <c r="M54" s="19"/>
      <c r="N54" s="19"/>
      <c r="O54" s="19">
        <v>2050.0</v>
      </c>
      <c r="P54" s="21"/>
      <c r="Q54" s="17">
        <f t="shared" si="3"/>
        <v>4100</v>
      </c>
    </row>
    <row r="55">
      <c r="A55" s="12" t="str">
        <f t="shared" si="2"/>
        <v>(01) Compras</v>
      </c>
      <c r="B55" s="12" t="s">
        <v>62</v>
      </c>
      <c r="C55" s="12" t="s">
        <v>45</v>
      </c>
      <c r="D55" s="13" t="s">
        <v>49</v>
      </c>
      <c r="E55" s="22"/>
      <c r="F55" s="19"/>
      <c r="G55" s="20"/>
      <c r="H55" s="20"/>
      <c r="I55" s="20"/>
      <c r="J55" s="20"/>
      <c r="K55" s="20"/>
      <c r="L55" s="20"/>
      <c r="M55" s="20"/>
      <c r="N55" s="19"/>
      <c r="O55" s="20"/>
      <c r="P55" s="23">
        <v>5600.0</v>
      </c>
      <c r="Q55" s="17">
        <f t="shared" si="3"/>
        <v>5600</v>
      </c>
    </row>
    <row r="56">
      <c r="A56" s="12" t="str">
        <f t="shared" si="2"/>
        <v>(01) Compras</v>
      </c>
      <c r="B56" s="12" t="s">
        <v>64</v>
      </c>
      <c r="C56" s="12" t="s">
        <v>25</v>
      </c>
      <c r="D56" s="13" t="s">
        <v>26</v>
      </c>
      <c r="E56" s="22"/>
      <c r="F56" s="19">
        <v>17775.0</v>
      </c>
      <c r="G56" s="19">
        <v>17775.0</v>
      </c>
      <c r="H56" s="20"/>
      <c r="I56" s="20"/>
      <c r="J56" s="20"/>
      <c r="K56" s="20"/>
      <c r="L56" s="19">
        <v>17775.0</v>
      </c>
      <c r="M56" s="19">
        <v>17775.0</v>
      </c>
      <c r="N56" s="20"/>
      <c r="O56" s="20"/>
      <c r="P56" s="23"/>
      <c r="Q56" s="17">
        <f t="shared" si="3"/>
        <v>71100</v>
      </c>
    </row>
    <row r="57">
      <c r="A57" s="12" t="str">
        <f t="shared" si="2"/>
        <v>(01) Compras</v>
      </c>
      <c r="B57" s="12" t="s">
        <v>64</v>
      </c>
      <c r="C57" s="12" t="s">
        <v>25</v>
      </c>
      <c r="D57" s="13" t="s">
        <v>28</v>
      </c>
      <c r="E57" s="22"/>
      <c r="F57" s="20"/>
      <c r="G57" s="19"/>
      <c r="H57" s="20"/>
      <c r="I57" s="20"/>
      <c r="J57" s="20"/>
      <c r="K57" s="20"/>
      <c r="L57" s="20"/>
      <c r="M57" s="20"/>
      <c r="N57" s="19">
        <v>10950.0</v>
      </c>
      <c r="O57" s="19">
        <v>10950.0</v>
      </c>
      <c r="P57" s="21"/>
      <c r="Q57" s="17">
        <f t="shared" si="3"/>
        <v>21900</v>
      </c>
    </row>
    <row r="58">
      <c r="A58" s="12" t="str">
        <f t="shared" si="2"/>
        <v>(01) Compras</v>
      </c>
      <c r="B58" s="12" t="s">
        <v>64</v>
      </c>
      <c r="C58" s="12" t="s">
        <v>25</v>
      </c>
      <c r="D58" s="13" t="s">
        <v>29</v>
      </c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>
        <v>2160.0</v>
      </c>
      <c r="P58" s="21"/>
      <c r="Q58" s="17">
        <f t="shared" si="3"/>
        <v>2160</v>
      </c>
    </row>
    <row r="59">
      <c r="A59" s="12" t="str">
        <f t="shared" si="2"/>
        <v>(01) Compras</v>
      </c>
      <c r="B59" s="12" t="s">
        <v>64</v>
      </c>
      <c r="C59" s="12" t="s">
        <v>20</v>
      </c>
      <c r="D59" s="13" t="s">
        <v>21</v>
      </c>
      <c r="E59" s="18">
        <v>530.0</v>
      </c>
      <c r="F59" s="19">
        <v>530.0</v>
      </c>
      <c r="G59" s="19">
        <v>530.0</v>
      </c>
      <c r="H59" s="19">
        <v>530.0</v>
      </c>
      <c r="I59" s="19">
        <v>530.0</v>
      </c>
      <c r="J59" s="19">
        <v>530.0</v>
      </c>
      <c r="K59" s="19">
        <v>530.0</v>
      </c>
      <c r="L59" s="19">
        <v>530.0</v>
      </c>
      <c r="M59" s="19">
        <v>530.0</v>
      </c>
      <c r="N59" s="19">
        <v>530.0</v>
      </c>
      <c r="O59" s="19">
        <v>890.0</v>
      </c>
      <c r="P59" s="21"/>
      <c r="Q59" s="17">
        <f t="shared" si="3"/>
        <v>6190</v>
      </c>
    </row>
    <row r="60">
      <c r="A60" s="12" t="str">
        <f t="shared" si="2"/>
        <v>(01) Compras</v>
      </c>
      <c r="B60" s="12" t="s">
        <v>64</v>
      </c>
      <c r="C60" s="12" t="s">
        <v>40</v>
      </c>
      <c r="D60" s="13" t="s">
        <v>59</v>
      </c>
      <c r="E60" s="22"/>
      <c r="F60" s="20"/>
      <c r="G60" s="20"/>
      <c r="H60" s="19">
        <v>4600.0</v>
      </c>
      <c r="I60" s="19">
        <v>4600.0</v>
      </c>
      <c r="J60" s="19">
        <v>4600.0</v>
      </c>
      <c r="K60" s="20"/>
      <c r="L60" s="20"/>
      <c r="M60" s="20"/>
      <c r="N60" s="19"/>
      <c r="O60" s="20"/>
      <c r="P60" s="21"/>
      <c r="Q60" s="17">
        <f t="shared" si="3"/>
        <v>13800</v>
      </c>
    </row>
    <row r="61">
      <c r="A61" s="12" t="str">
        <f t="shared" si="2"/>
        <v>(01) Compras</v>
      </c>
      <c r="B61" s="12" t="s">
        <v>64</v>
      </c>
      <c r="C61" s="12" t="s">
        <v>53</v>
      </c>
      <c r="D61" s="13" t="s">
        <v>60</v>
      </c>
      <c r="E61" s="18">
        <v>4440.0</v>
      </c>
      <c r="F61" s="19">
        <v>4440.0</v>
      </c>
      <c r="G61" s="19"/>
      <c r="H61" s="19"/>
      <c r="I61" s="19"/>
      <c r="J61" s="19"/>
      <c r="K61" s="19"/>
      <c r="L61" s="19"/>
      <c r="M61" s="19">
        <v>5600.0</v>
      </c>
      <c r="N61" s="19"/>
      <c r="O61" s="19"/>
      <c r="P61" s="21"/>
      <c r="Q61" s="17">
        <f t="shared" si="3"/>
        <v>14480</v>
      </c>
    </row>
    <row r="62">
      <c r="A62" s="12" t="str">
        <f t="shared" si="2"/>
        <v>(01) Compras</v>
      </c>
      <c r="B62" s="12" t="s">
        <v>64</v>
      </c>
      <c r="C62" s="12" t="s">
        <v>53</v>
      </c>
      <c r="D62" s="13" t="s">
        <v>63</v>
      </c>
      <c r="E62" s="18"/>
      <c r="F62" s="20"/>
      <c r="G62" s="19"/>
      <c r="H62" s="20"/>
      <c r="I62" s="19">
        <v>4100.0</v>
      </c>
      <c r="J62" s="19"/>
      <c r="K62" s="20"/>
      <c r="L62" s="20"/>
      <c r="M62" s="19"/>
      <c r="N62" s="20"/>
      <c r="O62" s="19">
        <v>4100.0</v>
      </c>
      <c r="P62" s="21"/>
      <c r="Q62" s="17">
        <f t="shared" si="3"/>
        <v>8200</v>
      </c>
    </row>
    <row r="63">
      <c r="A63" s="12" t="str">
        <f t="shared" si="2"/>
        <v>(01) Compras</v>
      </c>
      <c r="B63" s="12" t="s">
        <v>64</v>
      </c>
      <c r="C63" s="12" t="s">
        <v>45</v>
      </c>
      <c r="D63" s="13" t="s">
        <v>49</v>
      </c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3">
        <v>9600.0</v>
      </c>
      <c r="Q63" s="17">
        <f t="shared" si="3"/>
        <v>9600</v>
      </c>
    </row>
    <row r="64">
      <c r="A64" s="12" t="str">
        <f t="shared" si="2"/>
        <v>(01) Compras</v>
      </c>
      <c r="B64" s="12" t="s">
        <v>64</v>
      </c>
      <c r="C64" s="12" t="s">
        <v>40</v>
      </c>
      <c r="D64" s="13" t="s">
        <v>51</v>
      </c>
      <c r="E64" s="22"/>
      <c r="F64" s="19">
        <v>115.0</v>
      </c>
      <c r="G64" s="19"/>
      <c r="H64" s="20"/>
      <c r="I64" s="20"/>
      <c r="J64" s="20"/>
      <c r="K64" s="20"/>
      <c r="L64" s="20"/>
      <c r="M64" s="20"/>
      <c r="N64" s="20"/>
      <c r="O64" s="20"/>
      <c r="P64" s="21"/>
      <c r="Q64" s="17">
        <f t="shared" si="3"/>
        <v>115</v>
      </c>
    </row>
    <row r="65">
      <c r="A65" s="12" t="str">
        <f t="shared" si="2"/>
        <v>(01) Compras</v>
      </c>
      <c r="B65" s="12" t="s">
        <v>64</v>
      </c>
      <c r="C65" s="12" t="s">
        <v>25</v>
      </c>
      <c r="D65" s="24" t="s">
        <v>30</v>
      </c>
      <c r="E65" s="18"/>
      <c r="F65" s="19"/>
      <c r="G65" s="19">
        <v>285.0</v>
      </c>
      <c r="H65" s="19"/>
      <c r="I65" s="19"/>
      <c r="J65" s="19"/>
      <c r="K65" s="19"/>
      <c r="L65" s="19"/>
      <c r="M65" s="19"/>
      <c r="N65" s="19"/>
      <c r="O65" s="19"/>
      <c r="P65" s="21"/>
      <c r="Q65" s="17">
        <f t="shared" si="3"/>
        <v>285</v>
      </c>
    </row>
    <row r="66">
      <c r="A66" s="12" t="str">
        <f t="shared" si="2"/>
        <v>(01) Compras</v>
      </c>
      <c r="B66" s="12" t="s">
        <v>64</v>
      </c>
      <c r="C66" s="12" t="s">
        <v>22</v>
      </c>
      <c r="D66" s="13" t="s">
        <v>23</v>
      </c>
      <c r="E66" s="18">
        <v>120.0</v>
      </c>
      <c r="F66" s="19">
        <v>120.0</v>
      </c>
      <c r="G66" s="19">
        <v>120.0</v>
      </c>
      <c r="H66" s="19">
        <v>120.0</v>
      </c>
      <c r="I66" s="19">
        <v>120.0</v>
      </c>
      <c r="J66" s="19">
        <v>120.0</v>
      </c>
      <c r="K66" s="19">
        <v>120.0</v>
      </c>
      <c r="L66" s="19">
        <v>120.0</v>
      </c>
      <c r="M66" s="19">
        <v>120.0</v>
      </c>
      <c r="N66" s="19">
        <v>120.0</v>
      </c>
      <c r="O66" s="19">
        <v>210.0</v>
      </c>
      <c r="P66" s="21"/>
      <c r="Q66" s="17">
        <f t="shared" si="3"/>
        <v>1410</v>
      </c>
    </row>
    <row r="67">
      <c r="A67" s="12" t="str">
        <f t="shared" si="2"/>
        <v>(01) Compras</v>
      </c>
      <c r="B67" s="12" t="s">
        <v>65</v>
      </c>
      <c r="C67" s="12" t="s">
        <v>25</v>
      </c>
      <c r="D67" s="13" t="s">
        <v>26</v>
      </c>
      <c r="E67" s="22"/>
      <c r="F67" s="19">
        <v>2210.0</v>
      </c>
      <c r="G67" s="19">
        <v>2210.0</v>
      </c>
      <c r="H67" s="20"/>
      <c r="I67" s="20"/>
      <c r="J67" s="20"/>
      <c r="K67" s="20"/>
      <c r="L67" s="19">
        <v>2210.0</v>
      </c>
      <c r="M67" s="19">
        <v>2210.0</v>
      </c>
      <c r="N67" s="20"/>
      <c r="O67" s="20"/>
      <c r="P67" s="23"/>
      <c r="Q67" s="17">
        <f t="shared" si="3"/>
        <v>8840</v>
      </c>
    </row>
    <row r="68">
      <c r="A68" s="12" t="str">
        <f t="shared" si="2"/>
        <v>(01) Compras</v>
      </c>
      <c r="B68" s="12" t="s">
        <v>65</v>
      </c>
      <c r="C68" s="12" t="s">
        <v>25</v>
      </c>
      <c r="D68" s="13" t="s">
        <v>28</v>
      </c>
      <c r="E68" s="18"/>
      <c r="F68" s="19"/>
      <c r="G68" s="20"/>
      <c r="H68" s="20"/>
      <c r="I68" s="20"/>
      <c r="J68" s="20"/>
      <c r="K68" s="19"/>
      <c r="L68" s="19"/>
      <c r="M68" s="20"/>
      <c r="N68" s="19">
        <v>1365.0</v>
      </c>
      <c r="O68" s="19">
        <v>1365.0</v>
      </c>
      <c r="P68" s="21"/>
      <c r="Q68" s="17">
        <f t="shared" si="3"/>
        <v>2730</v>
      </c>
    </row>
    <row r="69">
      <c r="A69" s="12" t="str">
        <f t="shared" si="2"/>
        <v>(01) Compras</v>
      </c>
      <c r="B69" s="12" t="s">
        <v>65</v>
      </c>
      <c r="C69" s="12" t="s">
        <v>25</v>
      </c>
      <c r="D69" s="13" t="s">
        <v>29</v>
      </c>
      <c r="E69" s="22"/>
      <c r="F69" s="20"/>
      <c r="G69" s="19"/>
      <c r="H69" s="20"/>
      <c r="I69" s="20"/>
      <c r="J69" s="20"/>
      <c r="K69" s="20"/>
      <c r="L69" s="20"/>
      <c r="M69" s="20"/>
      <c r="N69" s="20"/>
      <c r="O69" s="19">
        <v>270.0</v>
      </c>
      <c r="P69" s="21"/>
      <c r="Q69" s="17">
        <f t="shared" si="3"/>
        <v>270</v>
      </c>
    </row>
    <row r="70">
      <c r="A70" s="12" t="str">
        <f t="shared" si="2"/>
        <v>(01) Compras</v>
      </c>
      <c r="B70" s="12" t="s">
        <v>65</v>
      </c>
      <c r="C70" s="12" t="s">
        <v>20</v>
      </c>
      <c r="D70" s="13" t="s">
        <v>21</v>
      </c>
      <c r="E70" s="18">
        <v>290.0</v>
      </c>
      <c r="F70" s="19">
        <v>290.0</v>
      </c>
      <c r="G70" s="19">
        <v>290.0</v>
      </c>
      <c r="H70" s="19">
        <v>290.0</v>
      </c>
      <c r="I70" s="19">
        <v>290.0</v>
      </c>
      <c r="J70" s="19">
        <v>290.0</v>
      </c>
      <c r="K70" s="19">
        <v>290.0</v>
      </c>
      <c r="L70" s="19">
        <v>290.0</v>
      </c>
      <c r="M70" s="19">
        <v>290.0</v>
      </c>
      <c r="N70" s="19">
        <v>290.0</v>
      </c>
      <c r="O70" s="19">
        <v>450.0</v>
      </c>
      <c r="P70" s="21"/>
      <c r="Q70" s="17">
        <f t="shared" si="3"/>
        <v>3350</v>
      </c>
    </row>
    <row r="71">
      <c r="A71" s="12" t="str">
        <f t="shared" si="2"/>
        <v>(01) Compras</v>
      </c>
      <c r="B71" s="12" t="s">
        <v>65</v>
      </c>
      <c r="C71" s="12" t="s">
        <v>22</v>
      </c>
      <c r="D71" s="13" t="s">
        <v>23</v>
      </c>
      <c r="E71" s="18">
        <v>140.0</v>
      </c>
      <c r="F71" s="19">
        <v>140.0</v>
      </c>
      <c r="G71" s="19">
        <v>140.0</v>
      </c>
      <c r="H71" s="19">
        <v>140.0</v>
      </c>
      <c r="I71" s="19">
        <v>140.0</v>
      </c>
      <c r="J71" s="19">
        <v>140.0</v>
      </c>
      <c r="K71" s="19">
        <v>140.0</v>
      </c>
      <c r="L71" s="19">
        <v>140.0</v>
      </c>
      <c r="M71" s="19">
        <v>140.0</v>
      </c>
      <c r="N71" s="19">
        <v>140.0</v>
      </c>
      <c r="O71" s="19">
        <v>260.0</v>
      </c>
      <c r="P71" s="21"/>
      <c r="Q71" s="17">
        <f t="shared" si="3"/>
        <v>1660</v>
      </c>
    </row>
    <row r="72">
      <c r="A72" s="12" t="str">
        <f t="shared" si="2"/>
        <v>(01) Compras</v>
      </c>
      <c r="B72" s="12" t="s">
        <v>65</v>
      </c>
      <c r="C72" s="12" t="s">
        <v>40</v>
      </c>
      <c r="D72" s="13" t="s">
        <v>59</v>
      </c>
      <c r="E72" s="18"/>
      <c r="F72" s="20"/>
      <c r="G72" s="19"/>
      <c r="H72" s="20"/>
      <c r="I72" s="19">
        <v>3450.0</v>
      </c>
      <c r="J72" s="19"/>
      <c r="K72" s="20"/>
      <c r="L72" s="20"/>
      <c r="M72" s="19"/>
      <c r="N72" s="20"/>
      <c r="O72" s="19"/>
      <c r="P72" s="21"/>
      <c r="Q72" s="17">
        <f t="shared" si="3"/>
        <v>3450</v>
      </c>
    </row>
    <row r="73">
      <c r="A73" s="12" t="str">
        <f t="shared" si="2"/>
        <v>(01) Compras</v>
      </c>
      <c r="B73" s="12" t="s">
        <v>65</v>
      </c>
      <c r="C73" s="12" t="s">
        <v>53</v>
      </c>
      <c r="D73" s="13" t="s">
        <v>60</v>
      </c>
      <c r="E73" s="22"/>
      <c r="F73" s="20"/>
      <c r="G73" s="19">
        <v>2400.0</v>
      </c>
      <c r="H73" s="20"/>
      <c r="I73" s="20"/>
      <c r="J73" s="20"/>
      <c r="K73" s="20"/>
      <c r="L73" s="20"/>
      <c r="M73" s="20"/>
      <c r="N73" s="19">
        <v>2400.0</v>
      </c>
      <c r="O73" s="20"/>
      <c r="P73" s="21"/>
      <c r="Q73" s="17">
        <f t="shared" si="3"/>
        <v>4800</v>
      </c>
    </row>
    <row r="74">
      <c r="A74" s="12" t="str">
        <f t="shared" si="2"/>
        <v>(01) Compras</v>
      </c>
      <c r="B74" s="12" t="s">
        <v>65</v>
      </c>
      <c r="C74" s="12" t="s">
        <v>45</v>
      </c>
      <c r="D74" s="13" t="s">
        <v>49</v>
      </c>
      <c r="E74" s="2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3">
        <v>1200.0</v>
      </c>
      <c r="Q74" s="17">
        <f t="shared" si="3"/>
        <v>1200</v>
      </c>
    </row>
    <row r="75">
      <c r="A75" s="12" t="str">
        <f t="shared" si="2"/>
        <v>(01) Compras</v>
      </c>
      <c r="B75" s="12" t="s">
        <v>66</v>
      </c>
      <c r="C75" s="12" t="s">
        <v>25</v>
      </c>
      <c r="D75" s="13" t="s">
        <v>27</v>
      </c>
      <c r="E75" s="18"/>
      <c r="F75" s="19">
        <v>820.0</v>
      </c>
      <c r="G75" s="19">
        <v>820.0</v>
      </c>
      <c r="H75" s="20"/>
      <c r="I75" s="20"/>
      <c r="J75" s="20"/>
      <c r="K75" s="19"/>
      <c r="L75" s="19">
        <v>820.0</v>
      </c>
      <c r="M75" s="19">
        <v>820.0</v>
      </c>
      <c r="N75" s="20"/>
      <c r="O75" s="20"/>
      <c r="P75" s="21"/>
      <c r="Q75" s="17">
        <f t="shared" si="3"/>
        <v>3280</v>
      </c>
    </row>
    <row r="76">
      <c r="A76" s="12" t="str">
        <f t="shared" si="2"/>
        <v>(01) Compras</v>
      </c>
      <c r="B76" s="12" t="s">
        <v>66</v>
      </c>
      <c r="C76" s="12" t="s">
        <v>25</v>
      </c>
      <c r="D76" s="13" t="s">
        <v>30</v>
      </c>
      <c r="E76" s="22"/>
      <c r="F76" s="20"/>
      <c r="G76" s="19">
        <v>285.0</v>
      </c>
      <c r="H76" s="20"/>
      <c r="I76" s="20"/>
      <c r="J76" s="20"/>
      <c r="K76" s="20"/>
      <c r="L76" s="20"/>
      <c r="M76" s="19"/>
      <c r="N76" s="19"/>
      <c r="O76" s="20"/>
      <c r="P76" s="21"/>
      <c r="Q76" s="17">
        <f t="shared" si="3"/>
        <v>285</v>
      </c>
    </row>
    <row r="77">
      <c r="A77" s="12" t="str">
        <f t="shared" si="2"/>
        <v>(01) Compras</v>
      </c>
      <c r="B77" s="12" t="s">
        <v>66</v>
      </c>
      <c r="C77" s="12" t="s">
        <v>25</v>
      </c>
      <c r="D77" s="13" t="s">
        <v>29</v>
      </c>
      <c r="E77" s="22"/>
      <c r="F77" s="20"/>
      <c r="G77" s="20"/>
      <c r="H77" s="20"/>
      <c r="I77" s="20"/>
      <c r="J77" s="20"/>
      <c r="K77" s="20"/>
      <c r="L77" s="20"/>
      <c r="M77" s="20"/>
      <c r="N77" s="19"/>
      <c r="O77" s="19">
        <v>90.0</v>
      </c>
      <c r="P77" s="21"/>
      <c r="Q77" s="17">
        <f t="shared" si="3"/>
        <v>90</v>
      </c>
    </row>
    <row r="78">
      <c r="A78" s="12" t="str">
        <f t="shared" si="2"/>
        <v>(01) Compras</v>
      </c>
      <c r="B78" s="12" t="s">
        <v>66</v>
      </c>
      <c r="C78" s="12" t="s">
        <v>20</v>
      </c>
      <c r="D78" s="13" t="s">
        <v>21</v>
      </c>
      <c r="E78" s="18">
        <v>200.0</v>
      </c>
      <c r="F78" s="19">
        <v>200.0</v>
      </c>
      <c r="G78" s="19">
        <v>200.0</v>
      </c>
      <c r="H78" s="19">
        <v>200.0</v>
      </c>
      <c r="I78" s="19">
        <v>200.0</v>
      </c>
      <c r="J78" s="19">
        <v>200.0</v>
      </c>
      <c r="K78" s="19">
        <v>200.0</v>
      </c>
      <c r="L78" s="19">
        <v>200.0</v>
      </c>
      <c r="M78" s="19">
        <v>200.0</v>
      </c>
      <c r="N78" s="19">
        <v>200.0</v>
      </c>
      <c r="O78" s="19">
        <v>380.0</v>
      </c>
      <c r="P78" s="21"/>
      <c r="Q78" s="17">
        <f t="shared" si="3"/>
        <v>2380</v>
      </c>
    </row>
    <row r="79">
      <c r="A79" s="12" t="str">
        <f t="shared" si="2"/>
        <v>(01) Compras</v>
      </c>
      <c r="B79" s="12" t="s">
        <v>66</v>
      </c>
      <c r="C79" s="12" t="s">
        <v>22</v>
      </c>
      <c r="D79" s="13" t="s">
        <v>23</v>
      </c>
      <c r="E79" s="18">
        <v>180.0</v>
      </c>
      <c r="F79" s="19">
        <v>180.0</v>
      </c>
      <c r="G79" s="19">
        <v>180.0</v>
      </c>
      <c r="H79" s="19">
        <v>180.0</v>
      </c>
      <c r="I79" s="19">
        <v>180.0</v>
      </c>
      <c r="J79" s="19">
        <v>180.0</v>
      </c>
      <c r="K79" s="19">
        <v>180.0</v>
      </c>
      <c r="L79" s="19">
        <v>180.0</v>
      </c>
      <c r="M79" s="19">
        <v>180.0</v>
      </c>
      <c r="N79" s="19">
        <v>180.0</v>
      </c>
      <c r="O79" s="19">
        <v>280.0</v>
      </c>
      <c r="P79" s="21"/>
      <c r="Q79" s="17">
        <f t="shared" si="3"/>
        <v>2080</v>
      </c>
    </row>
    <row r="80">
      <c r="A80" s="12" t="str">
        <f t="shared" si="2"/>
        <v>(01) Compras</v>
      </c>
      <c r="B80" s="12" t="s">
        <v>66</v>
      </c>
      <c r="C80" s="12" t="s">
        <v>40</v>
      </c>
      <c r="D80" s="13" t="s">
        <v>51</v>
      </c>
      <c r="E80" s="22"/>
      <c r="F80" s="19">
        <v>115.0</v>
      </c>
      <c r="G80" s="20"/>
      <c r="H80" s="19"/>
      <c r="I80" s="20"/>
      <c r="J80" s="20"/>
      <c r="K80" s="20"/>
      <c r="L80" s="20"/>
      <c r="M80" s="20"/>
      <c r="N80" s="20"/>
      <c r="O80" s="20"/>
      <c r="P80" s="21"/>
      <c r="Q80" s="17">
        <f t="shared" si="3"/>
        <v>115</v>
      </c>
    </row>
    <row r="81">
      <c r="A81" s="12" t="str">
        <f t="shared" si="2"/>
        <v>(01) Compras</v>
      </c>
      <c r="B81" s="12" t="s">
        <v>66</v>
      </c>
      <c r="C81" s="12" t="s">
        <v>45</v>
      </c>
      <c r="D81" s="13" t="s">
        <v>49</v>
      </c>
      <c r="E81" s="18"/>
      <c r="F81" s="20"/>
      <c r="G81" s="20"/>
      <c r="H81" s="20"/>
      <c r="I81" s="20"/>
      <c r="J81" s="20"/>
      <c r="K81" s="20"/>
      <c r="L81" s="20"/>
      <c r="M81" s="19"/>
      <c r="N81" s="20"/>
      <c r="O81" s="20"/>
      <c r="P81" s="23">
        <v>400.0</v>
      </c>
      <c r="Q81" s="17">
        <f t="shared" si="3"/>
        <v>400</v>
      </c>
    </row>
    <row r="82">
      <c r="A82" s="12" t="str">
        <f t="shared" si="2"/>
        <v>(01) Compras</v>
      </c>
      <c r="B82" s="12" t="s">
        <v>67</v>
      </c>
      <c r="C82" s="12" t="s">
        <v>25</v>
      </c>
      <c r="D82" s="13" t="s">
        <v>26</v>
      </c>
      <c r="E82" s="22"/>
      <c r="F82" s="19">
        <v>3707.5</v>
      </c>
      <c r="G82" s="19">
        <v>3707.5</v>
      </c>
      <c r="H82" s="20"/>
      <c r="I82" s="20"/>
      <c r="J82" s="20"/>
      <c r="K82" s="20"/>
      <c r="L82" s="19">
        <v>3707.5</v>
      </c>
      <c r="M82" s="19">
        <v>3707.5</v>
      </c>
      <c r="N82" s="20"/>
      <c r="O82" s="20"/>
      <c r="P82" s="23"/>
      <c r="Q82" s="17">
        <f t="shared" si="3"/>
        <v>14830</v>
      </c>
    </row>
    <row r="83">
      <c r="A83" s="12" t="str">
        <f t="shared" si="2"/>
        <v>(01) Compras</v>
      </c>
      <c r="B83" s="12" t="s">
        <v>67</v>
      </c>
      <c r="C83" s="12" t="s">
        <v>25</v>
      </c>
      <c r="D83" s="13" t="s">
        <v>28</v>
      </c>
      <c r="E83" s="18"/>
      <c r="F83" s="19"/>
      <c r="G83" s="20"/>
      <c r="H83" s="20"/>
      <c r="I83" s="20"/>
      <c r="J83" s="20"/>
      <c r="K83" s="19"/>
      <c r="L83" s="19"/>
      <c r="M83" s="20"/>
      <c r="N83" s="19">
        <v>2290.0</v>
      </c>
      <c r="O83" s="19">
        <v>2290.0</v>
      </c>
      <c r="P83" s="21"/>
      <c r="Q83" s="17">
        <f t="shared" si="3"/>
        <v>4580</v>
      </c>
    </row>
    <row r="84">
      <c r="A84" s="12" t="str">
        <f t="shared" si="2"/>
        <v>(01) Compras</v>
      </c>
      <c r="B84" s="12" t="s">
        <v>67</v>
      </c>
      <c r="C84" s="12" t="s">
        <v>25</v>
      </c>
      <c r="D84" s="13" t="s">
        <v>29</v>
      </c>
      <c r="E84" s="22"/>
      <c r="F84" s="20"/>
      <c r="G84" s="20"/>
      <c r="H84" s="20"/>
      <c r="I84" s="20"/>
      <c r="J84" s="20"/>
      <c r="K84" s="20"/>
      <c r="L84" s="20"/>
      <c r="M84" s="19"/>
      <c r="N84" s="19"/>
      <c r="O84" s="19">
        <v>450.0</v>
      </c>
      <c r="P84" s="21"/>
      <c r="Q84" s="17">
        <f t="shared" si="3"/>
        <v>450</v>
      </c>
    </row>
    <row r="85">
      <c r="A85" s="12" t="str">
        <f t="shared" si="2"/>
        <v>(01) Compras</v>
      </c>
      <c r="B85" s="12" t="s">
        <v>67</v>
      </c>
      <c r="C85" s="12" t="s">
        <v>20</v>
      </c>
      <c r="D85" s="13" t="s">
        <v>21</v>
      </c>
      <c r="E85" s="18">
        <v>280.0</v>
      </c>
      <c r="F85" s="19">
        <v>280.0</v>
      </c>
      <c r="G85" s="19">
        <v>280.0</v>
      </c>
      <c r="H85" s="19">
        <v>280.0</v>
      </c>
      <c r="I85" s="19">
        <v>280.0</v>
      </c>
      <c r="J85" s="19">
        <v>280.0</v>
      </c>
      <c r="K85" s="19">
        <v>280.0</v>
      </c>
      <c r="L85" s="19">
        <v>280.0</v>
      </c>
      <c r="M85" s="19">
        <v>280.0</v>
      </c>
      <c r="N85" s="19">
        <v>280.0</v>
      </c>
      <c r="O85" s="19">
        <v>480.0</v>
      </c>
      <c r="P85" s="21"/>
      <c r="Q85" s="17">
        <f t="shared" si="3"/>
        <v>3280</v>
      </c>
    </row>
    <row r="86">
      <c r="A86" s="12" t="str">
        <f t="shared" si="2"/>
        <v>(01) Compras</v>
      </c>
      <c r="B86" s="12" t="s">
        <v>67</v>
      </c>
      <c r="C86" s="12" t="s">
        <v>22</v>
      </c>
      <c r="D86" s="13" t="s">
        <v>23</v>
      </c>
      <c r="E86" s="18">
        <v>140.0</v>
      </c>
      <c r="F86" s="19">
        <v>140.0</v>
      </c>
      <c r="G86" s="19">
        <v>140.0</v>
      </c>
      <c r="H86" s="19">
        <v>140.0</v>
      </c>
      <c r="I86" s="19">
        <v>140.0</v>
      </c>
      <c r="J86" s="19">
        <v>140.0</v>
      </c>
      <c r="K86" s="19">
        <v>140.0</v>
      </c>
      <c r="L86" s="19">
        <v>140.0</v>
      </c>
      <c r="M86" s="19">
        <v>140.0</v>
      </c>
      <c r="N86" s="19">
        <v>140.0</v>
      </c>
      <c r="O86" s="19">
        <v>260.0</v>
      </c>
      <c r="P86" s="21"/>
      <c r="Q86" s="17">
        <f t="shared" si="3"/>
        <v>1660</v>
      </c>
    </row>
    <row r="87">
      <c r="A87" s="12" t="str">
        <f t="shared" si="2"/>
        <v>(01) Compras</v>
      </c>
      <c r="B87" s="12" t="s">
        <v>67</v>
      </c>
      <c r="C87" s="12" t="s">
        <v>40</v>
      </c>
      <c r="D87" s="13" t="s">
        <v>59</v>
      </c>
      <c r="E87" s="18"/>
      <c r="F87" s="19"/>
      <c r="G87" s="19"/>
      <c r="H87" s="19"/>
      <c r="I87" s="19">
        <v>4600.0</v>
      </c>
      <c r="J87" s="19"/>
      <c r="K87" s="19"/>
      <c r="L87" s="19"/>
      <c r="M87" s="19"/>
      <c r="N87" s="19"/>
      <c r="O87" s="19"/>
      <c r="P87" s="21"/>
      <c r="Q87" s="17">
        <f t="shared" si="3"/>
        <v>4600</v>
      </c>
    </row>
    <row r="88">
      <c r="A88" s="12" t="str">
        <f t="shared" si="2"/>
        <v>(01) Compras</v>
      </c>
      <c r="B88" s="12" t="s">
        <v>67</v>
      </c>
      <c r="C88" s="12" t="s">
        <v>53</v>
      </c>
      <c r="D88" s="13" t="s">
        <v>60</v>
      </c>
      <c r="E88" s="18">
        <v>2960.0</v>
      </c>
      <c r="F88" s="20"/>
      <c r="G88" s="19"/>
      <c r="H88" s="20"/>
      <c r="I88" s="20"/>
      <c r="J88" s="20"/>
      <c r="K88" s="20"/>
      <c r="L88" s="20"/>
      <c r="M88" s="20"/>
      <c r="N88" s="20"/>
      <c r="O88" s="20"/>
      <c r="P88" s="21"/>
      <c r="Q88" s="17">
        <f t="shared" si="3"/>
        <v>2960</v>
      </c>
    </row>
    <row r="89">
      <c r="A89" s="12" t="str">
        <f t="shared" si="2"/>
        <v>(01) Compras</v>
      </c>
      <c r="B89" s="12" t="s">
        <v>67</v>
      </c>
      <c r="C89" s="12" t="s">
        <v>45</v>
      </c>
      <c r="D89" s="13" t="s">
        <v>49</v>
      </c>
      <c r="E89" s="22"/>
      <c r="F89" s="20"/>
      <c r="G89" s="19"/>
      <c r="H89" s="20"/>
      <c r="I89" s="20"/>
      <c r="J89" s="20"/>
      <c r="K89" s="20"/>
      <c r="L89" s="20"/>
      <c r="M89" s="20"/>
      <c r="N89" s="20"/>
      <c r="O89" s="19"/>
      <c r="P89" s="23">
        <v>2000.0</v>
      </c>
      <c r="Q89" s="17">
        <f t="shared" si="3"/>
        <v>2000</v>
      </c>
    </row>
    <row r="90">
      <c r="A90" s="12" t="str">
        <f t="shared" si="2"/>
        <v>(01) Compras</v>
      </c>
      <c r="B90" s="12" t="s">
        <v>68</v>
      </c>
      <c r="C90" s="12" t="s">
        <v>25</v>
      </c>
      <c r="D90" s="13" t="s">
        <v>26</v>
      </c>
      <c r="E90" s="22"/>
      <c r="F90" s="19">
        <v>2967.5</v>
      </c>
      <c r="G90" s="19">
        <v>2967.5</v>
      </c>
      <c r="H90" s="20"/>
      <c r="I90" s="20"/>
      <c r="J90" s="20"/>
      <c r="K90" s="20"/>
      <c r="L90" s="19">
        <v>2967.5</v>
      </c>
      <c r="M90" s="19">
        <v>2967.5</v>
      </c>
      <c r="N90" s="20"/>
      <c r="O90" s="20"/>
      <c r="P90" s="23"/>
      <c r="Q90" s="17">
        <f t="shared" si="3"/>
        <v>11870</v>
      </c>
    </row>
    <row r="91">
      <c r="A91" s="12" t="str">
        <f t="shared" si="2"/>
        <v>(01) Compras</v>
      </c>
      <c r="B91" s="12" t="s">
        <v>68</v>
      </c>
      <c r="C91" s="12" t="s">
        <v>25</v>
      </c>
      <c r="D91" s="13" t="s">
        <v>28</v>
      </c>
      <c r="E91" s="18"/>
      <c r="F91" s="19"/>
      <c r="G91" s="20"/>
      <c r="H91" s="20"/>
      <c r="I91" s="20"/>
      <c r="J91" s="20"/>
      <c r="K91" s="19"/>
      <c r="L91" s="19"/>
      <c r="M91" s="20"/>
      <c r="N91" s="19">
        <v>1835.0</v>
      </c>
      <c r="O91" s="19">
        <v>1835.0</v>
      </c>
      <c r="P91" s="21"/>
      <c r="Q91" s="17">
        <f t="shared" si="3"/>
        <v>3670</v>
      </c>
    </row>
    <row r="92">
      <c r="A92" s="12" t="str">
        <f t="shared" si="2"/>
        <v>(01) Compras</v>
      </c>
      <c r="B92" s="12" t="s">
        <v>68</v>
      </c>
      <c r="C92" s="12" t="s">
        <v>25</v>
      </c>
      <c r="D92" s="13" t="s">
        <v>29</v>
      </c>
      <c r="E92" s="22"/>
      <c r="F92" s="20"/>
      <c r="G92" s="20"/>
      <c r="H92" s="20"/>
      <c r="I92" s="20"/>
      <c r="J92" s="20"/>
      <c r="K92" s="20"/>
      <c r="L92" s="20"/>
      <c r="M92" s="19"/>
      <c r="N92" s="19"/>
      <c r="O92" s="19">
        <v>360.0</v>
      </c>
      <c r="P92" s="21"/>
      <c r="Q92" s="17">
        <f t="shared" si="3"/>
        <v>360</v>
      </c>
    </row>
    <row r="93">
      <c r="A93" s="12" t="str">
        <f t="shared" si="2"/>
        <v>(01) Compras</v>
      </c>
      <c r="B93" s="12" t="s">
        <v>68</v>
      </c>
      <c r="C93" s="12" t="s">
        <v>20</v>
      </c>
      <c r="D93" s="13" t="s">
        <v>21</v>
      </c>
      <c r="E93" s="18">
        <v>330.0</v>
      </c>
      <c r="F93" s="19">
        <v>330.0</v>
      </c>
      <c r="G93" s="19">
        <v>330.0</v>
      </c>
      <c r="H93" s="19">
        <v>330.0</v>
      </c>
      <c r="I93" s="19">
        <v>330.0</v>
      </c>
      <c r="J93" s="19">
        <v>330.0</v>
      </c>
      <c r="K93" s="19">
        <v>330.0</v>
      </c>
      <c r="L93" s="19">
        <v>330.0</v>
      </c>
      <c r="M93" s="19">
        <v>330.0</v>
      </c>
      <c r="N93" s="19">
        <v>330.0</v>
      </c>
      <c r="O93" s="19">
        <v>580.0</v>
      </c>
      <c r="P93" s="21"/>
      <c r="Q93" s="17">
        <f t="shared" si="3"/>
        <v>3880</v>
      </c>
    </row>
    <row r="94">
      <c r="A94" s="12" t="str">
        <f t="shared" si="2"/>
        <v>(01) Compras</v>
      </c>
      <c r="B94" s="12" t="s">
        <v>68</v>
      </c>
      <c r="C94" s="12" t="s">
        <v>22</v>
      </c>
      <c r="D94" s="13" t="s">
        <v>23</v>
      </c>
      <c r="E94" s="18">
        <v>150.0</v>
      </c>
      <c r="F94" s="19">
        <v>150.0</v>
      </c>
      <c r="G94" s="19">
        <v>150.0</v>
      </c>
      <c r="H94" s="19">
        <v>150.0</v>
      </c>
      <c r="I94" s="19">
        <v>150.0</v>
      </c>
      <c r="J94" s="19">
        <v>150.0</v>
      </c>
      <c r="K94" s="19">
        <v>150.0</v>
      </c>
      <c r="L94" s="19">
        <v>150.0</v>
      </c>
      <c r="M94" s="19">
        <v>150.0</v>
      </c>
      <c r="N94" s="19">
        <v>150.0</v>
      </c>
      <c r="O94" s="19">
        <v>260.0</v>
      </c>
      <c r="P94" s="21"/>
      <c r="Q94" s="17">
        <f t="shared" si="3"/>
        <v>1760</v>
      </c>
    </row>
    <row r="95">
      <c r="A95" s="12" t="str">
        <f t="shared" si="2"/>
        <v>(01) Compras</v>
      </c>
      <c r="B95" s="12" t="s">
        <v>68</v>
      </c>
      <c r="C95" s="12" t="s">
        <v>40</v>
      </c>
      <c r="D95" s="24" t="s">
        <v>51</v>
      </c>
      <c r="E95" s="18"/>
      <c r="F95" s="19">
        <v>115.0</v>
      </c>
      <c r="G95" s="19"/>
      <c r="H95" s="19"/>
      <c r="I95" s="19"/>
      <c r="J95" s="19"/>
      <c r="K95" s="19"/>
      <c r="L95" s="19"/>
      <c r="M95" s="19"/>
      <c r="N95" s="19"/>
      <c r="O95" s="19"/>
      <c r="P95" s="21"/>
      <c r="Q95" s="17">
        <f t="shared" si="3"/>
        <v>115</v>
      </c>
    </row>
    <row r="96">
      <c r="A96" s="12" t="str">
        <f t="shared" si="2"/>
        <v>(01) Compras</v>
      </c>
      <c r="B96" s="12" t="s">
        <v>68</v>
      </c>
      <c r="C96" s="12" t="s">
        <v>40</v>
      </c>
      <c r="D96" s="13" t="s">
        <v>59</v>
      </c>
      <c r="E96" s="18"/>
      <c r="F96" s="19"/>
      <c r="G96" s="19"/>
      <c r="H96" s="19"/>
      <c r="I96" s="19"/>
      <c r="J96" s="19">
        <v>3450.0</v>
      </c>
      <c r="K96" s="19"/>
      <c r="L96" s="19"/>
      <c r="M96" s="19"/>
      <c r="N96" s="19"/>
      <c r="O96" s="19"/>
      <c r="P96" s="21"/>
      <c r="Q96" s="17">
        <f t="shared" si="3"/>
        <v>3450</v>
      </c>
    </row>
    <row r="97">
      <c r="A97" s="12" t="str">
        <f t="shared" si="2"/>
        <v>(01) Compras</v>
      </c>
      <c r="B97" s="12" t="s">
        <v>68</v>
      </c>
      <c r="C97" s="12" t="s">
        <v>53</v>
      </c>
      <c r="D97" s="13" t="s">
        <v>60</v>
      </c>
      <c r="E97" s="18"/>
      <c r="F97" s="19">
        <v>2400.0</v>
      </c>
      <c r="G97" s="19"/>
      <c r="H97" s="20"/>
      <c r="I97" s="20"/>
      <c r="J97" s="19"/>
      <c r="K97" s="20"/>
      <c r="L97" s="20"/>
      <c r="M97" s="19">
        <v>2400.0</v>
      </c>
      <c r="N97" s="20"/>
      <c r="O97" s="19"/>
      <c r="P97" s="21"/>
      <c r="Q97" s="17">
        <f t="shared" si="3"/>
        <v>4800</v>
      </c>
    </row>
    <row r="98">
      <c r="A98" s="12" t="str">
        <f t="shared" si="2"/>
        <v>(01) Compras</v>
      </c>
      <c r="B98" s="12" t="s">
        <v>68</v>
      </c>
      <c r="C98" s="12" t="s">
        <v>45</v>
      </c>
      <c r="D98" s="13" t="s">
        <v>49</v>
      </c>
      <c r="E98" s="22"/>
      <c r="F98" s="20"/>
      <c r="G98" s="19"/>
      <c r="H98" s="20"/>
      <c r="I98" s="20"/>
      <c r="J98" s="20"/>
      <c r="K98" s="20"/>
      <c r="L98" s="20"/>
      <c r="M98" s="20"/>
      <c r="N98" s="20"/>
      <c r="O98" s="20"/>
      <c r="P98" s="23">
        <v>1600.0</v>
      </c>
      <c r="Q98" s="17">
        <f t="shared" si="3"/>
        <v>1600</v>
      </c>
    </row>
    <row r="99">
      <c r="A99" s="12" t="str">
        <f t="shared" si="2"/>
        <v>(01) Compras</v>
      </c>
      <c r="B99" s="12" t="s">
        <v>69</v>
      </c>
      <c r="C99" s="12" t="s">
        <v>25</v>
      </c>
      <c r="D99" s="13" t="s">
        <v>26</v>
      </c>
      <c r="E99" s="22"/>
      <c r="F99" s="19">
        <v>2237.5</v>
      </c>
      <c r="G99" s="19">
        <v>2237.5</v>
      </c>
      <c r="H99" s="20"/>
      <c r="I99" s="20"/>
      <c r="J99" s="20"/>
      <c r="K99" s="20"/>
      <c r="L99" s="19">
        <v>2237.5</v>
      </c>
      <c r="M99" s="19">
        <v>2237.5</v>
      </c>
      <c r="N99" s="19"/>
      <c r="O99" s="20"/>
      <c r="P99" s="21"/>
      <c r="Q99" s="17">
        <f t="shared" si="3"/>
        <v>8950</v>
      </c>
    </row>
    <row r="100">
      <c r="A100" s="12" t="str">
        <f t="shared" si="2"/>
        <v>(01) Compras</v>
      </c>
      <c r="B100" s="12" t="s">
        <v>69</v>
      </c>
      <c r="C100" s="12" t="s">
        <v>25</v>
      </c>
      <c r="D100" s="13" t="s">
        <v>28</v>
      </c>
      <c r="E100" s="22"/>
      <c r="F100" s="20"/>
      <c r="G100" s="20"/>
      <c r="H100" s="20"/>
      <c r="I100" s="20"/>
      <c r="J100" s="20"/>
      <c r="K100" s="20"/>
      <c r="L100" s="20"/>
      <c r="M100" s="20"/>
      <c r="N100" s="19">
        <v>1380.0</v>
      </c>
      <c r="O100" s="19">
        <v>1380.0</v>
      </c>
      <c r="P100" s="21"/>
      <c r="Q100" s="17">
        <f t="shared" si="3"/>
        <v>2760</v>
      </c>
    </row>
    <row r="101">
      <c r="A101" s="12" t="str">
        <f t="shared" si="2"/>
        <v>(01) Compras</v>
      </c>
      <c r="B101" s="12" t="s">
        <v>69</v>
      </c>
      <c r="C101" s="12" t="s">
        <v>25</v>
      </c>
      <c r="D101" s="13" t="s">
        <v>30</v>
      </c>
      <c r="E101" s="18"/>
      <c r="F101" s="19"/>
      <c r="G101" s="19">
        <v>285.0</v>
      </c>
      <c r="H101" s="19"/>
      <c r="I101" s="19"/>
      <c r="J101" s="19"/>
      <c r="K101" s="19"/>
      <c r="L101" s="19"/>
      <c r="M101" s="19"/>
      <c r="N101" s="19"/>
      <c r="O101" s="19"/>
      <c r="P101" s="21"/>
      <c r="Q101" s="17">
        <f t="shared" si="3"/>
        <v>285</v>
      </c>
    </row>
    <row r="102">
      <c r="A102" s="12" t="str">
        <f t="shared" si="2"/>
        <v>(01) Compras</v>
      </c>
      <c r="B102" s="12" t="s">
        <v>69</v>
      </c>
      <c r="C102" s="12" t="s">
        <v>25</v>
      </c>
      <c r="D102" s="13" t="s">
        <v>29</v>
      </c>
      <c r="E102" s="18"/>
      <c r="F102" s="20"/>
      <c r="G102" s="19"/>
      <c r="H102" s="20"/>
      <c r="I102" s="20"/>
      <c r="J102" s="19"/>
      <c r="K102" s="20"/>
      <c r="L102" s="20"/>
      <c r="M102" s="19"/>
      <c r="N102" s="20"/>
      <c r="O102" s="19">
        <v>270.0</v>
      </c>
      <c r="P102" s="21"/>
      <c r="Q102" s="17">
        <f t="shared" si="3"/>
        <v>270</v>
      </c>
    </row>
    <row r="103">
      <c r="A103" s="12" t="str">
        <f t="shared" si="2"/>
        <v>(01) Compras</v>
      </c>
      <c r="B103" s="12" t="s">
        <v>69</v>
      </c>
      <c r="C103" s="12" t="s">
        <v>20</v>
      </c>
      <c r="D103" s="13" t="s">
        <v>21</v>
      </c>
      <c r="E103" s="18">
        <v>200.0</v>
      </c>
      <c r="F103" s="19">
        <v>200.0</v>
      </c>
      <c r="G103" s="19">
        <v>200.0</v>
      </c>
      <c r="H103" s="19">
        <v>200.0</v>
      </c>
      <c r="I103" s="19">
        <v>200.0</v>
      </c>
      <c r="J103" s="19">
        <v>200.0</v>
      </c>
      <c r="K103" s="19">
        <v>200.0</v>
      </c>
      <c r="L103" s="19">
        <v>200.0</v>
      </c>
      <c r="M103" s="19">
        <v>200.0</v>
      </c>
      <c r="N103" s="19">
        <v>200.0</v>
      </c>
      <c r="O103" s="19">
        <v>320.0</v>
      </c>
      <c r="P103" s="21"/>
      <c r="Q103" s="17">
        <f t="shared" si="3"/>
        <v>2320</v>
      </c>
    </row>
    <row r="104">
      <c r="A104" s="12" t="str">
        <f t="shared" si="2"/>
        <v>(01) Compras</v>
      </c>
      <c r="B104" s="12" t="s">
        <v>69</v>
      </c>
      <c r="C104" s="12" t="s">
        <v>22</v>
      </c>
      <c r="D104" s="13" t="s">
        <v>23</v>
      </c>
      <c r="E104" s="18">
        <v>190.0</v>
      </c>
      <c r="F104" s="19">
        <v>190.0</v>
      </c>
      <c r="G104" s="19">
        <v>190.0</v>
      </c>
      <c r="H104" s="19">
        <v>190.0</v>
      </c>
      <c r="I104" s="19">
        <v>190.0</v>
      </c>
      <c r="J104" s="19">
        <v>190.0</v>
      </c>
      <c r="K104" s="19">
        <v>190.0</v>
      </c>
      <c r="L104" s="19">
        <v>190.0</v>
      </c>
      <c r="M104" s="19">
        <v>190.0</v>
      </c>
      <c r="N104" s="19">
        <v>190.0</v>
      </c>
      <c r="O104" s="19">
        <v>370.0</v>
      </c>
      <c r="P104" s="21"/>
      <c r="Q104" s="17">
        <f t="shared" si="3"/>
        <v>2270</v>
      </c>
    </row>
    <row r="105">
      <c r="A105" s="12" t="str">
        <f t="shared" si="2"/>
        <v>(01) Compras</v>
      </c>
      <c r="B105" s="12" t="s">
        <v>69</v>
      </c>
      <c r="C105" s="12" t="s">
        <v>40</v>
      </c>
      <c r="D105" s="13" t="s">
        <v>51</v>
      </c>
      <c r="E105" s="22"/>
      <c r="F105" s="19">
        <v>115.0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3"/>
      <c r="Q105" s="17">
        <f t="shared" si="3"/>
        <v>115</v>
      </c>
    </row>
    <row r="106">
      <c r="A106" s="12" t="str">
        <f t="shared" si="2"/>
        <v>(01) Compras</v>
      </c>
      <c r="B106" s="12" t="s">
        <v>69</v>
      </c>
      <c r="C106" s="12" t="s">
        <v>45</v>
      </c>
      <c r="D106" s="13" t="s">
        <v>49</v>
      </c>
      <c r="E106" s="18"/>
      <c r="F106" s="19"/>
      <c r="G106" s="20"/>
      <c r="H106" s="20"/>
      <c r="I106" s="20"/>
      <c r="J106" s="20"/>
      <c r="K106" s="19"/>
      <c r="L106" s="19"/>
      <c r="M106" s="20"/>
      <c r="N106" s="20"/>
      <c r="O106" s="20"/>
      <c r="P106" s="23">
        <v>1200.0</v>
      </c>
      <c r="Q106" s="17">
        <f t="shared" si="3"/>
        <v>1200</v>
      </c>
    </row>
    <row r="107">
      <c r="A107" s="12" t="str">
        <f t="shared" si="2"/>
        <v>(01) Compras</v>
      </c>
      <c r="B107" s="12" t="s">
        <v>70</v>
      </c>
      <c r="C107" s="12" t="s">
        <v>25</v>
      </c>
      <c r="D107" s="13" t="s">
        <v>26</v>
      </c>
      <c r="E107" s="22"/>
      <c r="F107" s="19">
        <v>2950.0</v>
      </c>
      <c r="G107" s="19">
        <v>2950.0</v>
      </c>
      <c r="H107" s="20"/>
      <c r="I107" s="20"/>
      <c r="J107" s="20"/>
      <c r="K107" s="20"/>
      <c r="L107" s="19">
        <v>2950.0</v>
      </c>
      <c r="M107" s="19">
        <v>2950.0</v>
      </c>
      <c r="N107" s="19"/>
      <c r="O107" s="20"/>
      <c r="P107" s="21"/>
      <c r="Q107" s="17">
        <f t="shared" si="3"/>
        <v>11800</v>
      </c>
    </row>
    <row r="108">
      <c r="A108" s="12" t="str">
        <f t="shared" si="2"/>
        <v>(01) Compras</v>
      </c>
      <c r="B108" s="12" t="s">
        <v>70</v>
      </c>
      <c r="C108" s="12" t="s">
        <v>25</v>
      </c>
      <c r="D108" s="13" t="s">
        <v>28</v>
      </c>
      <c r="E108" s="22"/>
      <c r="F108" s="20"/>
      <c r="G108" s="20"/>
      <c r="H108" s="20"/>
      <c r="I108" s="20"/>
      <c r="J108" s="20"/>
      <c r="K108" s="20"/>
      <c r="L108" s="20"/>
      <c r="M108" s="20"/>
      <c r="N108" s="19">
        <v>1820.0</v>
      </c>
      <c r="O108" s="19">
        <v>1820.0</v>
      </c>
      <c r="P108" s="21"/>
      <c r="Q108" s="17">
        <f t="shared" si="3"/>
        <v>3640</v>
      </c>
    </row>
    <row r="109">
      <c r="A109" s="12" t="str">
        <f t="shared" si="2"/>
        <v>(01) Compras</v>
      </c>
      <c r="B109" s="12" t="s">
        <v>70</v>
      </c>
      <c r="C109" s="12" t="s">
        <v>25</v>
      </c>
      <c r="D109" s="13" t="s">
        <v>29</v>
      </c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>
        <v>360.0</v>
      </c>
      <c r="P109" s="21"/>
      <c r="Q109" s="17">
        <f t="shared" si="3"/>
        <v>360</v>
      </c>
    </row>
    <row r="110">
      <c r="A110" s="12" t="str">
        <f t="shared" si="2"/>
        <v>(01) Compras</v>
      </c>
      <c r="B110" s="12" t="s">
        <v>70</v>
      </c>
      <c r="C110" s="12" t="s">
        <v>20</v>
      </c>
      <c r="D110" s="13" t="s">
        <v>21</v>
      </c>
      <c r="E110" s="18">
        <v>290.0</v>
      </c>
      <c r="F110" s="19">
        <v>290.0</v>
      </c>
      <c r="G110" s="19">
        <v>290.0</v>
      </c>
      <c r="H110" s="19">
        <v>290.0</v>
      </c>
      <c r="I110" s="19">
        <v>290.0</v>
      </c>
      <c r="J110" s="19">
        <v>290.0</v>
      </c>
      <c r="K110" s="19">
        <v>290.0</v>
      </c>
      <c r="L110" s="19">
        <v>290.0</v>
      </c>
      <c r="M110" s="19">
        <v>290.0</v>
      </c>
      <c r="N110" s="19">
        <v>290.0</v>
      </c>
      <c r="O110" s="19">
        <v>450.0</v>
      </c>
      <c r="P110" s="21"/>
      <c r="Q110" s="17">
        <f t="shared" si="3"/>
        <v>3350</v>
      </c>
    </row>
    <row r="111">
      <c r="A111" s="12" t="str">
        <f t="shared" si="2"/>
        <v>(01) Compras</v>
      </c>
      <c r="B111" s="12" t="s">
        <v>70</v>
      </c>
      <c r="C111" s="12" t="s">
        <v>22</v>
      </c>
      <c r="D111" s="13" t="s">
        <v>23</v>
      </c>
      <c r="E111" s="18">
        <v>140.0</v>
      </c>
      <c r="F111" s="19">
        <v>140.0</v>
      </c>
      <c r="G111" s="19">
        <v>140.0</v>
      </c>
      <c r="H111" s="19">
        <v>140.0</v>
      </c>
      <c r="I111" s="19">
        <v>140.0</v>
      </c>
      <c r="J111" s="19">
        <v>140.0</v>
      </c>
      <c r="K111" s="19">
        <v>140.0</v>
      </c>
      <c r="L111" s="19">
        <v>140.0</v>
      </c>
      <c r="M111" s="19">
        <v>140.0</v>
      </c>
      <c r="N111" s="19">
        <v>140.0</v>
      </c>
      <c r="O111" s="19">
        <v>260.0</v>
      </c>
      <c r="P111" s="21"/>
      <c r="Q111" s="17">
        <f t="shared" si="3"/>
        <v>1660</v>
      </c>
    </row>
    <row r="112">
      <c r="A112" s="12" t="str">
        <f t="shared" si="2"/>
        <v>(01) Compras</v>
      </c>
      <c r="B112" s="12" t="s">
        <v>70</v>
      </c>
      <c r="C112" s="12" t="s">
        <v>40</v>
      </c>
      <c r="D112" s="13" t="s">
        <v>59</v>
      </c>
      <c r="E112" s="18"/>
      <c r="F112" s="19"/>
      <c r="G112" s="20"/>
      <c r="H112" s="20"/>
      <c r="I112" s="19">
        <v>3450.0</v>
      </c>
      <c r="J112" s="20"/>
      <c r="K112" s="19"/>
      <c r="L112" s="19"/>
      <c r="M112" s="20"/>
      <c r="N112" s="20"/>
      <c r="O112" s="20"/>
      <c r="P112" s="21"/>
      <c r="Q112" s="17">
        <f t="shared" si="3"/>
        <v>3450</v>
      </c>
    </row>
    <row r="113">
      <c r="A113" s="12" t="str">
        <f t="shared" si="2"/>
        <v>(01) Compras</v>
      </c>
      <c r="B113" s="12" t="s">
        <v>70</v>
      </c>
      <c r="C113" s="12" t="s">
        <v>53</v>
      </c>
      <c r="D113" s="13" t="s">
        <v>60</v>
      </c>
      <c r="E113" s="22"/>
      <c r="F113" s="20"/>
      <c r="G113" s="19">
        <v>2400.0</v>
      </c>
      <c r="H113" s="20"/>
      <c r="I113" s="20"/>
      <c r="J113" s="20"/>
      <c r="K113" s="20"/>
      <c r="L113" s="20"/>
      <c r="M113" s="19"/>
      <c r="N113" s="19">
        <v>2400.0</v>
      </c>
      <c r="O113" s="20"/>
      <c r="P113" s="21"/>
      <c r="Q113" s="17">
        <f t="shared" si="3"/>
        <v>4800</v>
      </c>
    </row>
    <row r="114">
      <c r="A114" s="12" t="str">
        <f t="shared" si="2"/>
        <v>(01) Compras</v>
      </c>
      <c r="B114" s="12" t="s">
        <v>70</v>
      </c>
      <c r="C114" s="12" t="s">
        <v>45</v>
      </c>
      <c r="D114" s="13" t="s">
        <v>49</v>
      </c>
      <c r="E114" s="22"/>
      <c r="F114" s="20"/>
      <c r="G114" s="20"/>
      <c r="H114" s="20"/>
      <c r="I114" s="20"/>
      <c r="J114" s="20"/>
      <c r="K114" s="20"/>
      <c r="L114" s="20"/>
      <c r="M114" s="20"/>
      <c r="N114" s="19"/>
      <c r="O114" s="20"/>
      <c r="P114" s="23">
        <v>1600.0</v>
      </c>
      <c r="Q114" s="17">
        <f t="shared" si="3"/>
        <v>1600</v>
      </c>
    </row>
    <row r="115">
      <c r="A115" s="12" t="str">
        <f t="shared" si="2"/>
        <v>(01) Compras</v>
      </c>
      <c r="B115" s="12" t="s">
        <v>71</v>
      </c>
      <c r="C115" s="12" t="s">
        <v>25</v>
      </c>
      <c r="D115" s="13" t="s">
        <v>26</v>
      </c>
      <c r="E115" s="18"/>
      <c r="F115" s="19">
        <v>1480.0</v>
      </c>
      <c r="G115" s="19">
        <v>1480.0</v>
      </c>
      <c r="H115" s="19"/>
      <c r="I115" s="19"/>
      <c r="J115" s="19"/>
      <c r="K115" s="19"/>
      <c r="L115" s="19">
        <v>1480.0</v>
      </c>
      <c r="M115" s="19">
        <v>1480.0</v>
      </c>
      <c r="N115" s="19"/>
      <c r="O115" s="19"/>
      <c r="P115" s="21"/>
      <c r="Q115" s="17">
        <f t="shared" si="3"/>
        <v>5920</v>
      </c>
    </row>
    <row r="116">
      <c r="A116" s="12" t="str">
        <f t="shared" si="2"/>
        <v>(01) Compras</v>
      </c>
      <c r="B116" s="12" t="s">
        <v>71</v>
      </c>
      <c r="C116" s="12" t="s">
        <v>25</v>
      </c>
      <c r="D116" s="13" t="s">
        <v>28</v>
      </c>
      <c r="E116" s="18"/>
      <c r="F116" s="20"/>
      <c r="G116" s="19"/>
      <c r="H116" s="20"/>
      <c r="I116" s="20"/>
      <c r="J116" s="19"/>
      <c r="K116" s="20"/>
      <c r="L116" s="20"/>
      <c r="M116" s="19"/>
      <c r="N116" s="19">
        <v>910.0</v>
      </c>
      <c r="O116" s="19">
        <v>910.0</v>
      </c>
      <c r="P116" s="21"/>
      <c r="Q116" s="17">
        <f t="shared" si="3"/>
        <v>1820</v>
      </c>
    </row>
    <row r="117">
      <c r="A117" s="12" t="str">
        <f t="shared" si="2"/>
        <v>(01) Compras</v>
      </c>
      <c r="B117" s="12" t="s">
        <v>71</v>
      </c>
      <c r="C117" s="12" t="s">
        <v>25</v>
      </c>
      <c r="D117" s="13" t="s">
        <v>29</v>
      </c>
      <c r="E117" s="22"/>
      <c r="F117" s="20"/>
      <c r="G117" s="20"/>
      <c r="H117" s="20"/>
      <c r="I117" s="20"/>
      <c r="J117" s="20"/>
      <c r="K117" s="20"/>
      <c r="L117" s="20"/>
      <c r="M117" s="20"/>
      <c r="N117" s="20"/>
      <c r="O117" s="19">
        <v>180.0</v>
      </c>
      <c r="P117" s="23"/>
      <c r="Q117" s="17">
        <f t="shared" si="3"/>
        <v>180</v>
      </c>
    </row>
    <row r="118">
      <c r="A118" s="12" t="str">
        <f t="shared" si="2"/>
        <v>(01) Compras</v>
      </c>
      <c r="B118" s="12" t="s">
        <v>71</v>
      </c>
      <c r="C118" s="12" t="s">
        <v>20</v>
      </c>
      <c r="D118" s="13" t="s">
        <v>21</v>
      </c>
      <c r="E118" s="18">
        <v>170.0</v>
      </c>
      <c r="F118" s="19">
        <v>170.0</v>
      </c>
      <c r="G118" s="19">
        <v>170.0</v>
      </c>
      <c r="H118" s="19">
        <v>170.0</v>
      </c>
      <c r="I118" s="19">
        <v>170.0</v>
      </c>
      <c r="J118" s="19">
        <v>170.0</v>
      </c>
      <c r="K118" s="19">
        <v>170.0</v>
      </c>
      <c r="L118" s="19">
        <v>170.0</v>
      </c>
      <c r="M118" s="19">
        <v>170.0</v>
      </c>
      <c r="N118" s="19">
        <v>170.0</v>
      </c>
      <c r="O118" s="19">
        <v>320.0</v>
      </c>
      <c r="P118" s="21"/>
      <c r="Q118" s="17">
        <f t="shared" si="3"/>
        <v>2020</v>
      </c>
    </row>
    <row r="119">
      <c r="A119" s="12" t="str">
        <f t="shared" si="2"/>
        <v>(01) Compras</v>
      </c>
      <c r="B119" s="12" t="s">
        <v>71</v>
      </c>
      <c r="C119" s="12" t="s">
        <v>22</v>
      </c>
      <c r="D119" s="13" t="s">
        <v>23</v>
      </c>
      <c r="E119" s="18">
        <v>180.0</v>
      </c>
      <c r="F119" s="19">
        <v>180.0</v>
      </c>
      <c r="G119" s="19">
        <v>180.0</v>
      </c>
      <c r="H119" s="19">
        <v>180.0</v>
      </c>
      <c r="I119" s="19">
        <v>180.0</v>
      </c>
      <c r="J119" s="19">
        <v>180.0</v>
      </c>
      <c r="K119" s="19">
        <v>180.0</v>
      </c>
      <c r="L119" s="19">
        <v>180.0</v>
      </c>
      <c r="M119" s="19">
        <v>180.0</v>
      </c>
      <c r="N119" s="19">
        <v>180.0</v>
      </c>
      <c r="O119" s="19">
        <v>280.0</v>
      </c>
      <c r="P119" s="21"/>
      <c r="Q119" s="17">
        <f t="shared" si="3"/>
        <v>2080</v>
      </c>
    </row>
    <row r="120">
      <c r="A120" s="12" t="str">
        <f t="shared" si="2"/>
        <v>(01) Compras</v>
      </c>
      <c r="B120" s="12" t="s">
        <v>71</v>
      </c>
      <c r="C120" s="12" t="s">
        <v>45</v>
      </c>
      <c r="D120" s="13" t="s">
        <v>49</v>
      </c>
      <c r="E120" s="22"/>
      <c r="F120" s="20"/>
      <c r="G120" s="20"/>
      <c r="H120" s="19"/>
      <c r="I120" s="20"/>
      <c r="J120" s="20"/>
      <c r="K120" s="20"/>
      <c r="L120" s="20"/>
      <c r="M120" s="20"/>
      <c r="N120" s="20"/>
      <c r="O120" s="20"/>
      <c r="P120" s="23">
        <v>800.0</v>
      </c>
      <c r="Q120" s="17">
        <f t="shared" si="3"/>
        <v>800</v>
      </c>
    </row>
    <row r="121">
      <c r="A121" s="12" t="str">
        <f t="shared" si="2"/>
        <v>(01) Compras</v>
      </c>
      <c r="B121" s="12" t="s">
        <v>72</v>
      </c>
      <c r="C121" s="12" t="s">
        <v>25</v>
      </c>
      <c r="D121" s="13" t="s">
        <v>26</v>
      </c>
      <c r="E121" s="22"/>
      <c r="F121" s="19">
        <v>4447.5</v>
      </c>
      <c r="G121" s="19">
        <v>4447.5</v>
      </c>
      <c r="H121" s="20"/>
      <c r="I121" s="20"/>
      <c r="J121" s="20"/>
      <c r="K121" s="20"/>
      <c r="L121" s="19">
        <v>4447.5</v>
      </c>
      <c r="M121" s="19">
        <v>4447.5</v>
      </c>
      <c r="N121" s="19"/>
      <c r="O121" s="20"/>
      <c r="P121" s="21"/>
      <c r="Q121" s="17">
        <f t="shared" si="3"/>
        <v>17790</v>
      </c>
    </row>
    <row r="122">
      <c r="A122" s="12" t="str">
        <f t="shared" si="2"/>
        <v>(01) Compras</v>
      </c>
      <c r="B122" s="12" t="s">
        <v>72</v>
      </c>
      <c r="C122" s="12" t="s">
        <v>25</v>
      </c>
      <c r="D122" s="13" t="s">
        <v>28</v>
      </c>
      <c r="E122" s="22"/>
      <c r="F122" s="20"/>
      <c r="G122" s="20"/>
      <c r="H122" s="20"/>
      <c r="I122" s="20"/>
      <c r="J122" s="20"/>
      <c r="K122" s="20"/>
      <c r="L122" s="20"/>
      <c r="M122" s="20"/>
      <c r="N122" s="19">
        <v>2745.0</v>
      </c>
      <c r="O122" s="19">
        <v>2745.0</v>
      </c>
      <c r="P122" s="21"/>
      <c r="Q122" s="17">
        <f t="shared" si="3"/>
        <v>5490</v>
      </c>
    </row>
    <row r="123">
      <c r="A123" s="12" t="str">
        <f t="shared" si="2"/>
        <v>(01) Compras</v>
      </c>
      <c r="B123" s="12" t="s">
        <v>72</v>
      </c>
      <c r="C123" s="12" t="s">
        <v>25</v>
      </c>
      <c r="D123" s="13" t="s">
        <v>29</v>
      </c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>
        <v>540.0</v>
      </c>
      <c r="P123" s="21"/>
      <c r="Q123" s="17">
        <f t="shared" si="3"/>
        <v>540</v>
      </c>
    </row>
    <row r="124">
      <c r="A124" s="12" t="str">
        <f t="shared" si="2"/>
        <v>(01) Compras</v>
      </c>
      <c r="B124" s="12" t="s">
        <v>72</v>
      </c>
      <c r="C124" s="12" t="s">
        <v>20</v>
      </c>
      <c r="D124" s="13" t="s">
        <v>21</v>
      </c>
      <c r="E124" s="18">
        <v>350.0</v>
      </c>
      <c r="F124" s="19">
        <v>350.0</v>
      </c>
      <c r="G124" s="19">
        <v>350.0</v>
      </c>
      <c r="H124" s="19">
        <v>350.0</v>
      </c>
      <c r="I124" s="19">
        <v>350.0</v>
      </c>
      <c r="J124" s="19">
        <v>350.0</v>
      </c>
      <c r="K124" s="19">
        <v>350.0</v>
      </c>
      <c r="L124" s="19">
        <v>350.0</v>
      </c>
      <c r="M124" s="19">
        <v>350.0</v>
      </c>
      <c r="N124" s="19">
        <v>350.0</v>
      </c>
      <c r="O124" s="19">
        <v>510.0</v>
      </c>
      <c r="P124" s="21"/>
      <c r="Q124" s="17">
        <f t="shared" si="3"/>
        <v>4010</v>
      </c>
    </row>
    <row r="125">
      <c r="A125" s="12" t="str">
        <f t="shared" si="2"/>
        <v>(01) Compras</v>
      </c>
      <c r="B125" s="12" t="s">
        <v>72</v>
      </c>
      <c r="C125" s="12" t="s">
        <v>22</v>
      </c>
      <c r="D125" s="13" t="s">
        <v>23</v>
      </c>
      <c r="E125" s="18">
        <v>150.0</v>
      </c>
      <c r="F125" s="19">
        <v>150.0</v>
      </c>
      <c r="G125" s="19">
        <v>150.0</v>
      </c>
      <c r="H125" s="19">
        <v>150.0</v>
      </c>
      <c r="I125" s="19">
        <v>150.0</v>
      </c>
      <c r="J125" s="19">
        <v>150.0</v>
      </c>
      <c r="K125" s="19">
        <v>150.0</v>
      </c>
      <c r="L125" s="19">
        <v>150.0</v>
      </c>
      <c r="M125" s="19">
        <v>150.0</v>
      </c>
      <c r="N125" s="19">
        <v>150.0</v>
      </c>
      <c r="O125" s="19">
        <v>260.0</v>
      </c>
      <c r="P125" s="21"/>
      <c r="Q125" s="17">
        <f t="shared" si="3"/>
        <v>1760</v>
      </c>
    </row>
    <row r="126">
      <c r="A126" s="12" t="str">
        <f t="shared" si="2"/>
        <v>(01) Compras</v>
      </c>
      <c r="B126" s="12" t="s">
        <v>72</v>
      </c>
      <c r="C126" s="12" t="s">
        <v>45</v>
      </c>
      <c r="D126" s="13" t="s">
        <v>49</v>
      </c>
      <c r="E126" s="22"/>
      <c r="F126" s="20"/>
      <c r="G126" s="19"/>
      <c r="H126" s="20"/>
      <c r="I126" s="20"/>
      <c r="J126" s="20"/>
      <c r="K126" s="20"/>
      <c r="L126" s="20"/>
      <c r="M126" s="20"/>
      <c r="N126" s="20"/>
      <c r="O126" s="20"/>
      <c r="P126" s="23">
        <v>2400.0</v>
      </c>
      <c r="Q126" s="17">
        <f t="shared" si="3"/>
        <v>2400</v>
      </c>
    </row>
    <row r="127">
      <c r="A127" s="12" t="str">
        <f t="shared" si="2"/>
        <v>(01) Compras</v>
      </c>
      <c r="B127" s="12" t="s">
        <v>72</v>
      </c>
      <c r="C127" s="12" t="s">
        <v>40</v>
      </c>
      <c r="D127" s="13" t="s">
        <v>51</v>
      </c>
      <c r="E127" s="18"/>
      <c r="F127" s="19">
        <v>115.0</v>
      </c>
      <c r="G127" s="20"/>
      <c r="H127" s="20"/>
      <c r="I127" s="20"/>
      <c r="J127" s="20"/>
      <c r="K127" s="19"/>
      <c r="L127" s="19"/>
      <c r="M127" s="20"/>
      <c r="N127" s="20"/>
      <c r="O127" s="20"/>
      <c r="P127" s="21"/>
      <c r="Q127" s="17">
        <f t="shared" si="3"/>
        <v>115</v>
      </c>
    </row>
    <row r="128">
      <c r="A128" s="12" t="str">
        <f t="shared" si="2"/>
        <v>(01) Compras</v>
      </c>
      <c r="B128" s="12" t="s">
        <v>72</v>
      </c>
      <c r="C128" s="12" t="s">
        <v>53</v>
      </c>
      <c r="D128" s="13" t="s">
        <v>60</v>
      </c>
      <c r="E128" s="18">
        <v>3700.0</v>
      </c>
      <c r="F128" s="19"/>
      <c r="G128" s="19"/>
      <c r="H128" s="19"/>
      <c r="I128" s="19"/>
      <c r="J128" s="19"/>
      <c r="K128" s="19"/>
      <c r="L128" s="19">
        <v>3700.0</v>
      </c>
      <c r="M128" s="19"/>
      <c r="N128" s="19"/>
      <c r="O128" s="19"/>
      <c r="P128" s="21"/>
      <c r="Q128" s="17">
        <f t="shared" si="3"/>
        <v>7400</v>
      </c>
    </row>
    <row r="129">
      <c r="A129" s="12" t="str">
        <f t="shared" si="2"/>
        <v>(01) Compras</v>
      </c>
      <c r="B129" s="12" t="s">
        <v>72</v>
      </c>
      <c r="C129" s="12" t="s">
        <v>40</v>
      </c>
      <c r="D129" s="13" t="s">
        <v>59</v>
      </c>
      <c r="E129" s="18"/>
      <c r="F129" s="19"/>
      <c r="G129" s="19"/>
      <c r="H129" s="19">
        <v>2880.0</v>
      </c>
      <c r="I129" s="19">
        <v>2880.0</v>
      </c>
      <c r="J129" s="19"/>
      <c r="K129" s="19"/>
      <c r="L129" s="19"/>
      <c r="M129" s="19"/>
      <c r="N129" s="19"/>
      <c r="O129" s="19"/>
      <c r="P129" s="21"/>
      <c r="Q129" s="17">
        <f t="shared" si="3"/>
        <v>5760</v>
      </c>
    </row>
    <row r="130">
      <c r="A130" s="12" t="str">
        <f t="shared" si="2"/>
        <v>(01) Compras</v>
      </c>
      <c r="B130" s="12" t="s">
        <v>73</v>
      </c>
      <c r="C130" s="12" t="s">
        <v>25</v>
      </c>
      <c r="D130" s="13" t="s">
        <v>26</v>
      </c>
      <c r="E130" s="22"/>
      <c r="F130" s="19">
        <v>1480.0</v>
      </c>
      <c r="G130" s="19">
        <v>1480.0</v>
      </c>
      <c r="H130" s="20"/>
      <c r="I130" s="20"/>
      <c r="J130" s="20"/>
      <c r="K130" s="20"/>
      <c r="L130" s="19">
        <v>1480.0</v>
      </c>
      <c r="M130" s="19">
        <v>1480.0</v>
      </c>
      <c r="N130" s="20"/>
      <c r="O130" s="20"/>
      <c r="P130" s="23"/>
      <c r="Q130" s="17">
        <f t="shared" si="3"/>
        <v>5920</v>
      </c>
    </row>
    <row r="131">
      <c r="A131" s="12" t="str">
        <f t="shared" si="2"/>
        <v>(01) Compras</v>
      </c>
      <c r="B131" s="12" t="s">
        <v>73</v>
      </c>
      <c r="C131" s="12" t="s">
        <v>25</v>
      </c>
      <c r="D131" s="13" t="s">
        <v>28</v>
      </c>
      <c r="E131" s="22"/>
      <c r="F131" s="20"/>
      <c r="G131" s="20"/>
      <c r="H131" s="20"/>
      <c r="I131" s="20"/>
      <c r="J131" s="20"/>
      <c r="K131" s="20"/>
      <c r="L131" s="20"/>
      <c r="M131" s="20"/>
      <c r="N131" s="19">
        <v>910.0</v>
      </c>
      <c r="O131" s="19">
        <v>910.0</v>
      </c>
      <c r="P131" s="21"/>
      <c r="Q131" s="17">
        <f t="shared" si="3"/>
        <v>1820</v>
      </c>
    </row>
    <row r="132">
      <c r="A132" s="12" t="str">
        <f t="shared" si="2"/>
        <v>(01) Compras</v>
      </c>
      <c r="B132" s="12" t="s">
        <v>73</v>
      </c>
      <c r="C132" s="12" t="s">
        <v>25</v>
      </c>
      <c r="D132" s="13" t="s">
        <v>29</v>
      </c>
      <c r="E132" s="22"/>
      <c r="F132" s="20"/>
      <c r="G132" s="20"/>
      <c r="H132" s="20"/>
      <c r="I132" s="20"/>
      <c r="J132" s="20"/>
      <c r="K132" s="20"/>
      <c r="L132" s="20"/>
      <c r="M132" s="19"/>
      <c r="N132" s="19"/>
      <c r="O132" s="19">
        <v>180.0</v>
      </c>
      <c r="P132" s="21"/>
      <c r="Q132" s="17">
        <f t="shared" si="3"/>
        <v>180</v>
      </c>
    </row>
    <row r="133">
      <c r="A133" s="12" t="str">
        <f t="shared" si="2"/>
        <v>(01) Compras</v>
      </c>
      <c r="B133" s="12" t="s">
        <v>73</v>
      </c>
      <c r="C133" s="12" t="s">
        <v>20</v>
      </c>
      <c r="D133" s="13" t="s">
        <v>21</v>
      </c>
      <c r="E133" s="18">
        <v>160.0</v>
      </c>
      <c r="F133" s="19">
        <v>160.0</v>
      </c>
      <c r="G133" s="19">
        <v>160.0</v>
      </c>
      <c r="H133" s="19">
        <v>160.0</v>
      </c>
      <c r="I133" s="19">
        <v>160.0</v>
      </c>
      <c r="J133" s="19">
        <v>160.0</v>
      </c>
      <c r="K133" s="19">
        <v>160.0</v>
      </c>
      <c r="L133" s="19">
        <v>160.0</v>
      </c>
      <c r="M133" s="19">
        <v>160.0</v>
      </c>
      <c r="N133" s="19">
        <v>160.0</v>
      </c>
      <c r="O133" s="19">
        <v>290.0</v>
      </c>
      <c r="P133" s="21"/>
      <c r="Q133" s="17">
        <f t="shared" si="3"/>
        <v>1890</v>
      </c>
    </row>
    <row r="134">
      <c r="A134" s="12" t="str">
        <f t="shared" si="2"/>
        <v>(01) Compras</v>
      </c>
      <c r="B134" s="12" t="s">
        <v>73</v>
      </c>
      <c r="C134" s="12" t="s">
        <v>22</v>
      </c>
      <c r="D134" s="13" t="s">
        <v>23</v>
      </c>
      <c r="E134" s="18">
        <v>130.0</v>
      </c>
      <c r="F134" s="19">
        <v>130.0</v>
      </c>
      <c r="G134" s="19">
        <v>130.0</v>
      </c>
      <c r="H134" s="19">
        <v>130.0</v>
      </c>
      <c r="I134" s="19">
        <v>130.0</v>
      </c>
      <c r="J134" s="19">
        <v>130.0</v>
      </c>
      <c r="K134" s="19">
        <v>130.0</v>
      </c>
      <c r="L134" s="19">
        <v>130.0</v>
      </c>
      <c r="M134" s="19">
        <v>130.0</v>
      </c>
      <c r="N134" s="19">
        <v>130.0</v>
      </c>
      <c r="O134" s="19">
        <v>220.0</v>
      </c>
      <c r="P134" s="21"/>
      <c r="Q134" s="17">
        <f t="shared" si="3"/>
        <v>1520</v>
      </c>
    </row>
    <row r="135">
      <c r="A135" s="12" t="str">
        <f t="shared" si="2"/>
        <v>(01) Compras</v>
      </c>
      <c r="B135" s="12" t="s">
        <v>73</v>
      </c>
      <c r="C135" s="12" t="s">
        <v>45</v>
      </c>
      <c r="D135" s="13" t="s">
        <v>49</v>
      </c>
      <c r="E135" s="22"/>
      <c r="F135" s="20"/>
      <c r="G135" s="20"/>
      <c r="H135" s="20"/>
      <c r="I135" s="20"/>
      <c r="J135" s="20"/>
      <c r="K135" s="20"/>
      <c r="L135" s="20"/>
      <c r="M135" s="20"/>
      <c r="N135" s="19"/>
      <c r="O135" s="20"/>
      <c r="P135" s="23">
        <v>800.0</v>
      </c>
      <c r="Q135" s="17">
        <f t="shared" si="3"/>
        <v>800</v>
      </c>
    </row>
    <row r="136">
      <c r="A136" s="12" t="str">
        <f t="shared" si="2"/>
        <v>(01) Compras</v>
      </c>
      <c r="B136" s="12" t="s">
        <v>73</v>
      </c>
      <c r="C136" s="12" t="s">
        <v>25</v>
      </c>
      <c r="D136" s="13" t="s">
        <v>30</v>
      </c>
      <c r="E136" s="18"/>
      <c r="F136" s="19"/>
      <c r="G136" s="19">
        <v>285.0</v>
      </c>
      <c r="H136" s="19"/>
      <c r="I136" s="19"/>
      <c r="J136" s="19"/>
      <c r="K136" s="19"/>
      <c r="L136" s="19"/>
      <c r="M136" s="19"/>
      <c r="N136" s="19"/>
      <c r="O136" s="19"/>
      <c r="P136" s="21"/>
      <c r="Q136" s="17">
        <f t="shared" si="3"/>
        <v>285</v>
      </c>
    </row>
    <row r="137">
      <c r="A137" s="12" t="str">
        <f t="shared" si="2"/>
        <v>(01) Compras</v>
      </c>
      <c r="B137" s="12" t="s">
        <v>74</v>
      </c>
      <c r="C137" s="12" t="s">
        <v>25</v>
      </c>
      <c r="D137" s="13" t="s">
        <v>26</v>
      </c>
      <c r="E137" s="18"/>
      <c r="F137" s="19">
        <v>1480.0</v>
      </c>
      <c r="G137" s="19">
        <v>1480.0</v>
      </c>
      <c r="H137" s="20"/>
      <c r="I137" s="20"/>
      <c r="J137" s="19"/>
      <c r="K137" s="20"/>
      <c r="L137" s="19">
        <v>1480.0</v>
      </c>
      <c r="M137" s="19">
        <v>1480.0</v>
      </c>
      <c r="N137" s="20"/>
      <c r="O137" s="19"/>
      <c r="P137" s="21"/>
      <c r="Q137" s="17">
        <f t="shared" si="3"/>
        <v>5920</v>
      </c>
    </row>
    <row r="138">
      <c r="A138" s="12" t="str">
        <f t="shared" si="2"/>
        <v>(01) Compras</v>
      </c>
      <c r="B138" s="12" t="s">
        <v>74</v>
      </c>
      <c r="C138" s="12" t="s">
        <v>20</v>
      </c>
      <c r="D138" s="13" t="s">
        <v>21</v>
      </c>
      <c r="E138" s="18">
        <v>160.0</v>
      </c>
      <c r="F138" s="19">
        <v>160.0</v>
      </c>
      <c r="G138" s="19">
        <v>160.0</v>
      </c>
      <c r="H138" s="19">
        <v>160.0</v>
      </c>
      <c r="I138" s="19">
        <v>160.0</v>
      </c>
      <c r="J138" s="19">
        <v>160.0</v>
      </c>
      <c r="K138" s="19">
        <v>160.0</v>
      </c>
      <c r="L138" s="19">
        <v>160.0</v>
      </c>
      <c r="M138" s="19">
        <v>160.0</v>
      </c>
      <c r="N138" s="19">
        <v>160.0</v>
      </c>
      <c r="O138" s="19">
        <v>280.0</v>
      </c>
      <c r="P138" s="23"/>
      <c r="Q138" s="17">
        <f t="shared" si="3"/>
        <v>1880</v>
      </c>
    </row>
    <row r="139">
      <c r="A139" s="12" t="str">
        <f t="shared" si="2"/>
        <v>(01) Compras</v>
      </c>
      <c r="B139" s="12" t="s">
        <v>74</v>
      </c>
      <c r="C139" s="12" t="s">
        <v>22</v>
      </c>
      <c r="D139" s="13" t="s">
        <v>23</v>
      </c>
      <c r="E139" s="18">
        <v>160.0</v>
      </c>
      <c r="F139" s="19">
        <v>160.0</v>
      </c>
      <c r="G139" s="19">
        <v>160.0</v>
      </c>
      <c r="H139" s="19">
        <v>160.0</v>
      </c>
      <c r="I139" s="19">
        <v>160.0</v>
      </c>
      <c r="J139" s="19">
        <v>160.0</v>
      </c>
      <c r="K139" s="19">
        <v>160.0</v>
      </c>
      <c r="L139" s="19">
        <v>160.0</v>
      </c>
      <c r="M139" s="19">
        <v>160.0</v>
      </c>
      <c r="N139" s="19">
        <v>160.0</v>
      </c>
      <c r="O139" s="19">
        <v>280.0</v>
      </c>
      <c r="P139" s="21"/>
      <c r="Q139" s="17">
        <f t="shared" si="3"/>
        <v>1880</v>
      </c>
    </row>
    <row r="140">
      <c r="A140" s="12" t="str">
        <f t="shared" si="2"/>
        <v>(01) Compras</v>
      </c>
      <c r="B140" s="12" t="s">
        <v>74</v>
      </c>
      <c r="C140" s="12" t="s">
        <v>45</v>
      </c>
      <c r="D140" s="13" t="s">
        <v>49</v>
      </c>
      <c r="E140" s="22"/>
      <c r="F140" s="20"/>
      <c r="G140" s="19"/>
      <c r="H140" s="19"/>
      <c r="I140" s="20"/>
      <c r="J140" s="20"/>
      <c r="K140" s="20"/>
      <c r="L140" s="20"/>
      <c r="M140" s="20"/>
      <c r="N140" s="20"/>
      <c r="O140" s="20"/>
      <c r="P140" s="23">
        <v>800.0</v>
      </c>
      <c r="Q140" s="17">
        <f t="shared" si="3"/>
        <v>800</v>
      </c>
    </row>
    <row r="141">
      <c r="A141" s="12" t="str">
        <f t="shared" si="2"/>
        <v>(01) Compras</v>
      </c>
      <c r="B141" s="12" t="s">
        <v>74</v>
      </c>
      <c r="C141" s="12" t="s">
        <v>25</v>
      </c>
      <c r="D141" s="13" t="s">
        <v>29</v>
      </c>
      <c r="E141" s="22"/>
      <c r="F141" s="20"/>
      <c r="G141" s="19"/>
      <c r="H141" s="20"/>
      <c r="I141" s="20"/>
      <c r="J141" s="20"/>
      <c r="K141" s="20"/>
      <c r="L141" s="20"/>
      <c r="M141" s="20"/>
      <c r="N141" s="20"/>
      <c r="O141" s="19">
        <v>180.0</v>
      </c>
      <c r="P141" s="21"/>
      <c r="Q141" s="17">
        <f t="shared" si="3"/>
        <v>180</v>
      </c>
    </row>
    <row r="142">
      <c r="A142" s="12" t="str">
        <f t="shared" si="2"/>
        <v>(01) Compras</v>
      </c>
      <c r="B142" s="12" t="s">
        <v>74</v>
      </c>
      <c r="C142" s="12" t="s">
        <v>25</v>
      </c>
      <c r="D142" s="13" t="s">
        <v>28</v>
      </c>
      <c r="E142" s="22"/>
      <c r="F142" s="20"/>
      <c r="G142" s="20"/>
      <c r="H142" s="20"/>
      <c r="I142" s="20"/>
      <c r="J142" s="20"/>
      <c r="K142" s="20"/>
      <c r="L142" s="20"/>
      <c r="M142" s="20"/>
      <c r="N142" s="19">
        <v>910.0</v>
      </c>
      <c r="O142" s="19">
        <v>910.0</v>
      </c>
      <c r="P142" s="21"/>
      <c r="Q142" s="17">
        <f t="shared" si="3"/>
        <v>1820</v>
      </c>
    </row>
    <row r="143">
      <c r="A143" s="12" t="str">
        <f t="shared" si="2"/>
        <v>(01) Compras</v>
      </c>
      <c r="B143" s="12" t="s">
        <v>75</v>
      </c>
      <c r="C143" s="12" t="s">
        <v>25</v>
      </c>
      <c r="D143" s="13" t="s">
        <v>26</v>
      </c>
      <c r="E143" s="18"/>
      <c r="F143" s="19">
        <v>3697.5</v>
      </c>
      <c r="G143" s="19">
        <v>3697.5</v>
      </c>
      <c r="H143" s="20"/>
      <c r="I143" s="20"/>
      <c r="J143" s="19"/>
      <c r="K143" s="20"/>
      <c r="L143" s="19">
        <v>3697.5</v>
      </c>
      <c r="M143" s="19">
        <v>3697.5</v>
      </c>
      <c r="N143" s="20"/>
      <c r="O143" s="19"/>
      <c r="P143" s="21"/>
      <c r="Q143" s="17">
        <f t="shared" si="3"/>
        <v>14790</v>
      </c>
    </row>
    <row r="144">
      <c r="A144" s="12" t="str">
        <f t="shared" si="2"/>
        <v>(01) Compras</v>
      </c>
      <c r="B144" s="12" t="s">
        <v>75</v>
      </c>
      <c r="C144" s="12" t="s">
        <v>25</v>
      </c>
      <c r="D144" s="13" t="s">
        <v>28</v>
      </c>
      <c r="E144" s="22"/>
      <c r="F144" s="20"/>
      <c r="G144" s="20"/>
      <c r="H144" s="20"/>
      <c r="I144" s="20"/>
      <c r="J144" s="20"/>
      <c r="K144" s="20"/>
      <c r="L144" s="20"/>
      <c r="M144" s="20"/>
      <c r="N144" s="19">
        <v>2290.0</v>
      </c>
      <c r="O144" s="19">
        <v>2290.0</v>
      </c>
      <c r="P144" s="23"/>
      <c r="Q144" s="17">
        <f t="shared" si="3"/>
        <v>4580</v>
      </c>
    </row>
    <row r="145">
      <c r="A145" s="12" t="str">
        <f t="shared" si="2"/>
        <v>(01) Compras</v>
      </c>
      <c r="B145" s="12" t="s">
        <v>75</v>
      </c>
      <c r="C145" s="12" t="s">
        <v>25</v>
      </c>
      <c r="D145" s="13" t="s">
        <v>29</v>
      </c>
      <c r="E145" s="22"/>
      <c r="F145" s="20"/>
      <c r="G145" s="19"/>
      <c r="H145" s="20"/>
      <c r="I145" s="20"/>
      <c r="J145" s="20"/>
      <c r="K145" s="20"/>
      <c r="L145" s="20"/>
      <c r="M145" s="20"/>
      <c r="N145" s="19"/>
      <c r="O145" s="19">
        <v>450.0</v>
      </c>
      <c r="P145" s="21"/>
      <c r="Q145" s="17">
        <f t="shared" si="3"/>
        <v>450</v>
      </c>
    </row>
    <row r="146">
      <c r="A146" s="12" t="str">
        <f t="shared" si="2"/>
        <v>(01) Compras</v>
      </c>
      <c r="B146" s="12" t="s">
        <v>75</v>
      </c>
      <c r="C146" s="12" t="s">
        <v>20</v>
      </c>
      <c r="D146" s="13" t="s">
        <v>21</v>
      </c>
      <c r="E146" s="18">
        <v>280.0</v>
      </c>
      <c r="F146" s="19">
        <v>280.0</v>
      </c>
      <c r="G146" s="19">
        <v>280.0</v>
      </c>
      <c r="H146" s="19">
        <v>280.0</v>
      </c>
      <c r="I146" s="19">
        <v>280.0</v>
      </c>
      <c r="J146" s="19">
        <v>280.0</v>
      </c>
      <c r="K146" s="19">
        <v>280.0</v>
      </c>
      <c r="L146" s="19">
        <v>280.0</v>
      </c>
      <c r="M146" s="19">
        <v>280.0</v>
      </c>
      <c r="N146" s="19">
        <v>280.0</v>
      </c>
      <c r="O146" s="19">
        <v>480.0</v>
      </c>
      <c r="P146" s="21"/>
      <c r="Q146" s="17">
        <f t="shared" si="3"/>
        <v>3280</v>
      </c>
    </row>
    <row r="147">
      <c r="A147" s="12" t="str">
        <f t="shared" si="2"/>
        <v>(01) Compras</v>
      </c>
      <c r="B147" s="12" t="s">
        <v>75</v>
      </c>
      <c r="C147" s="12" t="s">
        <v>22</v>
      </c>
      <c r="D147" s="13" t="s">
        <v>23</v>
      </c>
      <c r="E147" s="18">
        <v>180.0</v>
      </c>
      <c r="F147" s="19">
        <v>180.0</v>
      </c>
      <c r="G147" s="19">
        <v>180.0</v>
      </c>
      <c r="H147" s="19">
        <v>180.0</v>
      </c>
      <c r="I147" s="19">
        <v>180.0</v>
      </c>
      <c r="J147" s="19">
        <v>180.0</v>
      </c>
      <c r="K147" s="19">
        <v>180.0</v>
      </c>
      <c r="L147" s="19">
        <v>180.0</v>
      </c>
      <c r="M147" s="19">
        <v>180.0</v>
      </c>
      <c r="N147" s="19">
        <v>180.0</v>
      </c>
      <c r="O147" s="19">
        <v>280.0</v>
      </c>
      <c r="P147" s="21"/>
      <c r="Q147" s="17">
        <f t="shared" si="3"/>
        <v>2080</v>
      </c>
    </row>
    <row r="148">
      <c r="A148" s="12" t="str">
        <f t="shared" si="2"/>
        <v>(01) Compras</v>
      </c>
      <c r="B148" s="12" t="s">
        <v>75</v>
      </c>
      <c r="C148" s="12" t="s">
        <v>45</v>
      </c>
      <c r="D148" s="13" t="s">
        <v>49</v>
      </c>
      <c r="E148" s="18"/>
      <c r="F148" s="19"/>
      <c r="G148" s="20"/>
      <c r="H148" s="20"/>
      <c r="I148" s="20"/>
      <c r="J148" s="20"/>
      <c r="K148" s="19"/>
      <c r="L148" s="19"/>
      <c r="M148" s="20"/>
      <c r="N148" s="20"/>
      <c r="O148" s="20"/>
      <c r="P148" s="23">
        <v>2000.0</v>
      </c>
      <c r="Q148" s="17">
        <f t="shared" si="3"/>
        <v>2000</v>
      </c>
    </row>
    <row r="149">
      <c r="A149" s="12" t="str">
        <f t="shared" si="2"/>
        <v>(01) Compras</v>
      </c>
      <c r="B149" s="12" t="s">
        <v>75</v>
      </c>
      <c r="C149" s="12" t="s">
        <v>53</v>
      </c>
      <c r="D149" s="13" t="s">
        <v>60</v>
      </c>
      <c r="E149" s="22"/>
      <c r="F149" s="19">
        <v>2960.0</v>
      </c>
      <c r="G149" s="20"/>
      <c r="H149" s="20"/>
      <c r="I149" s="20"/>
      <c r="J149" s="20"/>
      <c r="K149" s="20"/>
      <c r="L149" s="20"/>
      <c r="M149" s="19">
        <v>2960.0</v>
      </c>
      <c r="N149" s="19"/>
      <c r="O149" s="20"/>
      <c r="P149" s="21"/>
      <c r="Q149" s="17">
        <f t="shared" si="3"/>
        <v>5920</v>
      </c>
    </row>
    <row r="150">
      <c r="A150" s="12" t="str">
        <f t="shared" si="2"/>
        <v>(01) Compras</v>
      </c>
      <c r="B150" s="12" t="s">
        <v>75</v>
      </c>
      <c r="C150" s="12" t="s">
        <v>40</v>
      </c>
      <c r="D150" s="13" t="s">
        <v>59</v>
      </c>
      <c r="E150" s="18"/>
      <c r="F150" s="19"/>
      <c r="G150" s="20"/>
      <c r="H150" s="19">
        <v>2300.0</v>
      </c>
      <c r="I150" s="19">
        <v>2300.0</v>
      </c>
      <c r="J150" s="20"/>
      <c r="K150" s="19"/>
      <c r="L150" s="19"/>
      <c r="M150" s="20"/>
      <c r="N150" s="20"/>
      <c r="O150" s="20"/>
      <c r="P150" s="21"/>
      <c r="Q150" s="17">
        <f t="shared" si="3"/>
        <v>4600</v>
      </c>
    </row>
    <row r="151">
      <c r="A151" s="12" t="str">
        <f t="shared" si="2"/>
        <v>(01) Compras</v>
      </c>
      <c r="B151" s="12" t="s">
        <v>75</v>
      </c>
      <c r="C151" s="12" t="s">
        <v>25</v>
      </c>
      <c r="D151" s="13" t="s">
        <v>30</v>
      </c>
      <c r="E151" s="22"/>
      <c r="F151" s="20"/>
      <c r="G151" s="19">
        <v>570.0</v>
      </c>
      <c r="H151" s="20"/>
      <c r="I151" s="20"/>
      <c r="J151" s="20"/>
      <c r="K151" s="20"/>
      <c r="L151" s="20"/>
      <c r="M151" s="19"/>
      <c r="N151" s="19"/>
      <c r="O151" s="20"/>
      <c r="P151" s="21"/>
      <c r="Q151" s="17">
        <f t="shared" si="3"/>
        <v>570</v>
      </c>
    </row>
    <row r="152">
      <c r="A152" s="12" t="str">
        <f t="shared" si="2"/>
        <v>(01) Compras</v>
      </c>
      <c r="B152" s="12" t="s">
        <v>76</v>
      </c>
      <c r="C152" s="12" t="s">
        <v>25</v>
      </c>
      <c r="D152" s="13" t="s">
        <v>29</v>
      </c>
      <c r="E152" s="22"/>
      <c r="F152" s="20"/>
      <c r="G152" s="20"/>
      <c r="H152" s="20"/>
      <c r="I152" s="20"/>
      <c r="J152" s="20"/>
      <c r="K152" s="20"/>
      <c r="L152" s="20"/>
      <c r="M152" s="20"/>
      <c r="N152" s="19"/>
      <c r="O152" s="19">
        <v>1170.0</v>
      </c>
      <c r="P152" s="21"/>
      <c r="Q152" s="17">
        <f t="shared" si="3"/>
        <v>1170</v>
      </c>
    </row>
    <row r="153">
      <c r="A153" s="12" t="str">
        <f t="shared" si="2"/>
        <v>(01) Compras</v>
      </c>
      <c r="B153" s="12" t="s">
        <v>76</v>
      </c>
      <c r="C153" s="12" t="s">
        <v>20</v>
      </c>
      <c r="D153" s="13" t="s">
        <v>21</v>
      </c>
      <c r="E153" s="18">
        <v>390.0</v>
      </c>
      <c r="F153" s="19">
        <v>390.0</v>
      </c>
      <c r="G153" s="19">
        <v>390.0</v>
      </c>
      <c r="H153" s="19">
        <v>390.0</v>
      </c>
      <c r="I153" s="19">
        <v>390.0</v>
      </c>
      <c r="J153" s="19">
        <v>390.0</v>
      </c>
      <c r="K153" s="19">
        <v>390.0</v>
      </c>
      <c r="L153" s="19">
        <v>390.0</v>
      </c>
      <c r="M153" s="19">
        <v>390.0</v>
      </c>
      <c r="N153" s="19">
        <v>390.0</v>
      </c>
      <c r="O153" s="19">
        <v>560.0</v>
      </c>
      <c r="P153" s="21"/>
      <c r="Q153" s="17">
        <f t="shared" si="3"/>
        <v>4460</v>
      </c>
    </row>
    <row r="154">
      <c r="A154" s="12" t="str">
        <f t="shared" si="2"/>
        <v>(01) Compras</v>
      </c>
      <c r="B154" s="12" t="s">
        <v>76</v>
      </c>
      <c r="C154" s="12" t="s">
        <v>22</v>
      </c>
      <c r="D154" s="13" t="s">
        <v>23</v>
      </c>
      <c r="E154" s="18">
        <v>280.0</v>
      </c>
      <c r="F154" s="19">
        <v>280.0</v>
      </c>
      <c r="G154" s="19">
        <v>280.0</v>
      </c>
      <c r="H154" s="19">
        <v>280.0</v>
      </c>
      <c r="I154" s="19">
        <v>280.0</v>
      </c>
      <c r="J154" s="19">
        <v>280.0</v>
      </c>
      <c r="K154" s="19">
        <v>280.0</v>
      </c>
      <c r="L154" s="19">
        <v>280.0</v>
      </c>
      <c r="M154" s="19">
        <v>280.0</v>
      </c>
      <c r="N154" s="19">
        <v>280.0</v>
      </c>
      <c r="O154" s="19">
        <v>340.0</v>
      </c>
      <c r="P154" s="21"/>
      <c r="Q154" s="17">
        <f t="shared" si="3"/>
        <v>3140</v>
      </c>
    </row>
    <row r="155">
      <c r="A155" s="12" t="str">
        <f t="shared" si="2"/>
        <v>(01) Compras</v>
      </c>
      <c r="B155" s="12" t="s">
        <v>76</v>
      </c>
      <c r="C155" s="12" t="s">
        <v>45</v>
      </c>
      <c r="D155" s="13" t="s">
        <v>49</v>
      </c>
      <c r="E155" s="22"/>
      <c r="F155" s="20"/>
      <c r="G155" s="19"/>
      <c r="H155" s="20"/>
      <c r="I155" s="20"/>
      <c r="J155" s="20"/>
      <c r="K155" s="20"/>
      <c r="L155" s="20"/>
      <c r="M155" s="20"/>
      <c r="N155" s="19"/>
      <c r="O155" s="20"/>
      <c r="P155" s="23">
        <v>5200.0</v>
      </c>
      <c r="Q155" s="17">
        <f t="shared" si="3"/>
        <v>5200</v>
      </c>
    </row>
    <row r="156">
      <c r="A156" s="12" t="str">
        <f t="shared" si="2"/>
        <v>(01) Compras</v>
      </c>
      <c r="B156" s="12" t="s">
        <v>76</v>
      </c>
      <c r="C156" s="12" t="s">
        <v>53</v>
      </c>
      <c r="D156" s="13" t="s">
        <v>60</v>
      </c>
      <c r="E156" s="18">
        <v>2590.0</v>
      </c>
      <c r="F156" s="19">
        <v>2590.0</v>
      </c>
      <c r="G156" s="20"/>
      <c r="H156" s="20"/>
      <c r="I156" s="19"/>
      <c r="J156" s="20"/>
      <c r="K156" s="20"/>
      <c r="L156" s="20"/>
      <c r="M156" s="20"/>
      <c r="N156" s="19">
        <v>3800.0</v>
      </c>
      <c r="O156" s="20"/>
      <c r="P156" s="21"/>
      <c r="Q156" s="17">
        <f t="shared" si="3"/>
        <v>8980</v>
      </c>
    </row>
    <row r="157">
      <c r="A157" s="12" t="str">
        <f t="shared" si="2"/>
        <v>(01) Compras</v>
      </c>
      <c r="B157" s="12" t="s">
        <v>76</v>
      </c>
      <c r="C157" s="12" t="s">
        <v>40</v>
      </c>
      <c r="D157" s="13" t="s">
        <v>59</v>
      </c>
      <c r="E157" s="22"/>
      <c r="F157" s="20"/>
      <c r="G157" s="20"/>
      <c r="H157" s="20"/>
      <c r="I157" s="19">
        <v>4050.0</v>
      </c>
      <c r="J157" s="19">
        <v>4050.0</v>
      </c>
      <c r="K157" s="20"/>
      <c r="L157" s="20"/>
      <c r="M157" s="20"/>
      <c r="N157" s="20"/>
      <c r="O157" s="20"/>
      <c r="P157" s="23"/>
      <c r="Q157" s="17">
        <f t="shared" si="3"/>
        <v>8100</v>
      </c>
    </row>
    <row r="158">
      <c r="A158" s="12" t="str">
        <f t="shared" si="2"/>
        <v>(01) Compras</v>
      </c>
      <c r="B158" s="12" t="s">
        <v>76</v>
      </c>
      <c r="C158" s="12" t="s">
        <v>40</v>
      </c>
      <c r="D158" s="13" t="s">
        <v>51</v>
      </c>
      <c r="E158" s="22"/>
      <c r="F158" s="19">
        <v>345.0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1"/>
      <c r="Q158" s="17">
        <f t="shared" si="3"/>
        <v>345</v>
      </c>
    </row>
    <row r="159">
      <c r="A159" s="12" t="str">
        <f t="shared" si="2"/>
        <v>(01) Compras</v>
      </c>
      <c r="B159" s="12" t="s">
        <v>76</v>
      </c>
      <c r="C159" s="12" t="s">
        <v>25</v>
      </c>
      <c r="D159" s="13" t="s">
        <v>30</v>
      </c>
      <c r="E159" s="18"/>
      <c r="F159" s="19"/>
      <c r="G159" s="19">
        <v>1140.0</v>
      </c>
      <c r="H159" s="20"/>
      <c r="I159" s="20"/>
      <c r="J159" s="20"/>
      <c r="K159" s="19"/>
      <c r="L159" s="19"/>
      <c r="M159" s="20"/>
      <c r="N159" s="20"/>
      <c r="O159" s="20"/>
      <c r="P159" s="21"/>
      <c r="Q159" s="17">
        <f t="shared" si="3"/>
        <v>1140</v>
      </c>
    </row>
    <row r="160">
      <c r="A160" s="12" t="str">
        <f t="shared" si="2"/>
        <v>(01) Compras</v>
      </c>
      <c r="B160" s="12" t="s">
        <v>76</v>
      </c>
      <c r="C160" s="12" t="s">
        <v>25</v>
      </c>
      <c r="D160" s="13" t="s">
        <v>26</v>
      </c>
      <c r="E160" s="22"/>
      <c r="F160" s="19">
        <v>9625.0</v>
      </c>
      <c r="G160" s="19">
        <v>9625.0</v>
      </c>
      <c r="H160" s="20"/>
      <c r="I160" s="20"/>
      <c r="J160" s="20"/>
      <c r="K160" s="20"/>
      <c r="L160" s="19">
        <v>9625.0</v>
      </c>
      <c r="M160" s="19">
        <v>9625.0</v>
      </c>
      <c r="N160" s="19"/>
      <c r="O160" s="20"/>
      <c r="P160" s="21"/>
      <c r="Q160" s="17">
        <f t="shared" si="3"/>
        <v>38500</v>
      </c>
    </row>
    <row r="161">
      <c r="A161" s="12" t="str">
        <f t="shared" si="2"/>
        <v>(01) Compras</v>
      </c>
      <c r="B161" s="12" t="s">
        <v>76</v>
      </c>
      <c r="C161" s="12" t="s">
        <v>25</v>
      </c>
      <c r="D161" s="13" t="s">
        <v>28</v>
      </c>
      <c r="E161" s="22"/>
      <c r="F161" s="20"/>
      <c r="G161" s="19"/>
      <c r="H161" s="20"/>
      <c r="I161" s="20"/>
      <c r="J161" s="20"/>
      <c r="K161" s="20"/>
      <c r="L161" s="20"/>
      <c r="M161" s="20"/>
      <c r="N161" s="19">
        <v>5945.0</v>
      </c>
      <c r="O161" s="19">
        <v>5945.0</v>
      </c>
      <c r="P161" s="21"/>
      <c r="Q161" s="17">
        <f t="shared" si="3"/>
        <v>11890</v>
      </c>
    </row>
    <row r="162">
      <c r="A162" s="12" t="str">
        <f t="shared" si="2"/>
        <v>(01) Compras</v>
      </c>
      <c r="B162" s="12" t="s">
        <v>77</v>
      </c>
      <c r="C162" s="12" t="s">
        <v>25</v>
      </c>
      <c r="D162" s="13" t="s">
        <v>26</v>
      </c>
      <c r="E162" s="22"/>
      <c r="F162" s="19">
        <v>2220.0</v>
      </c>
      <c r="G162" s="19">
        <v>2220.0</v>
      </c>
      <c r="H162" s="20"/>
      <c r="I162" s="20"/>
      <c r="J162" s="20"/>
      <c r="K162" s="20"/>
      <c r="L162" s="19">
        <v>2220.0</v>
      </c>
      <c r="M162" s="19">
        <v>2220.0</v>
      </c>
      <c r="N162" s="20"/>
      <c r="O162" s="20"/>
      <c r="P162" s="21"/>
      <c r="Q162" s="17">
        <f t="shared" si="3"/>
        <v>8880</v>
      </c>
    </row>
    <row r="163">
      <c r="A163" s="12" t="str">
        <f t="shared" si="2"/>
        <v>(01) Compras</v>
      </c>
      <c r="B163" s="12" t="s">
        <v>77</v>
      </c>
      <c r="C163" s="12" t="s">
        <v>25</v>
      </c>
      <c r="D163" s="13" t="s">
        <v>28</v>
      </c>
      <c r="E163" s="22"/>
      <c r="F163" s="20"/>
      <c r="G163" s="20"/>
      <c r="H163" s="20"/>
      <c r="I163" s="20"/>
      <c r="J163" s="20"/>
      <c r="K163" s="20"/>
      <c r="L163" s="20"/>
      <c r="M163" s="20"/>
      <c r="N163" s="19">
        <v>1365.0</v>
      </c>
      <c r="O163" s="19">
        <v>1365.0</v>
      </c>
      <c r="P163" s="23"/>
      <c r="Q163" s="17">
        <f t="shared" si="3"/>
        <v>2730</v>
      </c>
    </row>
    <row r="164">
      <c r="A164" s="12" t="str">
        <f t="shared" si="2"/>
        <v>(01) Compras</v>
      </c>
      <c r="B164" s="12" t="s">
        <v>77</v>
      </c>
      <c r="C164" s="12" t="s">
        <v>25</v>
      </c>
      <c r="D164" s="13" t="s">
        <v>30</v>
      </c>
      <c r="E164" s="18"/>
      <c r="F164" s="20"/>
      <c r="G164" s="19">
        <v>285.0</v>
      </c>
      <c r="H164" s="20"/>
      <c r="I164" s="20"/>
      <c r="J164" s="19"/>
      <c r="K164" s="20"/>
      <c r="L164" s="20"/>
      <c r="M164" s="19"/>
      <c r="N164" s="20"/>
      <c r="O164" s="19"/>
      <c r="P164" s="21"/>
      <c r="Q164" s="17">
        <f t="shared" si="3"/>
        <v>285</v>
      </c>
    </row>
    <row r="165">
      <c r="A165" s="12" t="str">
        <f t="shared" si="2"/>
        <v>(01) Compras</v>
      </c>
      <c r="B165" s="12" t="s">
        <v>77</v>
      </c>
      <c r="C165" s="12" t="s">
        <v>25</v>
      </c>
      <c r="D165" s="13" t="s">
        <v>29</v>
      </c>
      <c r="E165" s="22"/>
      <c r="F165" s="20"/>
      <c r="G165" s="19"/>
      <c r="H165" s="20"/>
      <c r="I165" s="20"/>
      <c r="J165" s="20"/>
      <c r="K165" s="20"/>
      <c r="L165" s="20"/>
      <c r="M165" s="20"/>
      <c r="N165" s="20"/>
      <c r="O165" s="19">
        <v>270.0</v>
      </c>
      <c r="P165" s="21"/>
      <c r="Q165" s="17">
        <f t="shared" si="3"/>
        <v>270</v>
      </c>
    </row>
    <row r="166">
      <c r="A166" s="12" t="str">
        <f t="shared" si="2"/>
        <v>(01) Compras</v>
      </c>
      <c r="B166" s="12" t="s">
        <v>77</v>
      </c>
      <c r="C166" s="12" t="s">
        <v>20</v>
      </c>
      <c r="D166" s="13" t="s">
        <v>21</v>
      </c>
      <c r="E166" s="18">
        <v>280.0</v>
      </c>
      <c r="F166" s="19">
        <v>280.0</v>
      </c>
      <c r="G166" s="19">
        <v>280.0</v>
      </c>
      <c r="H166" s="19">
        <v>280.0</v>
      </c>
      <c r="I166" s="19">
        <v>280.0</v>
      </c>
      <c r="J166" s="19">
        <v>280.0</v>
      </c>
      <c r="K166" s="19">
        <v>280.0</v>
      </c>
      <c r="L166" s="19">
        <v>280.0</v>
      </c>
      <c r="M166" s="19">
        <v>280.0</v>
      </c>
      <c r="N166" s="19">
        <v>280.0</v>
      </c>
      <c r="O166" s="19">
        <v>490.0</v>
      </c>
      <c r="P166" s="21"/>
      <c r="Q166" s="17">
        <f t="shared" si="3"/>
        <v>3290</v>
      </c>
    </row>
    <row r="167">
      <c r="A167" s="12" t="str">
        <f t="shared" si="2"/>
        <v>(01) Compras</v>
      </c>
      <c r="B167" s="12" t="s">
        <v>77</v>
      </c>
      <c r="C167" s="12" t="s">
        <v>22</v>
      </c>
      <c r="D167" s="13" t="s">
        <v>23</v>
      </c>
      <c r="E167" s="18">
        <v>200.0</v>
      </c>
      <c r="F167" s="19">
        <v>200.0</v>
      </c>
      <c r="G167" s="19">
        <v>200.0</v>
      </c>
      <c r="H167" s="19">
        <v>200.0</v>
      </c>
      <c r="I167" s="19">
        <v>200.0</v>
      </c>
      <c r="J167" s="19">
        <v>200.0</v>
      </c>
      <c r="K167" s="19">
        <v>200.0</v>
      </c>
      <c r="L167" s="19">
        <v>200.0</v>
      </c>
      <c r="M167" s="19">
        <v>200.0</v>
      </c>
      <c r="N167" s="19">
        <v>200.0</v>
      </c>
      <c r="O167" s="19">
        <v>350.0</v>
      </c>
      <c r="P167" s="21"/>
      <c r="Q167" s="17">
        <f t="shared" si="3"/>
        <v>2350</v>
      </c>
    </row>
    <row r="168">
      <c r="A168" s="12" t="str">
        <f t="shared" si="2"/>
        <v>(01) Compras</v>
      </c>
      <c r="B168" s="12" t="s">
        <v>77</v>
      </c>
      <c r="C168" s="12" t="s">
        <v>40</v>
      </c>
      <c r="D168" s="13" t="s">
        <v>51</v>
      </c>
      <c r="E168" s="18"/>
      <c r="F168" s="19">
        <v>115.0</v>
      </c>
      <c r="G168" s="19"/>
      <c r="H168" s="20"/>
      <c r="I168" s="20"/>
      <c r="J168" s="19"/>
      <c r="K168" s="20"/>
      <c r="L168" s="20"/>
      <c r="M168" s="19"/>
      <c r="N168" s="20"/>
      <c r="O168" s="19"/>
      <c r="P168" s="21"/>
      <c r="Q168" s="17">
        <f t="shared" si="3"/>
        <v>115</v>
      </c>
    </row>
    <row r="169">
      <c r="A169" s="12" t="str">
        <f t="shared" si="2"/>
        <v>(01) Compras</v>
      </c>
      <c r="B169" s="12" t="s">
        <v>77</v>
      </c>
      <c r="C169" s="12" t="s">
        <v>45</v>
      </c>
      <c r="D169" s="13" t="s">
        <v>49</v>
      </c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3">
        <v>1200.0</v>
      </c>
      <c r="Q169" s="17">
        <f t="shared" si="3"/>
        <v>1200</v>
      </c>
    </row>
    <row r="170">
      <c r="A170" s="12" t="str">
        <f t="shared" si="2"/>
        <v>(01) Compras</v>
      </c>
      <c r="B170" s="12" t="s">
        <v>78</v>
      </c>
      <c r="C170" s="12" t="s">
        <v>25</v>
      </c>
      <c r="D170" s="13" t="s">
        <v>26</v>
      </c>
      <c r="E170" s="18"/>
      <c r="F170" s="19">
        <v>2237.5</v>
      </c>
      <c r="G170" s="19">
        <v>2237.5</v>
      </c>
      <c r="H170" s="20"/>
      <c r="I170" s="20"/>
      <c r="J170" s="20"/>
      <c r="K170" s="19"/>
      <c r="L170" s="19">
        <v>2237.5</v>
      </c>
      <c r="M170" s="19">
        <v>2237.5</v>
      </c>
      <c r="N170" s="20"/>
      <c r="O170" s="20"/>
      <c r="P170" s="21"/>
      <c r="Q170" s="17">
        <f t="shared" si="3"/>
        <v>8950</v>
      </c>
    </row>
    <row r="171">
      <c r="A171" s="12" t="str">
        <f t="shared" si="2"/>
        <v>(01) Compras</v>
      </c>
      <c r="B171" s="12" t="s">
        <v>78</v>
      </c>
      <c r="C171" s="12" t="s">
        <v>20</v>
      </c>
      <c r="D171" s="13" t="s">
        <v>21</v>
      </c>
      <c r="E171" s="18">
        <v>240.0</v>
      </c>
      <c r="F171" s="19">
        <v>240.0</v>
      </c>
      <c r="G171" s="19">
        <v>240.0</v>
      </c>
      <c r="H171" s="19">
        <v>240.0</v>
      </c>
      <c r="I171" s="19">
        <v>240.0</v>
      </c>
      <c r="J171" s="19">
        <v>240.0</v>
      </c>
      <c r="K171" s="19">
        <v>240.0</v>
      </c>
      <c r="L171" s="19">
        <v>240.0</v>
      </c>
      <c r="M171" s="19">
        <v>240.0</v>
      </c>
      <c r="N171" s="19">
        <v>240.0</v>
      </c>
      <c r="O171" s="19">
        <v>390.0</v>
      </c>
      <c r="P171" s="21"/>
      <c r="Q171" s="17">
        <f t="shared" si="3"/>
        <v>2790</v>
      </c>
    </row>
    <row r="172">
      <c r="A172" s="12" t="str">
        <f t="shared" si="2"/>
        <v>(01) Compras</v>
      </c>
      <c r="B172" s="12" t="s">
        <v>78</v>
      </c>
      <c r="C172" s="12" t="s">
        <v>22</v>
      </c>
      <c r="D172" s="13" t="s">
        <v>23</v>
      </c>
      <c r="E172" s="18">
        <v>120.0</v>
      </c>
      <c r="F172" s="19">
        <v>120.0</v>
      </c>
      <c r="G172" s="19">
        <v>120.0</v>
      </c>
      <c r="H172" s="19">
        <v>120.0</v>
      </c>
      <c r="I172" s="19">
        <v>120.0</v>
      </c>
      <c r="J172" s="19">
        <v>120.0</v>
      </c>
      <c r="K172" s="19">
        <v>120.0</v>
      </c>
      <c r="L172" s="19">
        <v>120.0</v>
      </c>
      <c r="M172" s="19">
        <v>120.0</v>
      </c>
      <c r="N172" s="19">
        <v>120.0</v>
      </c>
      <c r="O172" s="19">
        <v>230.0</v>
      </c>
      <c r="P172" s="21"/>
      <c r="Q172" s="17">
        <f t="shared" si="3"/>
        <v>1430</v>
      </c>
    </row>
    <row r="173">
      <c r="A173" s="12" t="str">
        <f t="shared" si="2"/>
        <v>(01) Compras</v>
      </c>
      <c r="B173" s="12" t="s">
        <v>78</v>
      </c>
      <c r="C173" s="12" t="s">
        <v>25</v>
      </c>
      <c r="D173" s="13" t="s">
        <v>29</v>
      </c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>
        <v>270.0</v>
      </c>
      <c r="P173" s="21"/>
      <c r="Q173" s="17">
        <f t="shared" si="3"/>
        <v>270</v>
      </c>
    </row>
    <row r="174">
      <c r="A174" s="12" t="str">
        <f t="shared" si="2"/>
        <v>(01) Compras</v>
      </c>
      <c r="B174" s="12" t="s">
        <v>78</v>
      </c>
      <c r="C174" s="12" t="s">
        <v>45</v>
      </c>
      <c r="D174" s="13" t="s">
        <v>49</v>
      </c>
      <c r="E174" s="2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3">
        <v>1200.0</v>
      </c>
      <c r="Q174" s="17">
        <f t="shared" si="3"/>
        <v>1200</v>
      </c>
    </row>
    <row r="175">
      <c r="A175" s="12" t="str">
        <f t="shared" si="2"/>
        <v>(01) Compras</v>
      </c>
      <c r="B175" s="12" t="s">
        <v>78</v>
      </c>
      <c r="C175" s="12" t="s">
        <v>25</v>
      </c>
      <c r="D175" s="13" t="s">
        <v>28</v>
      </c>
      <c r="E175" s="22"/>
      <c r="F175" s="19"/>
      <c r="G175" s="20"/>
      <c r="H175" s="20"/>
      <c r="I175" s="20"/>
      <c r="J175" s="20"/>
      <c r="K175" s="20"/>
      <c r="L175" s="20"/>
      <c r="M175" s="19"/>
      <c r="N175" s="19">
        <v>1380.0</v>
      </c>
      <c r="O175" s="19">
        <v>1380.0</v>
      </c>
      <c r="P175" s="21"/>
      <c r="Q175" s="17">
        <f t="shared" si="3"/>
        <v>2760</v>
      </c>
    </row>
    <row r="176">
      <c r="A176" s="12" t="str">
        <f t="shared" si="2"/>
        <v>(01) Compras</v>
      </c>
      <c r="B176" s="12" t="s">
        <v>79</v>
      </c>
      <c r="C176" s="12" t="s">
        <v>20</v>
      </c>
      <c r="D176" s="13" t="s">
        <v>21</v>
      </c>
      <c r="E176" s="18">
        <v>160.0</v>
      </c>
      <c r="F176" s="19">
        <v>160.0</v>
      </c>
      <c r="G176" s="19">
        <v>160.0</v>
      </c>
      <c r="H176" s="19">
        <v>160.0</v>
      </c>
      <c r="I176" s="19">
        <v>160.0</v>
      </c>
      <c r="J176" s="19">
        <v>160.0</v>
      </c>
      <c r="K176" s="19">
        <v>160.0</v>
      </c>
      <c r="L176" s="19">
        <v>160.0</v>
      </c>
      <c r="M176" s="19">
        <v>160.0</v>
      </c>
      <c r="N176" s="19">
        <v>160.0</v>
      </c>
      <c r="O176" s="19">
        <v>230.0</v>
      </c>
      <c r="P176" s="21"/>
      <c r="Q176" s="17">
        <f t="shared" si="3"/>
        <v>1830</v>
      </c>
    </row>
    <row r="177">
      <c r="A177" s="12" t="str">
        <f t="shared" si="2"/>
        <v>(01) Compras</v>
      </c>
      <c r="B177" s="12" t="s">
        <v>79</v>
      </c>
      <c r="C177" s="12" t="s">
        <v>25</v>
      </c>
      <c r="D177" s="13" t="s">
        <v>26</v>
      </c>
      <c r="E177" s="22"/>
      <c r="F177" s="19">
        <v>2220.0</v>
      </c>
      <c r="G177" s="19">
        <v>2220.0</v>
      </c>
      <c r="H177" s="20"/>
      <c r="I177" s="20"/>
      <c r="J177" s="20"/>
      <c r="K177" s="20"/>
      <c r="L177" s="19">
        <v>2220.0</v>
      </c>
      <c r="M177" s="19">
        <v>2220.0</v>
      </c>
      <c r="N177" s="20"/>
      <c r="O177" s="20"/>
      <c r="P177" s="21"/>
      <c r="Q177" s="17">
        <f t="shared" si="3"/>
        <v>8880</v>
      </c>
    </row>
    <row r="178">
      <c r="A178" s="12" t="str">
        <f t="shared" si="2"/>
        <v>(01) Compras</v>
      </c>
      <c r="B178" s="12" t="s">
        <v>79</v>
      </c>
      <c r="C178" s="12" t="s">
        <v>25</v>
      </c>
      <c r="D178" s="24" t="s">
        <v>28</v>
      </c>
      <c r="E178" s="18"/>
      <c r="F178" s="19"/>
      <c r="G178" s="19"/>
      <c r="H178" s="19"/>
      <c r="I178" s="19"/>
      <c r="J178" s="19"/>
      <c r="K178" s="19"/>
      <c r="L178" s="19"/>
      <c r="M178" s="19"/>
      <c r="N178" s="19">
        <v>1365.0</v>
      </c>
      <c r="O178" s="19">
        <v>1365.0</v>
      </c>
      <c r="P178" s="21"/>
      <c r="Q178" s="17">
        <f t="shared" si="3"/>
        <v>2730</v>
      </c>
    </row>
    <row r="179">
      <c r="A179" s="12" t="str">
        <f t="shared" si="2"/>
        <v>(01) Compras</v>
      </c>
      <c r="B179" s="12" t="s">
        <v>79</v>
      </c>
      <c r="C179" s="12" t="s">
        <v>25</v>
      </c>
      <c r="D179" s="24" t="s">
        <v>29</v>
      </c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>
        <v>270.0</v>
      </c>
      <c r="P179" s="21"/>
      <c r="Q179" s="17">
        <f t="shared" si="3"/>
        <v>270</v>
      </c>
    </row>
    <row r="180">
      <c r="A180" s="12" t="str">
        <f t="shared" si="2"/>
        <v>(01) Compras</v>
      </c>
      <c r="B180" s="12" t="s">
        <v>79</v>
      </c>
      <c r="C180" s="12" t="s">
        <v>45</v>
      </c>
      <c r="D180" s="24" t="s">
        <v>49</v>
      </c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3">
        <v>1200.0</v>
      </c>
      <c r="Q180" s="17">
        <f t="shared" si="3"/>
        <v>1200</v>
      </c>
    </row>
    <row r="181">
      <c r="A181" s="12" t="str">
        <f t="shared" si="2"/>
        <v>(01) Compras</v>
      </c>
      <c r="B181" s="12" t="s">
        <v>79</v>
      </c>
      <c r="C181" s="12" t="s">
        <v>53</v>
      </c>
      <c r="D181" s="24" t="s">
        <v>60</v>
      </c>
      <c r="E181" s="18"/>
      <c r="F181" s="19"/>
      <c r="G181" s="19"/>
      <c r="H181" s="19"/>
      <c r="I181" s="19">
        <v>2960.0</v>
      </c>
      <c r="J181" s="19"/>
      <c r="K181" s="19"/>
      <c r="L181" s="19"/>
      <c r="M181" s="19"/>
      <c r="N181" s="19"/>
      <c r="O181" s="19"/>
      <c r="P181" s="21"/>
      <c r="Q181" s="17">
        <f t="shared" si="3"/>
        <v>2960</v>
      </c>
    </row>
    <row r="182">
      <c r="A182" s="12" t="str">
        <f t="shared" si="2"/>
        <v>(01) Compras</v>
      </c>
      <c r="B182" s="12" t="s">
        <v>79</v>
      </c>
      <c r="C182" s="12" t="s">
        <v>40</v>
      </c>
      <c r="D182" s="13" t="s">
        <v>59</v>
      </c>
      <c r="E182" s="18"/>
      <c r="F182" s="19"/>
      <c r="G182" s="19"/>
      <c r="H182" s="19">
        <v>3450.0</v>
      </c>
      <c r="I182" s="19"/>
      <c r="J182" s="19"/>
      <c r="K182" s="19"/>
      <c r="L182" s="19"/>
      <c r="M182" s="19"/>
      <c r="N182" s="19"/>
      <c r="O182" s="19"/>
      <c r="P182" s="21"/>
      <c r="Q182" s="17">
        <f t="shared" si="3"/>
        <v>3450</v>
      </c>
    </row>
    <row r="183">
      <c r="A183" s="12" t="str">
        <f t="shared" si="2"/>
        <v>(01) Compras</v>
      </c>
      <c r="B183" s="12" t="s">
        <v>80</v>
      </c>
      <c r="C183" s="12" t="s">
        <v>25</v>
      </c>
      <c r="D183" s="13" t="s">
        <v>26</v>
      </c>
      <c r="E183" s="18"/>
      <c r="F183" s="19">
        <v>8165.0</v>
      </c>
      <c r="G183" s="19">
        <v>8165.0</v>
      </c>
      <c r="H183" s="19"/>
      <c r="I183" s="19"/>
      <c r="J183" s="19"/>
      <c r="K183" s="19"/>
      <c r="L183" s="19">
        <v>8165.0</v>
      </c>
      <c r="M183" s="19">
        <v>8165.0</v>
      </c>
      <c r="N183" s="19"/>
      <c r="O183" s="19"/>
      <c r="P183" s="21"/>
      <c r="Q183" s="17">
        <f t="shared" si="3"/>
        <v>32660</v>
      </c>
    </row>
    <row r="184">
      <c r="A184" s="12" t="str">
        <f t="shared" si="2"/>
        <v>(01) Compras</v>
      </c>
      <c r="B184" s="12" t="s">
        <v>80</v>
      </c>
      <c r="C184" s="12" t="s">
        <v>25</v>
      </c>
      <c r="D184" s="13" t="s">
        <v>28</v>
      </c>
      <c r="E184" s="22"/>
      <c r="F184" s="20"/>
      <c r="G184" s="20"/>
      <c r="H184" s="20"/>
      <c r="I184" s="20"/>
      <c r="J184" s="20"/>
      <c r="K184" s="20"/>
      <c r="L184" s="20"/>
      <c r="M184" s="20"/>
      <c r="N184" s="19">
        <v>5035.0</v>
      </c>
      <c r="O184" s="19">
        <v>5035.0</v>
      </c>
      <c r="P184" s="23"/>
      <c r="Q184" s="17">
        <f t="shared" si="3"/>
        <v>10070</v>
      </c>
    </row>
    <row r="185">
      <c r="A185" s="12" t="str">
        <f t="shared" si="2"/>
        <v>(01) Compras</v>
      </c>
      <c r="B185" s="12" t="s">
        <v>80</v>
      </c>
      <c r="C185" s="12" t="s">
        <v>25</v>
      </c>
      <c r="D185" s="13" t="s">
        <v>29</v>
      </c>
      <c r="E185" s="22"/>
      <c r="F185" s="20"/>
      <c r="G185" s="19"/>
      <c r="H185" s="20"/>
      <c r="I185" s="20"/>
      <c r="J185" s="20"/>
      <c r="K185" s="20"/>
      <c r="L185" s="20"/>
      <c r="M185" s="20"/>
      <c r="N185" s="20"/>
      <c r="O185" s="19">
        <v>990.0</v>
      </c>
      <c r="P185" s="21"/>
      <c r="Q185" s="17">
        <f t="shared" si="3"/>
        <v>990</v>
      </c>
    </row>
    <row r="186">
      <c r="A186" s="12" t="str">
        <f t="shared" si="2"/>
        <v>(01) Compras</v>
      </c>
      <c r="B186" s="12" t="s">
        <v>80</v>
      </c>
      <c r="C186" s="12" t="s">
        <v>20</v>
      </c>
      <c r="D186" s="13" t="s">
        <v>21</v>
      </c>
      <c r="E186" s="18">
        <v>340.0</v>
      </c>
      <c r="F186" s="19">
        <v>340.0</v>
      </c>
      <c r="G186" s="19">
        <v>340.0</v>
      </c>
      <c r="H186" s="19">
        <v>340.0</v>
      </c>
      <c r="I186" s="19">
        <v>340.0</v>
      </c>
      <c r="J186" s="19">
        <v>340.0</v>
      </c>
      <c r="K186" s="19">
        <v>340.0</v>
      </c>
      <c r="L186" s="19">
        <v>340.0</v>
      </c>
      <c r="M186" s="19">
        <v>340.0</v>
      </c>
      <c r="N186" s="19">
        <v>340.0</v>
      </c>
      <c r="O186" s="19">
        <v>520.0</v>
      </c>
      <c r="P186" s="21"/>
      <c r="Q186" s="17">
        <f t="shared" si="3"/>
        <v>3920</v>
      </c>
    </row>
    <row r="187">
      <c r="A187" s="12" t="str">
        <f t="shared" si="2"/>
        <v>(01) Compras</v>
      </c>
      <c r="B187" s="12" t="s">
        <v>80</v>
      </c>
      <c r="C187" s="12" t="s">
        <v>22</v>
      </c>
      <c r="D187" s="13" t="s">
        <v>23</v>
      </c>
      <c r="E187" s="18">
        <v>150.0</v>
      </c>
      <c r="F187" s="19">
        <v>150.0</v>
      </c>
      <c r="G187" s="19">
        <v>150.0</v>
      </c>
      <c r="H187" s="19">
        <v>150.0</v>
      </c>
      <c r="I187" s="19">
        <v>150.0</v>
      </c>
      <c r="J187" s="19">
        <v>150.0</v>
      </c>
      <c r="K187" s="19">
        <v>150.0</v>
      </c>
      <c r="L187" s="19">
        <v>150.0</v>
      </c>
      <c r="M187" s="19">
        <v>150.0</v>
      </c>
      <c r="N187" s="19">
        <v>150.0</v>
      </c>
      <c r="O187" s="19">
        <v>260.0</v>
      </c>
      <c r="P187" s="21"/>
      <c r="Q187" s="17">
        <f t="shared" si="3"/>
        <v>1760</v>
      </c>
    </row>
    <row r="188">
      <c r="A188" s="12" t="str">
        <f t="shared" si="2"/>
        <v>(01) Compras</v>
      </c>
      <c r="B188" s="12" t="s">
        <v>80</v>
      </c>
      <c r="C188" s="12" t="s">
        <v>45</v>
      </c>
      <c r="D188" s="13" t="s">
        <v>49</v>
      </c>
      <c r="E188" s="18"/>
      <c r="F188" s="20"/>
      <c r="G188" s="19"/>
      <c r="H188" s="20"/>
      <c r="I188" s="20"/>
      <c r="J188" s="19"/>
      <c r="K188" s="20"/>
      <c r="L188" s="20"/>
      <c r="M188" s="19"/>
      <c r="N188" s="20"/>
      <c r="O188" s="19"/>
      <c r="P188" s="23">
        <v>4400.0</v>
      </c>
      <c r="Q188" s="17">
        <f t="shared" si="3"/>
        <v>4400</v>
      </c>
    </row>
    <row r="189">
      <c r="A189" s="12" t="str">
        <f t="shared" si="2"/>
        <v>(01) Compras</v>
      </c>
      <c r="B189" s="12" t="s">
        <v>80</v>
      </c>
      <c r="C189" s="12" t="s">
        <v>53</v>
      </c>
      <c r="D189" s="13" t="s">
        <v>60</v>
      </c>
      <c r="E189" s="22"/>
      <c r="F189" s="20"/>
      <c r="G189" s="19"/>
      <c r="H189" s="19">
        <v>2590.0</v>
      </c>
      <c r="I189" s="19">
        <v>2590.0</v>
      </c>
      <c r="J189" s="20"/>
      <c r="K189" s="20"/>
      <c r="L189" s="20"/>
      <c r="M189" s="20"/>
      <c r="N189" s="20"/>
      <c r="O189" s="19">
        <v>3500.0</v>
      </c>
      <c r="P189" s="21"/>
      <c r="Q189" s="17">
        <f t="shared" si="3"/>
        <v>8680</v>
      </c>
    </row>
    <row r="190">
      <c r="A190" s="12" t="str">
        <f t="shared" si="2"/>
        <v>(01) Compras</v>
      </c>
      <c r="B190" s="12" t="s">
        <v>80</v>
      </c>
      <c r="C190" s="12" t="s">
        <v>40</v>
      </c>
      <c r="D190" s="13" t="s">
        <v>59</v>
      </c>
      <c r="E190" s="18"/>
      <c r="F190" s="19"/>
      <c r="G190" s="20"/>
      <c r="H190" s="20"/>
      <c r="I190" s="19">
        <v>4050.0</v>
      </c>
      <c r="J190" s="19">
        <v>4050.0</v>
      </c>
      <c r="K190" s="19"/>
      <c r="L190" s="19"/>
      <c r="M190" s="20"/>
      <c r="N190" s="20"/>
      <c r="O190" s="20"/>
      <c r="P190" s="21"/>
      <c r="Q190" s="17">
        <f t="shared" si="3"/>
        <v>8100</v>
      </c>
    </row>
    <row r="191">
      <c r="A191" s="12" t="str">
        <f t="shared" si="2"/>
        <v>(01) Compras</v>
      </c>
      <c r="B191" s="12" t="s">
        <v>80</v>
      </c>
      <c r="C191" s="12" t="s">
        <v>40</v>
      </c>
      <c r="D191" s="24" t="s">
        <v>51</v>
      </c>
      <c r="E191" s="22"/>
      <c r="F191" s="19">
        <v>230.0</v>
      </c>
      <c r="G191" s="19"/>
      <c r="H191" s="20"/>
      <c r="I191" s="20"/>
      <c r="J191" s="20"/>
      <c r="K191" s="20"/>
      <c r="L191" s="19"/>
      <c r="M191" s="19"/>
      <c r="N191" s="20"/>
      <c r="O191" s="20"/>
      <c r="P191" s="21"/>
      <c r="Q191" s="17">
        <f t="shared" si="3"/>
        <v>230</v>
      </c>
    </row>
    <row r="192">
      <c r="A192" s="12" t="str">
        <f t="shared" si="2"/>
        <v>(01) Compras</v>
      </c>
      <c r="B192" s="12" t="s">
        <v>81</v>
      </c>
      <c r="C192" s="12" t="s">
        <v>25</v>
      </c>
      <c r="D192" s="13" t="s">
        <v>26</v>
      </c>
      <c r="E192" s="22"/>
      <c r="F192" s="19">
        <v>740.0</v>
      </c>
      <c r="G192" s="19">
        <v>740.0</v>
      </c>
      <c r="H192" s="20"/>
      <c r="I192" s="20"/>
      <c r="J192" s="20"/>
      <c r="K192" s="20"/>
      <c r="L192" s="19">
        <v>740.0</v>
      </c>
      <c r="M192" s="19">
        <v>740.0</v>
      </c>
      <c r="N192" s="20"/>
      <c r="O192" s="20"/>
      <c r="P192" s="21"/>
      <c r="Q192" s="17">
        <f t="shared" si="3"/>
        <v>2960</v>
      </c>
    </row>
    <row r="193">
      <c r="A193" s="12" t="str">
        <f t="shared" si="2"/>
        <v>(01) Compras</v>
      </c>
      <c r="B193" s="12" t="s">
        <v>81</v>
      </c>
      <c r="C193" s="12" t="s">
        <v>25</v>
      </c>
      <c r="D193" s="13" t="s">
        <v>28</v>
      </c>
      <c r="E193" s="18"/>
      <c r="F193" s="19"/>
      <c r="G193" s="19"/>
      <c r="H193" s="19"/>
      <c r="I193" s="19"/>
      <c r="J193" s="19"/>
      <c r="K193" s="19"/>
      <c r="L193" s="19"/>
      <c r="M193" s="19"/>
      <c r="N193" s="19">
        <v>455.0</v>
      </c>
      <c r="O193" s="19">
        <v>455.0</v>
      </c>
      <c r="P193" s="21"/>
      <c r="Q193" s="17">
        <f t="shared" si="3"/>
        <v>910</v>
      </c>
    </row>
    <row r="194">
      <c r="A194" s="12" t="str">
        <f t="shared" si="2"/>
        <v>(01) Compras</v>
      </c>
      <c r="B194" s="12" t="s">
        <v>81</v>
      </c>
      <c r="C194" s="12" t="s">
        <v>25</v>
      </c>
      <c r="D194" s="13" t="s">
        <v>29</v>
      </c>
      <c r="E194" s="18"/>
      <c r="F194" s="19"/>
      <c r="G194" s="20"/>
      <c r="H194" s="20"/>
      <c r="I194" s="20"/>
      <c r="J194" s="20"/>
      <c r="K194" s="19"/>
      <c r="L194" s="19"/>
      <c r="M194" s="20"/>
      <c r="N194" s="20"/>
      <c r="O194" s="19">
        <v>90.0</v>
      </c>
      <c r="P194" s="21"/>
      <c r="Q194" s="17">
        <f t="shared" si="3"/>
        <v>90</v>
      </c>
    </row>
    <row r="195">
      <c r="A195" s="12" t="str">
        <f t="shared" si="2"/>
        <v>(01) Compras</v>
      </c>
      <c r="B195" s="12" t="s">
        <v>81</v>
      </c>
      <c r="C195" s="12" t="s">
        <v>20</v>
      </c>
      <c r="D195" s="13" t="s">
        <v>21</v>
      </c>
      <c r="E195" s="18">
        <v>150.0</v>
      </c>
      <c r="F195" s="19">
        <v>150.0</v>
      </c>
      <c r="G195" s="19">
        <v>150.0</v>
      </c>
      <c r="H195" s="19">
        <v>150.0</v>
      </c>
      <c r="I195" s="19">
        <v>150.0</v>
      </c>
      <c r="J195" s="19">
        <v>150.0</v>
      </c>
      <c r="K195" s="19">
        <v>150.0</v>
      </c>
      <c r="L195" s="19">
        <v>150.0</v>
      </c>
      <c r="M195" s="19">
        <v>150.0</v>
      </c>
      <c r="N195" s="19">
        <v>150.0</v>
      </c>
      <c r="O195" s="19">
        <v>230.0</v>
      </c>
      <c r="P195" s="21"/>
      <c r="Q195" s="17">
        <f t="shared" si="3"/>
        <v>1730</v>
      </c>
    </row>
    <row r="196">
      <c r="A196" s="12" t="str">
        <f t="shared" si="2"/>
        <v>(01) Compras</v>
      </c>
      <c r="B196" s="12" t="s">
        <v>81</v>
      </c>
      <c r="C196" s="12" t="s">
        <v>45</v>
      </c>
      <c r="D196" s="13" t="s">
        <v>49</v>
      </c>
      <c r="E196" s="22"/>
      <c r="F196" s="20"/>
      <c r="G196" s="20"/>
      <c r="H196" s="20"/>
      <c r="I196" s="20"/>
      <c r="J196" s="20"/>
      <c r="K196" s="20"/>
      <c r="L196" s="20"/>
      <c r="M196" s="20"/>
      <c r="N196" s="19"/>
      <c r="O196" s="20"/>
      <c r="P196" s="23">
        <v>400.0</v>
      </c>
      <c r="Q196" s="17">
        <f t="shared" si="3"/>
        <v>400</v>
      </c>
    </row>
    <row r="197">
      <c r="A197" s="12" t="str">
        <f t="shared" si="2"/>
        <v>(01) Compras</v>
      </c>
      <c r="B197" s="12" t="s">
        <v>82</v>
      </c>
      <c r="C197" s="12" t="s">
        <v>25</v>
      </c>
      <c r="D197" s="13" t="s">
        <v>27</v>
      </c>
      <c r="E197" s="18"/>
      <c r="F197" s="19">
        <v>4100.0</v>
      </c>
      <c r="G197" s="19">
        <v>4100.0</v>
      </c>
      <c r="H197" s="20"/>
      <c r="I197" s="20"/>
      <c r="J197" s="19"/>
      <c r="K197" s="20"/>
      <c r="L197" s="19">
        <v>4100.0</v>
      </c>
      <c r="M197" s="19">
        <v>4100.0</v>
      </c>
      <c r="N197" s="20"/>
      <c r="O197" s="19"/>
      <c r="P197" s="21"/>
      <c r="Q197" s="17">
        <f t="shared" si="3"/>
        <v>16400</v>
      </c>
    </row>
    <row r="198">
      <c r="A198" s="12" t="str">
        <f t="shared" si="2"/>
        <v>(01) Compras</v>
      </c>
      <c r="B198" s="12" t="s">
        <v>82</v>
      </c>
      <c r="C198" s="12" t="s">
        <v>25</v>
      </c>
      <c r="D198" s="13" t="s">
        <v>29</v>
      </c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>
        <v>450.0</v>
      </c>
      <c r="P198" s="21"/>
      <c r="Q198" s="17">
        <f t="shared" si="3"/>
        <v>450</v>
      </c>
    </row>
    <row r="199">
      <c r="A199" s="12" t="str">
        <f t="shared" si="2"/>
        <v>(01) Compras</v>
      </c>
      <c r="B199" s="12" t="s">
        <v>82</v>
      </c>
      <c r="C199" s="12" t="s">
        <v>20</v>
      </c>
      <c r="D199" s="13" t="s">
        <v>21</v>
      </c>
      <c r="E199" s="18">
        <v>180.0</v>
      </c>
      <c r="F199" s="19">
        <v>180.0</v>
      </c>
      <c r="G199" s="19">
        <v>180.0</v>
      </c>
      <c r="H199" s="19">
        <v>180.0</v>
      </c>
      <c r="I199" s="19">
        <v>180.0</v>
      </c>
      <c r="J199" s="19">
        <v>180.0</v>
      </c>
      <c r="K199" s="19">
        <v>180.0</v>
      </c>
      <c r="L199" s="19">
        <v>180.0</v>
      </c>
      <c r="M199" s="19">
        <v>180.0</v>
      </c>
      <c r="N199" s="19">
        <v>180.0</v>
      </c>
      <c r="O199" s="19">
        <v>330.0</v>
      </c>
      <c r="P199" s="21"/>
      <c r="Q199" s="17">
        <f t="shared" si="3"/>
        <v>2130</v>
      </c>
    </row>
    <row r="200">
      <c r="A200" s="12" t="str">
        <f t="shared" si="2"/>
        <v>(01) Compras</v>
      </c>
      <c r="B200" s="12" t="s">
        <v>82</v>
      </c>
      <c r="C200" s="12" t="s">
        <v>22</v>
      </c>
      <c r="D200" s="13" t="s">
        <v>23</v>
      </c>
      <c r="E200" s="18">
        <v>230.0</v>
      </c>
      <c r="F200" s="19">
        <v>230.0</v>
      </c>
      <c r="G200" s="19">
        <v>230.0</v>
      </c>
      <c r="H200" s="19">
        <v>230.0</v>
      </c>
      <c r="I200" s="19">
        <v>230.0</v>
      </c>
      <c r="J200" s="19">
        <v>230.0</v>
      </c>
      <c r="K200" s="19">
        <v>230.0</v>
      </c>
      <c r="L200" s="19">
        <v>230.0</v>
      </c>
      <c r="M200" s="19">
        <v>230.0</v>
      </c>
      <c r="N200" s="19">
        <v>230.0</v>
      </c>
      <c r="O200" s="19">
        <v>380.0</v>
      </c>
      <c r="P200" s="23"/>
      <c r="Q200" s="17">
        <f t="shared" si="3"/>
        <v>2680</v>
      </c>
    </row>
    <row r="201">
      <c r="A201" s="12" t="str">
        <f t="shared" si="2"/>
        <v>(01) Compras</v>
      </c>
      <c r="B201" s="12" t="s">
        <v>82</v>
      </c>
      <c r="C201" s="12" t="s">
        <v>45</v>
      </c>
      <c r="D201" s="13" t="s">
        <v>49</v>
      </c>
      <c r="E201" s="22"/>
      <c r="F201" s="20"/>
      <c r="G201" s="19"/>
      <c r="H201" s="20"/>
      <c r="I201" s="20"/>
      <c r="J201" s="20"/>
      <c r="K201" s="20"/>
      <c r="L201" s="20"/>
      <c r="M201" s="20"/>
      <c r="N201" s="20"/>
      <c r="O201" s="19"/>
      <c r="P201" s="23">
        <v>2000.0</v>
      </c>
      <c r="Q201" s="17">
        <f t="shared" si="3"/>
        <v>2000</v>
      </c>
    </row>
    <row r="202">
      <c r="A202" s="12" t="str">
        <f t="shared" si="2"/>
        <v>(01) Compras</v>
      </c>
      <c r="B202" s="12" t="s">
        <v>82</v>
      </c>
      <c r="C202" s="12" t="s">
        <v>25</v>
      </c>
      <c r="D202" s="13" t="s">
        <v>30</v>
      </c>
      <c r="E202" s="22"/>
      <c r="F202" s="20"/>
      <c r="G202" s="19">
        <v>285.0</v>
      </c>
      <c r="H202" s="20"/>
      <c r="I202" s="20"/>
      <c r="J202" s="19"/>
      <c r="K202" s="20"/>
      <c r="L202" s="20"/>
      <c r="M202" s="20"/>
      <c r="N202" s="20"/>
      <c r="O202" s="20"/>
      <c r="P202" s="21"/>
      <c r="Q202" s="17">
        <f t="shared" si="3"/>
        <v>285</v>
      </c>
    </row>
    <row r="203">
      <c r="A203" s="12" t="str">
        <f t="shared" si="2"/>
        <v>(01) Compras</v>
      </c>
      <c r="B203" s="12" t="s">
        <v>82</v>
      </c>
      <c r="C203" s="12" t="s">
        <v>53</v>
      </c>
      <c r="D203" s="13" t="s">
        <v>60</v>
      </c>
      <c r="E203" s="18"/>
      <c r="F203" s="19">
        <v>2960.0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21"/>
      <c r="Q203" s="17">
        <f t="shared" si="3"/>
        <v>2960</v>
      </c>
    </row>
    <row r="204">
      <c r="A204" s="12" t="str">
        <f t="shared" si="2"/>
        <v>(01) Compras</v>
      </c>
      <c r="B204" s="12" t="s">
        <v>82</v>
      </c>
      <c r="C204" s="12" t="s">
        <v>40</v>
      </c>
      <c r="D204" s="13" t="s">
        <v>59</v>
      </c>
      <c r="E204" s="18"/>
      <c r="F204" s="19"/>
      <c r="G204" s="19"/>
      <c r="H204" s="19">
        <v>4600.0</v>
      </c>
      <c r="I204" s="19"/>
      <c r="J204" s="19"/>
      <c r="K204" s="19"/>
      <c r="L204" s="19"/>
      <c r="M204" s="19"/>
      <c r="N204" s="19"/>
      <c r="O204" s="19"/>
      <c r="P204" s="21"/>
      <c r="Q204" s="17">
        <f t="shared" si="3"/>
        <v>4600</v>
      </c>
    </row>
    <row r="205">
      <c r="A205" s="12" t="str">
        <f t="shared" si="2"/>
        <v>(01) Compras</v>
      </c>
      <c r="B205" s="12" t="s">
        <v>82</v>
      </c>
      <c r="C205" s="12" t="s">
        <v>40</v>
      </c>
      <c r="D205" s="24" t="s">
        <v>51</v>
      </c>
      <c r="E205" s="18"/>
      <c r="F205" s="19">
        <v>115.0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21"/>
      <c r="Q205" s="17">
        <f t="shared" si="3"/>
        <v>115</v>
      </c>
    </row>
    <row r="206">
      <c r="A206" s="12" t="str">
        <f t="shared" si="2"/>
        <v>(01) Compras</v>
      </c>
      <c r="B206" s="12" t="s">
        <v>83</v>
      </c>
      <c r="C206" s="12" t="s">
        <v>20</v>
      </c>
      <c r="D206" s="13" t="s">
        <v>21</v>
      </c>
      <c r="E206" s="18">
        <v>260.0</v>
      </c>
      <c r="F206" s="19">
        <v>260.0</v>
      </c>
      <c r="G206" s="19">
        <v>260.0</v>
      </c>
      <c r="H206" s="19">
        <v>260.0</v>
      </c>
      <c r="I206" s="19">
        <v>260.0</v>
      </c>
      <c r="J206" s="19">
        <v>260.0</v>
      </c>
      <c r="K206" s="19">
        <v>260.0</v>
      </c>
      <c r="L206" s="19">
        <v>260.0</v>
      </c>
      <c r="M206" s="19">
        <v>260.0</v>
      </c>
      <c r="N206" s="19">
        <v>260.0</v>
      </c>
      <c r="O206" s="19">
        <v>450.0</v>
      </c>
      <c r="P206" s="21"/>
      <c r="Q206" s="17">
        <f t="shared" si="3"/>
        <v>3050</v>
      </c>
    </row>
    <row r="207">
      <c r="A207" s="12" t="str">
        <f t="shared" si="2"/>
        <v>(01) Compras</v>
      </c>
      <c r="B207" s="12" t="s">
        <v>83</v>
      </c>
      <c r="C207" s="12" t="s">
        <v>25</v>
      </c>
      <c r="D207" s="13" t="s">
        <v>26</v>
      </c>
      <c r="E207" s="18"/>
      <c r="F207" s="19">
        <v>2237.5</v>
      </c>
      <c r="G207" s="19">
        <v>2237.5</v>
      </c>
      <c r="H207" s="20"/>
      <c r="I207" s="20"/>
      <c r="J207" s="19"/>
      <c r="K207" s="19"/>
      <c r="L207" s="19">
        <v>2237.5</v>
      </c>
      <c r="M207" s="19">
        <v>2237.5</v>
      </c>
      <c r="N207" s="20"/>
      <c r="O207" s="20"/>
      <c r="P207" s="21"/>
      <c r="Q207" s="17">
        <f t="shared" si="3"/>
        <v>8950</v>
      </c>
    </row>
    <row r="208">
      <c r="A208" s="12" t="str">
        <f t="shared" si="2"/>
        <v>(01) Compras</v>
      </c>
      <c r="B208" s="12" t="s">
        <v>83</v>
      </c>
      <c r="C208" s="12" t="s">
        <v>25</v>
      </c>
      <c r="D208" s="13" t="s">
        <v>28</v>
      </c>
      <c r="E208" s="18"/>
      <c r="F208" s="19"/>
      <c r="G208" s="20"/>
      <c r="H208" s="20"/>
      <c r="I208" s="20"/>
      <c r="J208" s="20"/>
      <c r="K208" s="19"/>
      <c r="L208" s="19"/>
      <c r="M208" s="20"/>
      <c r="N208" s="19">
        <v>1380.0</v>
      </c>
      <c r="O208" s="19">
        <v>1380.0</v>
      </c>
      <c r="P208" s="21"/>
      <c r="Q208" s="17">
        <f t="shared" si="3"/>
        <v>2760</v>
      </c>
    </row>
    <row r="209">
      <c r="A209" s="12" t="str">
        <f t="shared" si="2"/>
        <v>(01) Compras</v>
      </c>
      <c r="B209" s="12" t="s">
        <v>83</v>
      </c>
      <c r="C209" s="12" t="s">
        <v>25</v>
      </c>
      <c r="D209" s="13" t="s">
        <v>29</v>
      </c>
      <c r="E209" s="22"/>
      <c r="F209" s="20"/>
      <c r="G209" s="20"/>
      <c r="H209" s="20"/>
      <c r="I209" s="20"/>
      <c r="J209" s="20"/>
      <c r="K209" s="20"/>
      <c r="L209" s="20"/>
      <c r="M209" s="20"/>
      <c r="N209" s="19"/>
      <c r="O209" s="19">
        <v>270.0</v>
      </c>
      <c r="P209" s="21"/>
      <c r="Q209" s="17">
        <f t="shared" si="3"/>
        <v>270</v>
      </c>
    </row>
    <row r="210">
      <c r="A210" s="12" t="str">
        <f t="shared" si="2"/>
        <v>(01) Compras</v>
      </c>
      <c r="B210" s="12" t="s">
        <v>83</v>
      </c>
      <c r="C210" s="12" t="s">
        <v>22</v>
      </c>
      <c r="D210" s="13" t="s">
        <v>23</v>
      </c>
      <c r="E210" s="18">
        <v>160.0</v>
      </c>
      <c r="F210" s="19">
        <v>160.0</v>
      </c>
      <c r="G210" s="19">
        <v>160.0</v>
      </c>
      <c r="H210" s="19">
        <v>160.0</v>
      </c>
      <c r="I210" s="19">
        <v>160.0</v>
      </c>
      <c r="J210" s="19">
        <v>160.0</v>
      </c>
      <c r="K210" s="19">
        <v>160.0</v>
      </c>
      <c r="L210" s="19">
        <v>160.0</v>
      </c>
      <c r="M210" s="19">
        <v>160.0</v>
      </c>
      <c r="N210" s="19">
        <v>160.0</v>
      </c>
      <c r="O210" s="19">
        <v>280.0</v>
      </c>
      <c r="P210" s="21"/>
      <c r="Q210" s="17">
        <f t="shared" si="3"/>
        <v>1880</v>
      </c>
    </row>
    <row r="211">
      <c r="A211" s="12" t="str">
        <f t="shared" si="2"/>
        <v>(01) Compras</v>
      </c>
      <c r="B211" s="12" t="s">
        <v>83</v>
      </c>
      <c r="C211" s="12" t="s">
        <v>25</v>
      </c>
      <c r="D211" s="13" t="s">
        <v>30</v>
      </c>
      <c r="E211" s="18"/>
      <c r="F211" s="19"/>
      <c r="G211" s="19">
        <v>285.0</v>
      </c>
      <c r="H211" s="19"/>
      <c r="I211" s="19"/>
      <c r="J211" s="19"/>
      <c r="K211" s="19"/>
      <c r="L211" s="19"/>
      <c r="M211" s="19"/>
      <c r="N211" s="19"/>
      <c r="O211" s="19"/>
      <c r="P211" s="21"/>
      <c r="Q211" s="17">
        <f t="shared" si="3"/>
        <v>285</v>
      </c>
    </row>
    <row r="212">
      <c r="A212" s="12" t="str">
        <f t="shared" si="2"/>
        <v>(01) Compras</v>
      </c>
      <c r="B212" s="12" t="s">
        <v>83</v>
      </c>
      <c r="C212" s="12" t="s">
        <v>45</v>
      </c>
      <c r="D212" s="13" t="s">
        <v>49</v>
      </c>
      <c r="E212" s="18"/>
      <c r="F212" s="19"/>
      <c r="G212" s="20"/>
      <c r="H212" s="20"/>
      <c r="I212" s="20"/>
      <c r="J212" s="20"/>
      <c r="K212" s="19"/>
      <c r="L212" s="19"/>
      <c r="M212" s="20"/>
      <c r="N212" s="20"/>
      <c r="O212" s="20"/>
      <c r="P212" s="23">
        <v>1200.0</v>
      </c>
      <c r="Q212" s="17">
        <f t="shared" si="3"/>
        <v>1200</v>
      </c>
    </row>
    <row r="213">
      <c r="A213" s="12" t="str">
        <f t="shared" si="2"/>
        <v>(01) Compras</v>
      </c>
      <c r="B213" s="12" t="s">
        <v>83</v>
      </c>
      <c r="C213" s="12" t="s">
        <v>53</v>
      </c>
      <c r="D213" s="13" t="s">
        <v>60</v>
      </c>
      <c r="E213" s="22"/>
      <c r="F213" s="20"/>
      <c r="G213" s="20"/>
      <c r="H213" s="20"/>
      <c r="I213" s="19">
        <v>2400.0</v>
      </c>
      <c r="J213" s="20"/>
      <c r="K213" s="20"/>
      <c r="L213" s="20"/>
      <c r="M213" s="19"/>
      <c r="N213" s="19"/>
      <c r="O213" s="20"/>
      <c r="P213" s="21"/>
      <c r="Q213" s="17">
        <f t="shared" si="3"/>
        <v>2400</v>
      </c>
    </row>
    <row r="214">
      <c r="A214" s="12" t="str">
        <f t="shared" si="2"/>
        <v>(01) Compras</v>
      </c>
      <c r="B214" s="12" t="s">
        <v>83</v>
      </c>
      <c r="C214" s="12" t="s">
        <v>40</v>
      </c>
      <c r="D214" s="13" t="s">
        <v>59</v>
      </c>
      <c r="E214" s="22"/>
      <c r="F214" s="20"/>
      <c r="G214" s="20"/>
      <c r="H214" s="20"/>
      <c r="I214" s="20"/>
      <c r="J214" s="19">
        <v>3450.0</v>
      </c>
      <c r="K214" s="20"/>
      <c r="L214" s="20"/>
      <c r="M214" s="20"/>
      <c r="N214" s="19"/>
      <c r="O214" s="20"/>
      <c r="P214" s="21"/>
      <c r="Q214" s="17">
        <f t="shared" si="3"/>
        <v>3450</v>
      </c>
    </row>
    <row r="215">
      <c r="A215" s="12" t="str">
        <f t="shared" si="2"/>
        <v>(01) Compras</v>
      </c>
      <c r="B215" s="12" t="s">
        <v>83</v>
      </c>
      <c r="C215" s="12" t="s">
        <v>40</v>
      </c>
      <c r="D215" s="13" t="s">
        <v>51</v>
      </c>
      <c r="E215" s="22"/>
      <c r="F215" s="19">
        <v>230.0</v>
      </c>
      <c r="G215" s="20"/>
      <c r="H215" s="19"/>
      <c r="I215" s="20"/>
      <c r="J215" s="20"/>
      <c r="K215" s="20"/>
      <c r="L215" s="20"/>
      <c r="M215" s="20"/>
      <c r="N215" s="20"/>
      <c r="O215" s="19"/>
      <c r="P215" s="21"/>
      <c r="Q215" s="17">
        <f t="shared" si="3"/>
        <v>230</v>
      </c>
    </row>
    <row r="216">
      <c r="A216" s="12" t="str">
        <f t="shared" si="2"/>
        <v>(01) Compras</v>
      </c>
      <c r="B216" s="12" t="s">
        <v>84</v>
      </c>
      <c r="C216" s="12" t="s">
        <v>22</v>
      </c>
      <c r="D216" s="13" t="s">
        <v>23</v>
      </c>
      <c r="E216" s="18">
        <v>160.0</v>
      </c>
      <c r="F216" s="19">
        <v>160.0</v>
      </c>
      <c r="G216" s="19">
        <v>160.0</v>
      </c>
      <c r="H216" s="19">
        <v>160.0</v>
      </c>
      <c r="I216" s="19">
        <v>160.0</v>
      </c>
      <c r="J216" s="19">
        <v>160.0</v>
      </c>
      <c r="K216" s="19">
        <v>160.0</v>
      </c>
      <c r="L216" s="19">
        <v>160.0</v>
      </c>
      <c r="M216" s="19">
        <v>160.0</v>
      </c>
      <c r="N216" s="19">
        <v>160.0</v>
      </c>
      <c r="O216" s="19">
        <v>280.0</v>
      </c>
      <c r="P216" s="21"/>
      <c r="Q216" s="17">
        <f t="shared" si="3"/>
        <v>1880</v>
      </c>
    </row>
    <row r="217">
      <c r="A217" s="12" t="str">
        <f t="shared" si="2"/>
        <v>(01) Compras</v>
      </c>
      <c r="B217" s="12" t="s">
        <v>84</v>
      </c>
      <c r="C217" s="12" t="s">
        <v>20</v>
      </c>
      <c r="D217" s="13" t="s">
        <v>21</v>
      </c>
      <c r="E217" s="18">
        <v>200.0</v>
      </c>
      <c r="F217" s="19">
        <v>200.0</v>
      </c>
      <c r="G217" s="19">
        <v>200.0</v>
      </c>
      <c r="H217" s="19">
        <v>200.0</v>
      </c>
      <c r="I217" s="19">
        <v>200.0</v>
      </c>
      <c r="J217" s="19">
        <v>200.0</v>
      </c>
      <c r="K217" s="19">
        <v>200.0</v>
      </c>
      <c r="L217" s="19">
        <v>200.0</v>
      </c>
      <c r="M217" s="19">
        <v>200.0</v>
      </c>
      <c r="N217" s="19">
        <v>200.0</v>
      </c>
      <c r="O217" s="19">
        <v>360.0</v>
      </c>
      <c r="P217" s="21"/>
      <c r="Q217" s="17">
        <f t="shared" si="3"/>
        <v>2360</v>
      </c>
    </row>
    <row r="218">
      <c r="A218" s="12" t="str">
        <f t="shared" si="2"/>
        <v>(01) Compras</v>
      </c>
      <c r="B218" s="12" t="s">
        <v>84</v>
      </c>
      <c r="C218" s="12" t="s">
        <v>25</v>
      </c>
      <c r="D218" s="13" t="s">
        <v>26</v>
      </c>
      <c r="E218" s="22"/>
      <c r="F218" s="19">
        <v>2220.0</v>
      </c>
      <c r="G218" s="19">
        <v>2220.0</v>
      </c>
      <c r="H218" s="20"/>
      <c r="I218" s="20"/>
      <c r="J218" s="20"/>
      <c r="K218" s="20"/>
      <c r="L218" s="19">
        <v>2220.0</v>
      </c>
      <c r="M218" s="19">
        <v>2220.0</v>
      </c>
      <c r="N218" s="20"/>
      <c r="O218" s="20"/>
      <c r="P218" s="23"/>
      <c r="Q218" s="17">
        <f t="shared" si="3"/>
        <v>8880</v>
      </c>
    </row>
    <row r="219">
      <c r="A219" s="12" t="str">
        <f t="shared" si="2"/>
        <v>(01) Compras</v>
      </c>
      <c r="B219" s="12" t="s">
        <v>84</v>
      </c>
      <c r="C219" s="12" t="s">
        <v>25</v>
      </c>
      <c r="D219" s="13" t="s">
        <v>28</v>
      </c>
      <c r="E219" s="22"/>
      <c r="F219" s="20"/>
      <c r="G219" s="19"/>
      <c r="H219" s="20"/>
      <c r="I219" s="20"/>
      <c r="J219" s="20"/>
      <c r="K219" s="20"/>
      <c r="L219" s="20"/>
      <c r="M219" s="20"/>
      <c r="N219" s="19">
        <v>1365.0</v>
      </c>
      <c r="O219" s="19">
        <v>1365.0</v>
      </c>
      <c r="P219" s="21"/>
      <c r="Q219" s="17">
        <f t="shared" si="3"/>
        <v>2730</v>
      </c>
    </row>
    <row r="220">
      <c r="A220" s="12" t="str">
        <f t="shared" si="2"/>
        <v>(01) Compras</v>
      </c>
      <c r="B220" s="12" t="s">
        <v>84</v>
      </c>
      <c r="C220" s="12" t="s">
        <v>25</v>
      </c>
      <c r="D220" s="13" t="s">
        <v>29</v>
      </c>
      <c r="E220" s="22"/>
      <c r="F220" s="20"/>
      <c r="G220" s="19"/>
      <c r="H220" s="20"/>
      <c r="I220" s="20"/>
      <c r="J220" s="20"/>
      <c r="K220" s="20"/>
      <c r="L220" s="20"/>
      <c r="M220" s="20"/>
      <c r="N220" s="20"/>
      <c r="O220" s="19">
        <v>270.0</v>
      </c>
      <c r="P220" s="21"/>
      <c r="Q220" s="17">
        <f t="shared" si="3"/>
        <v>270</v>
      </c>
    </row>
    <row r="221">
      <c r="A221" s="12" t="str">
        <f t="shared" si="2"/>
        <v>(01) Compras</v>
      </c>
      <c r="B221" s="12" t="s">
        <v>84</v>
      </c>
      <c r="C221" s="12" t="s">
        <v>45</v>
      </c>
      <c r="D221" s="13" t="s">
        <v>49</v>
      </c>
      <c r="E221" s="22"/>
      <c r="F221" s="20"/>
      <c r="G221" s="20"/>
      <c r="H221" s="20"/>
      <c r="I221" s="20"/>
      <c r="J221" s="20"/>
      <c r="K221" s="20"/>
      <c r="L221" s="20"/>
      <c r="M221" s="19"/>
      <c r="N221" s="19"/>
      <c r="O221" s="20"/>
      <c r="P221" s="23">
        <v>1200.0</v>
      </c>
      <c r="Q221" s="17">
        <f t="shared" si="3"/>
        <v>1200</v>
      </c>
    </row>
    <row r="222">
      <c r="A222" s="12" t="str">
        <f t="shared" si="2"/>
        <v>(01) Compras</v>
      </c>
      <c r="B222" s="12" t="s">
        <v>84</v>
      </c>
      <c r="C222" s="12" t="s">
        <v>53</v>
      </c>
      <c r="D222" s="13" t="s">
        <v>60</v>
      </c>
      <c r="E222" s="22"/>
      <c r="F222" s="20"/>
      <c r="G222" s="20"/>
      <c r="H222" s="19">
        <v>1480.0</v>
      </c>
      <c r="I222" s="20"/>
      <c r="J222" s="20"/>
      <c r="K222" s="20"/>
      <c r="L222" s="20"/>
      <c r="M222" s="20"/>
      <c r="N222" s="19"/>
      <c r="O222" s="20"/>
      <c r="P222" s="21"/>
      <c r="Q222" s="17">
        <f t="shared" si="3"/>
        <v>1480</v>
      </c>
    </row>
    <row r="223">
      <c r="A223" s="12" t="str">
        <f t="shared" si="2"/>
        <v>(01) Compras</v>
      </c>
      <c r="B223" s="12" t="s">
        <v>84</v>
      </c>
      <c r="C223" s="12" t="s">
        <v>40</v>
      </c>
      <c r="D223" s="13" t="s">
        <v>59</v>
      </c>
      <c r="E223" s="18"/>
      <c r="F223" s="19"/>
      <c r="G223" s="19"/>
      <c r="H223" s="19"/>
      <c r="I223" s="19"/>
      <c r="J223" s="19">
        <v>2300.0</v>
      </c>
      <c r="K223" s="19"/>
      <c r="L223" s="19"/>
      <c r="M223" s="19"/>
      <c r="N223" s="19"/>
      <c r="O223" s="19"/>
      <c r="P223" s="21"/>
      <c r="Q223" s="17">
        <f t="shared" si="3"/>
        <v>2300</v>
      </c>
    </row>
    <row r="224">
      <c r="A224" s="12" t="str">
        <f t="shared" si="2"/>
        <v>(01) Compras</v>
      </c>
      <c r="B224" s="12" t="s">
        <v>85</v>
      </c>
      <c r="C224" s="12" t="s">
        <v>25</v>
      </c>
      <c r="D224" s="13" t="s">
        <v>26</v>
      </c>
      <c r="E224" s="22"/>
      <c r="F224" s="19">
        <v>8895.0</v>
      </c>
      <c r="G224" s="19">
        <v>8895.0</v>
      </c>
      <c r="H224" s="20"/>
      <c r="I224" s="20"/>
      <c r="J224" s="20"/>
      <c r="K224" s="20"/>
      <c r="L224" s="19">
        <v>8895.0</v>
      </c>
      <c r="M224" s="19">
        <v>8895.0</v>
      </c>
      <c r="N224" s="20"/>
      <c r="O224" s="20"/>
      <c r="P224" s="21"/>
      <c r="Q224" s="17">
        <f t="shared" si="3"/>
        <v>35580</v>
      </c>
    </row>
    <row r="225">
      <c r="A225" s="12" t="str">
        <f t="shared" si="2"/>
        <v>(01) Compras</v>
      </c>
      <c r="B225" s="12" t="s">
        <v>85</v>
      </c>
      <c r="C225" s="12" t="s">
        <v>25</v>
      </c>
      <c r="D225" s="24" t="s">
        <v>28</v>
      </c>
      <c r="E225" s="22"/>
      <c r="F225" s="20"/>
      <c r="G225" s="20"/>
      <c r="H225" s="20"/>
      <c r="I225" s="20"/>
      <c r="J225" s="20"/>
      <c r="K225" s="20"/>
      <c r="L225" s="20"/>
      <c r="M225" s="20"/>
      <c r="N225" s="19">
        <v>5475.0</v>
      </c>
      <c r="O225" s="19">
        <v>5475.0</v>
      </c>
      <c r="P225" s="21"/>
      <c r="Q225" s="17">
        <f t="shared" si="3"/>
        <v>10950</v>
      </c>
    </row>
    <row r="226">
      <c r="A226" s="12" t="str">
        <f t="shared" si="2"/>
        <v>(01) Compras</v>
      </c>
      <c r="B226" s="12" t="s">
        <v>85</v>
      </c>
      <c r="C226" s="12" t="s">
        <v>25</v>
      </c>
      <c r="D226" s="24" t="s">
        <v>29</v>
      </c>
      <c r="E226" s="22"/>
      <c r="F226" s="20"/>
      <c r="G226" s="20"/>
      <c r="H226" s="20"/>
      <c r="I226" s="20"/>
      <c r="J226" s="20"/>
      <c r="K226" s="20"/>
      <c r="L226" s="20"/>
      <c r="M226" s="20"/>
      <c r="N226" s="20"/>
      <c r="O226" s="19">
        <v>1080.0</v>
      </c>
      <c r="P226" s="21"/>
      <c r="Q226" s="17">
        <f t="shared" si="3"/>
        <v>1080</v>
      </c>
    </row>
    <row r="227">
      <c r="A227" s="12" t="str">
        <f t="shared" si="2"/>
        <v>(01) Compras</v>
      </c>
      <c r="B227" s="12" t="s">
        <v>85</v>
      </c>
      <c r="C227" s="12" t="s">
        <v>20</v>
      </c>
      <c r="D227" s="13" t="s">
        <v>21</v>
      </c>
      <c r="E227" s="18">
        <v>360.0</v>
      </c>
      <c r="F227" s="19">
        <v>360.0</v>
      </c>
      <c r="G227" s="19">
        <v>360.0</v>
      </c>
      <c r="H227" s="19">
        <v>360.0</v>
      </c>
      <c r="I227" s="19">
        <v>360.0</v>
      </c>
      <c r="J227" s="19">
        <v>360.0</v>
      </c>
      <c r="K227" s="19">
        <v>360.0</v>
      </c>
      <c r="L227" s="19">
        <v>360.0</v>
      </c>
      <c r="M227" s="19">
        <v>360.0</v>
      </c>
      <c r="N227" s="19">
        <v>360.0</v>
      </c>
      <c r="O227" s="19">
        <v>520.0</v>
      </c>
      <c r="P227" s="21"/>
      <c r="Q227" s="17">
        <f t="shared" si="3"/>
        <v>4120</v>
      </c>
    </row>
    <row r="228">
      <c r="A228" s="12" t="str">
        <f t="shared" si="2"/>
        <v>(01) Compras</v>
      </c>
      <c r="B228" s="12" t="s">
        <v>85</v>
      </c>
      <c r="C228" s="12" t="s">
        <v>22</v>
      </c>
      <c r="D228" s="13" t="s">
        <v>23</v>
      </c>
      <c r="E228" s="18">
        <v>180.0</v>
      </c>
      <c r="F228" s="19">
        <v>180.0</v>
      </c>
      <c r="G228" s="19">
        <v>180.0</v>
      </c>
      <c r="H228" s="19">
        <v>180.0</v>
      </c>
      <c r="I228" s="19">
        <v>180.0</v>
      </c>
      <c r="J228" s="19">
        <v>180.0</v>
      </c>
      <c r="K228" s="19">
        <v>180.0</v>
      </c>
      <c r="L228" s="19">
        <v>180.0</v>
      </c>
      <c r="M228" s="19">
        <v>180.0</v>
      </c>
      <c r="N228" s="19">
        <v>180.0</v>
      </c>
      <c r="O228" s="19">
        <v>280.0</v>
      </c>
      <c r="P228" s="21"/>
      <c r="Q228" s="17">
        <f t="shared" si="3"/>
        <v>2080</v>
      </c>
    </row>
    <row r="229">
      <c r="A229" s="12" t="str">
        <f t="shared" si="2"/>
        <v>(01) Compras</v>
      </c>
      <c r="B229" s="12" t="s">
        <v>85</v>
      </c>
      <c r="C229" s="12" t="s">
        <v>45</v>
      </c>
      <c r="D229" s="24" t="s">
        <v>49</v>
      </c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3">
        <v>4800.0</v>
      </c>
      <c r="Q229" s="17">
        <f t="shared" si="3"/>
        <v>4800</v>
      </c>
    </row>
    <row r="230">
      <c r="A230" s="12" t="str">
        <f t="shared" si="2"/>
        <v>(01) Compras</v>
      </c>
      <c r="B230" s="12" t="s">
        <v>85</v>
      </c>
      <c r="C230" s="12" t="s">
        <v>53</v>
      </c>
      <c r="D230" s="13" t="s">
        <v>60</v>
      </c>
      <c r="E230" s="18"/>
      <c r="F230" s="19"/>
      <c r="G230" s="19"/>
      <c r="H230" s="19">
        <v>4440.0</v>
      </c>
      <c r="I230" s="19"/>
      <c r="J230" s="19"/>
      <c r="K230" s="19"/>
      <c r="L230" s="19"/>
      <c r="M230" s="19"/>
      <c r="N230" s="19"/>
      <c r="O230" s="19"/>
      <c r="P230" s="21"/>
      <c r="Q230" s="17">
        <f t="shared" si="3"/>
        <v>4440</v>
      </c>
    </row>
    <row r="231">
      <c r="A231" s="12" t="str">
        <f t="shared" si="2"/>
        <v>(01) Compras</v>
      </c>
      <c r="B231" s="12" t="s">
        <v>85</v>
      </c>
      <c r="C231" s="12" t="s">
        <v>40</v>
      </c>
      <c r="D231" s="13" t="s">
        <v>59</v>
      </c>
      <c r="E231" s="18"/>
      <c r="F231" s="19"/>
      <c r="G231" s="19"/>
      <c r="H231" s="19">
        <v>3750.0</v>
      </c>
      <c r="I231" s="19">
        <v>3750.0</v>
      </c>
      <c r="J231" s="19"/>
      <c r="K231" s="19"/>
      <c r="L231" s="19"/>
      <c r="M231" s="19"/>
      <c r="N231" s="19"/>
      <c r="O231" s="19"/>
      <c r="P231" s="21"/>
      <c r="Q231" s="17">
        <f t="shared" si="3"/>
        <v>7500</v>
      </c>
    </row>
    <row r="232">
      <c r="A232" s="12" t="str">
        <f t="shared" si="2"/>
        <v>(01) Compras</v>
      </c>
      <c r="B232" s="12" t="s">
        <v>85</v>
      </c>
      <c r="C232" s="12" t="s">
        <v>40</v>
      </c>
      <c r="D232" s="24" t="s">
        <v>51</v>
      </c>
      <c r="E232" s="18"/>
      <c r="F232" s="19">
        <v>345.0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21"/>
      <c r="Q232" s="17">
        <f t="shared" si="3"/>
        <v>345</v>
      </c>
    </row>
    <row r="233">
      <c r="A233" s="12" t="str">
        <f t="shared" si="2"/>
        <v>(01) Compras</v>
      </c>
      <c r="B233" s="12" t="s">
        <v>85</v>
      </c>
      <c r="C233" s="12" t="s">
        <v>25</v>
      </c>
      <c r="D233" s="24" t="s">
        <v>30</v>
      </c>
      <c r="E233" s="18"/>
      <c r="F233" s="19"/>
      <c r="G233" s="19">
        <v>1140.0</v>
      </c>
      <c r="H233" s="19"/>
      <c r="I233" s="19"/>
      <c r="J233" s="19"/>
      <c r="K233" s="19"/>
      <c r="L233" s="19"/>
      <c r="M233" s="19"/>
      <c r="N233" s="19"/>
      <c r="O233" s="19"/>
      <c r="P233" s="21"/>
      <c r="Q233" s="17">
        <f t="shared" si="3"/>
        <v>1140</v>
      </c>
    </row>
    <row r="234">
      <c r="A234" s="12" t="str">
        <f t="shared" si="2"/>
        <v>(01) Compras</v>
      </c>
      <c r="B234" s="12" t="s">
        <v>86</v>
      </c>
      <c r="C234" s="12" t="s">
        <v>20</v>
      </c>
      <c r="D234" s="13" t="s">
        <v>21</v>
      </c>
      <c r="E234" s="18">
        <v>310.0</v>
      </c>
      <c r="F234" s="19">
        <v>310.0</v>
      </c>
      <c r="G234" s="19">
        <v>310.0</v>
      </c>
      <c r="H234" s="19">
        <v>310.0</v>
      </c>
      <c r="I234" s="19">
        <v>310.0</v>
      </c>
      <c r="J234" s="19">
        <v>310.0</v>
      </c>
      <c r="K234" s="19">
        <v>310.0</v>
      </c>
      <c r="L234" s="19">
        <v>310.0</v>
      </c>
      <c r="M234" s="19">
        <v>310.0</v>
      </c>
      <c r="N234" s="19">
        <v>310.0</v>
      </c>
      <c r="O234" s="19">
        <v>460.0</v>
      </c>
      <c r="P234" s="21"/>
      <c r="Q234" s="17">
        <f t="shared" si="3"/>
        <v>3560</v>
      </c>
    </row>
    <row r="235">
      <c r="A235" s="12" t="str">
        <f t="shared" si="2"/>
        <v>(01) Compras</v>
      </c>
      <c r="B235" s="12" t="s">
        <v>86</v>
      </c>
      <c r="C235" s="12" t="s">
        <v>22</v>
      </c>
      <c r="D235" s="13" t="s">
        <v>23</v>
      </c>
      <c r="E235" s="18">
        <v>190.0</v>
      </c>
      <c r="F235" s="19">
        <v>190.0</v>
      </c>
      <c r="G235" s="19">
        <v>190.0</v>
      </c>
      <c r="H235" s="19">
        <v>190.0</v>
      </c>
      <c r="I235" s="19">
        <v>190.0</v>
      </c>
      <c r="J235" s="19">
        <v>190.0</v>
      </c>
      <c r="K235" s="19">
        <v>190.0</v>
      </c>
      <c r="L235" s="19">
        <v>190.0</v>
      </c>
      <c r="M235" s="19">
        <v>190.0</v>
      </c>
      <c r="N235" s="19">
        <v>190.0</v>
      </c>
      <c r="O235" s="19">
        <v>370.0</v>
      </c>
      <c r="P235" s="23"/>
      <c r="Q235" s="17">
        <f t="shared" si="3"/>
        <v>2270</v>
      </c>
    </row>
    <row r="236">
      <c r="A236" s="12" t="str">
        <f t="shared" si="2"/>
        <v>(01) Compras</v>
      </c>
      <c r="B236" s="12" t="s">
        <v>86</v>
      </c>
      <c r="C236" s="12" t="s">
        <v>25</v>
      </c>
      <c r="D236" s="13" t="s">
        <v>26</v>
      </c>
      <c r="E236" s="18"/>
      <c r="F236" s="19">
        <v>3700.0</v>
      </c>
      <c r="G236" s="19">
        <v>3700.0</v>
      </c>
      <c r="H236" s="20"/>
      <c r="I236" s="20"/>
      <c r="J236" s="20"/>
      <c r="K236" s="19"/>
      <c r="L236" s="19">
        <v>3700.0</v>
      </c>
      <c r="M236" s="19">
        <v>3700.0</v>
      </c>
      <c r="N236" s="20"/>
      <c r="O236" s="20"/>
      <c r="P236" s="21"/>
      <c r="Q236" s="17">
        <f t="shared" si="3"/>
        <v>14800</v>
      </c>
    </row>
    <row r="237">
      <c r="A237" s="12" t="str">
        <f t="shared" si="2"/>
        <v>(01) Compras</v>
      </c>
      <c r="B237" s="12" t="s">
        <v>86</v>
      </c>
      <c r="C237" s="12" t="s">
        <v>25</v>
      </c>
      <c r="D237" s="13" t="s">
        <v>28</v>
      </c>
      <c r="E237" s="22"/>
      <c r="F237" s="20"/>
      <c r="G237" s="20"/>
      <c r="H237" s="20"/>
      <c r="I237" s="20"/>
      <c r="J237" s="20"/>
      <c r="K237" s="20"/>
      <c r="L237" s="20"/>
      <c r="M237" s="19"/>
      <c r="N237" s="19">
        <v>2275.0</v>
      </c>
      <c r="O237" s="19">
        <v>2275.0</v>
      </c>
      <c r="P237" s="21"/>
      <c r="Q237" s="17">
        <f t="shared" si="3"/>
        <v>4550</v>
      </c>
    </row>
    <row r="238">
      <c r="A238" s="12" t="str">
        <f t="shared" si="2"/>
        <v>(01) Compras</v>
      </c>
      <c r="B238" s="12" t="s">
        <v>86</v>
      </c>
      <c r="C238" s="12" t="s">
        <v>25</v>
      </c>
      <c r="D238" s="13" t="s">
        <v>29</v>
      </c>
      <c r="E238" s="22"/>
      <c r="F238" s="20"/>
      <c r="G238" s="20"/>
      <c r="H238" s="20"/>
      <c r="I238" s="20"/>
      <c r="J238" s="20"/>
      <c r="K238" s="20"/>
      <c r="L238" s="20"/>
      <c r="M238" s="20"/>
      <c r="N238" s="19"/>
      <c r="O238" s="19">
        <v>450.0</v>
      </c>
      <c r="P238" s="21"/>
      <c r="Q238" s="17">
        <f t="shared" si="3"/>
        <v>450</v>
      </c>
    </row>
    <row r="239">
      <c r="A239" s="12" t="str">
        <f t="shared" si="2"/>
        <v>(01) Compras</v>
      </c>
      <c r="B239" s="12" t="s">
        <v>86</v>
      </c>
      <c r="C239" s="12" t="s">
        <v>53</v>
      </c>
      <c r="D239" s="13" t="s">
        <v>60</v>
      </c>
      <c r="E239" s="18">
        <v>2960.0</v>
      </c>
      <c r="F239" s="19"/>
      <c r="G239" s="19"/>
      <c r="H239" s="19"/>
      <c r="I239" s="19"/>
      <c r="J239" s="19"/>
      <c r="K239" s="19"/>
      <c r="L239" s="19"/>
      <c r="M239" s="19">
        <v>2960.0</v>
      </c>
      <c r="N239" s="19"/>
      <c r="O239" s="19"/>
      <c r="P239" s="21"/>
      <c r="Q239" s="17">
        <f t="shared" si="3"/>
        <v>5920</v>
      </c>
    </row>
    <row r="240">
      <c r="A240" s="12" t="str">
        <f t="shared" si="2"/>
        <v>(01) Compras</v>
      </c>
      <c r="B240" s="12" t="s">
        <v>86</v>
      </c>
      <c r="C240" s="12" t="s">
        <v>40</v>
      </c>
      <c r="D240" s="13" t="s">
        <v>59</v>
      </c>
      <c r="E240" s="18"/>
      <c r="F240" s="19"/>
      <c r="G240" s="19"/>
      <c r="H240" s="19">
        <v>4600.0</v>
      </c>
      <c r="I240" s="19"/>
      <c r="J240" s="19"/>
      <c r="K240" s="19"/>
      <c r="L240" s="19"/>
      <c r="M240" s="19"/>
      <c r="N240" s="19"/>
      <c r="O240" s="19"/>
      <c r="P240" s="21"/>
      <c r="Q240" s="17">
        <f t="shared" si="3"/>
        <v>4600</v>
      </c>
    </row>
    <row r="241">
      <c r="A241" s="12" t="str">
        <f t="shared" si="2"/>
        <v>(01) Compras</v>
      </c>
      <c r="B241" s="12" t="s">
        <v>86</v>
      </c>
      <c r="C241" s="12" t="s">
        <v>45</v>
      </c>
      <c r="D241" s="13" t="s">
        <v>49</v>
      </c>
      <c r="E241" s="18"/>
      <c r="F241" s="19"/>
      <c r="G241" s="20"/>
      <c r="H241" s="20"/>
      <c r="I241" s="20"/>
      <c r="J241" s="20"/>
      <c r="K241" s="19"/>
      <c r="L241" s="19"/>
      <c r="M241" s="20"/>
      <c r="N241" s="20"/>
      <c r="O241" s="20"/>
      <c r="P241" s="23">
        <v>2000.0</v>
      </c>
      <c r="Q241" s="17">
        <f t="shared" si="3"/>
        <v>2000</v>
      </c>
    </row>
    <row r="242">
      <c r="A242" s="12" t="str">
        <f t="shared" si="2"/>
        <v>(01) Compras</v>
      </c>
      <c r="B242" s="12" t="s">
        <v>86</v>
      </c>
      <c r="C242" s="12" t="s">
        <v>25</v>
      </c>
      <c r="D242" s="13" t="s">
        <v>30</v>
      </c>
      <c r="E242" s="22"/>
      <c r="F242" s="20"/>
      <c r="G242" s="19">
        <v>285.0</v>
      </c>
      <c r="H242" s="20"/>
      <c r="I242" s="20"/>
      <c r="J242" s="20"/>
      <c r="K242" s="20"/>
      <c r="L242" s="20"/>
      <c r="M242" s="19"/>
      <c r="N242" s="19"/>
      <c r="O242" s="20"/>
      <c r="P242" s="21"/>
      <c r="Q242" s="17">
        <f t="shared" si="3"/>
        <v>285</v>
      </c>
    </row>
    <row r="243">
      <c r="A243" s="12" t="str">
        <f t="shared" si="2"/>
        <v>(01) Compras</v>
      </c>
      <c r="B243" s="12" t="s">
        <v>86</v>
      </c>
      <c r="C243" s="12" t="s">
        <v>40</v>
      </c>
      <c r="D243" s="13" t="s">
        <v>51</v>
      </c>
      <c r="E243" s="22"/>
      <c r="F243" s="19">
        <v>230.0</v>
      </c>
      <c r="G243" s="20"/>
      <c r="H243" s="20"/>
      <c r="I243" s="20"/>
      <c r="J243" s="20"/>
      <c r="K243" s="20"/>
      <c r="L243" s="20"/>
      <c r="M243" s="20"/>
      <c r="N243" s="19"/>
      <c r="O243" s="20"/>
      <c r="P243" s="21"/>
      <c r="Q243" s="17">
        <f t="shared" si="3"/>
        <v>230</v>
      </c>
    </row>
    <row r="244">
      <c r="A244" s="12" t="str">
        <f t="shared" si="2"/>
        <v>(01) Compras</v>
      </c>
      <c r="B244" s="12" t="s">
        <v>87</v>
      </c>
      <c r="C244" s="12" t="s">
        <v>25</v>
      </c>
      <c r="D244" s="13" t="s">
        <v>26</v>
      </c>
      <c r="E244" s="22"/>
      <c r="F244" s="19">
        <v>2220.0</v>
      </c>
      <c r="G244" s="19">
        <v>2220.0</v>
      </c>
      <c r="H244" s="20"/>
      <c r="I244" s="20"/>
      <c r="J244" s="20"/>
      <c r="K244" s="20"/>
      <c r="L244" s="19">
        <v>2220.0</v>
      </c>
      <c r="M244" s="19">
        <v>2220.0</v>
      </c>
      <c r="N244" s="20"/>
      <c r="O244" s="20"/>
      <c r="P244" s="23"/>
      <c r="Q244" s="17">
        <f t="shared" si="3"/>
        <v>8880</v>
      </c>
    </row>
    <row r="245">
      <c r="A245" s="12" t="str">
        <f t="shared" si="2"/>
        <v>(01) Compras</v>
      </c>
      <c r="B245" s="12" t="s">
        <v>87</v>
      </c>
      <c r="C245" s="12" t="s">
        <v>25</v>
      </c>
      <c r="D245" s="13" t="s">
        <v>28</v>
      </c>
      <c r="E245" s="18"/>
      <c r="F245" s="19"/>
      <c r="G245" s="19"/>
      <c r="H245" s="19"/>
      <c r="I245" s="19"/>
      <c r="J245" s="19"/>
      <c r="K245" s="19"/>
      <c r="L245" s="19"/>
      <c r="M245" s="19"/>
      <c r="N245" s="19">
        <v>1365.0</v>
      </c>
      <c r="O245" s="19">
        <v>1365.0</v>
      </c>
      <c r="P245" s="21"/>
      <c r="Q245" s="17">
        <f t="shared" si="3"/>
        <v>2730</v>
      </c>
    </row>
    <row r="246">
      <c r="A246" s="12" t="str">
        <f t="shared" si="2"/>
        <v>(01) Compras</v>
      </c>
      <c r="B246" s="12" t="s">
        <v>87</v>
      </c>
      <c r="C246" s="12" t="s">
        <v>25</v>
      </c>
      <c r="D246" s="13" t="s">
        <v>29</v>
      </c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>
        <v>270.0</v>
      </c>
      <c r="P246" s="21"/>
      <c r="Q246" s="17">
        <f t="shared" si="3"/>
        <v>270</v>
      </c>
    </row>
    <row r="247">
      <c r="A247" s="12" t="str">
        <f t="shared" si="2"/>
        <v>(01) Compras</v>
      </c>
      <c r="B247" s="12" t="s">
        <v>87</v>
      </c>
      <c r="C247" s="12" t="s">
        <v>22</v>
      </c>
      <c r="D247" s="13" t="s">
        <v>23</v>
      </c>
      <c r="E247" s="18">
        <v>130.0</v>
      </c>
      <c r="F247" s="19">
        <v>130.0</v>
      </c>
      <c r="G247" s="19">
        <v>130.0</v>
      </c>
      <c r="H247" s="19">
        <v>130.0</v>
      </c>
      <c r="I247" s="19">
        <v>130.0</v>
      </c>
      <c r="J247" s="19">
        <v>130.0</v>
      </c>
      <c r="K247" s="19">
        <v>130.0</v>
      </c>
      <c r="L247" s="19">
        <v>130.0</v>
      </c>
      <c r="M247" s="19">
        <v>130.0</v>
      </c>
      <c r="N247" s="19">
        <v>130.0</v>
      </c>
      <c r="O247" s="19">
        <v>220.0</v>
      </c>
      <c r="P247" s="21"/>
      <c r="Q247" s="17">
        <f t="shared" si="3"/>
        <v>1520</v>
      </c>
    </row>
    <row r="248">
      <c r="A248" s="12" t="str">
        <f t="shared" si="2"/>
        <v>(01) Compras</v>
      </c>
      <c r="B248" s="12" t="s">
        <v>87</v>
      </c>
      <c r="C248" s="12" t="s">
        <v>20</v>
      </c>
      <c r="D248" s="13" t="s">
        <v>21</v>
      </c>
      <c r="E248" s="18">
        <v>240.0</v>
      </c>
      <c r="F248" s="19">
        <v>240.0</v>
      </c>
      <c r="G248" s="19">
        <v>240.0</v>
      </c>
      <c r="H248" s="19">
        <v>240.0</v>
      </c>
      <c r="I248" s="19">
        <v>240.0</v>
      </c>
      <c r="J248" s="19">
        <v>240.0</v>
      </c>
      <c r="K248" s="19">
        <v>240.0</v>
      </c>
      <c r="L248" s="19">
        <v>240.0</v>
      </c>
      <c r="M248" s="19">
        <v>240.0</v>
      </c>
      <c r="N248" s="19">
        <v>240.0</v>
      </c>
      <c r="O248" s="19">
        <v>410.0</v>
      </c>
      <c r="P248" s="21"/>
      <c r="Q248" s="17">
        <f t="shared" si="3"/>
        <v>2810</v>
      </c>
    </row>
    <row r="249">
      <c r="A249" s="12" t="str">
        <f t="shared" si="2"/>
        <v>(01) Compras</v>
      </c>
      <c r="B249" s="12" t="s">
        <v>87</v>
      </c>
      <c r="C249" s="12" t="s">
        <v>45</v>
      </c>
      <c r="D249" s="13" t="s">
        <v>49</v>
      </c>
      <c r="E249" s="18"/>
      <c r="F249" s="19"/>
      <c r="G249" s="20"/>
      <c r="H249" s="20"/>
      <c r="I249" s="20"/>
      <c r="J249" s="20"/>
      <c r="K249" s="19"/>
      <c r="L249" s="19"/>
      <c r="M249" s="20"/>
      <c r="N249" s="20"/>
      <c r="O249" s="20"/>
      <c r="P249" s="23">
        <v>1200.0</v>
      </c>
      <c r="Q249" s="17">
        <f t="shared" si="3"/>
        <v>1200</v>
      </c>
    </row>
    <row r="250">
      <c r="A250" s="12" t="str">
        <f t="shared" si="2"/>
        <v>(01) Compras</v>
      </c>
      <c r="B250" s="12" t="s">
        <v>88</v>
      </c>
      <c r="C250" s="12" t="s">
        <v>20</v>
      </c>
      <c r="D250" s="24" t="s">
        <v>21</v>
      </c>
      <c r="E250" s="18">
        <v>200.0</v>
      </c>
      <c r="F250" s="19">
        <v>200.0</v>
      </c>
      <c r="G250" s="19">
        <v>200.0</v>
      </c>
      <c r="H250" s="19">
        <v>200.0</v>
      </c>
      <c r="I250" s="19">
        <v>200.0</v>
      </c>
      <c r="J250" s="19">
        <v>200.0</v>
      </c>
      <c r="K250" s="19">
        <v>200.0</v>
      </c>
      <c r="L250" s="19">
        <v>200.0</v>
      </c>
      <c r="M250" s="19">
        <v>200.0</v>
      </c>
      <c r="N250" s="19">
        <v>200.0</v>
      </c>
      <c r="O250" s="19">
        <v>380.0</v>
      </c>
      <c r="P250" s="21"/>
      <c r="Q250" s="17">
        <f t="shared" si="3"/>
        <v>2380</v>
      </c>
    </row>
    <row r="251">
      <c r="A251" s="12" t="str">
        <f t="shared" si="2"/>
        <v>(01) Compras</v>
      </c>
      <c r="B251" s="12" t="s">
        <v>88</v>
      </c>
      <c r="C251" s="12" t="s">
        <v>22</v>
      </c>
      <c r="D251" s="24" t="s">
        <v>23</v>
      </c>
      <c r="E251" s="18">
        <v>120.0</v>
      </c>
      <c r="F251" s="19">
        <v>120.0</v>
      </c>
      <c r="G251" s="19">
        <v>120.0</v>
      </c>
      <c r="H251" s="19">
        <v>120.0</v>
      </c>
      <c r="I251" s="19">
        <v>120.0</v>
      </c>
      <c r="J251" s="19">
        <v>120.0</v>
      </c>
      <c r="K251" s="19">
        <v>120.0</v>
      </c>
      <c r="L251" s="19">
        <v>120.0</v>
      </c>
      <c r="M251" s="19">
        <v>120.0</v>
      </c>
      <c r="N251" s="19">
        <v>120.0</v>
      </c>
      <c r="O251" s="19">
        <v>230.0</v>
      </c>
      <c r="P251" s="21"/>
      <c r="Q251" s="17">
        <f t="shared" si="3"/>
        <v>1430</v>
      </c>
    </row>
    <row r="252">
      <c r="A252" s="12" t="str">
        <f t="shared" si="2"/>
        <v>(01) Compras</v>
      </c>
      <c r="B252" s="12" t="s">
        <v>88</v>
      </c>
      <c r="C252" s="12" t="s">
        <v>25</v>
      </c>
      <c r="D252" s="24" t="s">
        <v>27</v>
      </c>
      <c r="E252" s="18"/>
      <c r="F252" s="19">
        <v>820.0</v>
      </c>
      <c r="G252" s="19">
        <v>820.0</v>
      </c>
      <c r="H252" s="19"/>
      <c r="I252" s="19"/>
      <c r="J252" s="19"/>
      <c r="K252" s="19"/>
      <c r="L252" s="19">
        <v>820.0</v>
      </c>
      <c r="M252" s="19">
        <v>820.0</v>
      </c>
      <c r="N252" s="19"/>
      <c r="O252" s="19"/>
      <c r="P252" s="21"/>
      <c r="Q252" s="17">
        <f t="shared" si="3"/>
        <v>3280</v>
      </c>
    </row>
    <row r="253">
      <c r="A253" s="12" t="str">
        <f t="shared" si="2"/>
        <v>(01) Compras</v>
      </c>
      <c r="B253" s="12" t="s">
        <v>88</v>
      </c>
      <c r="C253" s="12" t="s">
        <v>25</v>
      </c>
      <c r="D253" s="24" t="s">
        <v>29</v>
      </c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>
        <v>90.0</v>
      </c>
      <c r="P253" s="21"/>
      <c r="Q253" s="17">
        <f t="shared" si="3"/>
        <v>90</v>
      </c>
    </row>
    <row r="254">
      <c r="A254" s="12" t="str">
        <f t="shared" si="2"/>
        <v>(01) Compras</v>
      </c>
      <c r="B254" s="12" t="s">
        <v>88</v>
      </c>
      <c r="C254" s="12" t="s">
        <v>45</v>
      </c>
      <c r="D254" s="24" t="s">
        <v>49</v>
      </c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3">
        <v>400.0</v>
      </c>
      <c r="Q254" s="17">
        <f t="shared" si="3"/>
        <v>400</v>
      </c>
    </row>
    <row r="255">
      <c r="A255" s="12" t="str">
        <f t="shared" si="2"/>
        <v>(01) Compras</v>
      </c>
      <c r="B255" s="12" t="s">
        <v>89</v>
      </c>
      <c r="C255" s="12" t="s">
        <v>20</v>
      </c>
      <c r="D255" s="13" t="s">
        <v>21</v>
      </c>
      <c r="E255" s="18">
        <v>180.0</v>
      </c>
      <c r="F255" s="19">
        <v>180.0</v>
      </c>
      <c r="G255" s="19">
        <v>180.0</v>
      </c>
      <c r="H255" s="19">
        <v>180.0</v>
      </c>
      <c r="I255" s="19">
        <v>180.0</v>
      </c>
      <c r="J255" s="19">
        <v>180.0</v>
      </c>
      <c r="K255" s="19">
        <v>180.0</v>
      </c>
      <c r="L255" s="19">
        <v>180.0</v>
      </c>
      <c r="M255" s="19">
        <v>180.0</v>
      </c>
      <c r="N255" s="19">
        <v>180.0</v>
      </c>
      <c r="O255" s="19">
        <v>280.0</v>
      </c>
      <c r="P255" s="21"/>
      <c r="Q255" s="17">
        <f t="shared" si="3"/>
        <v>2080</v>
      </c>
    </row>
    <row r="256">
      <c r="A256" s="12" t="str">
        <f t="shared" si="2"/>
        <v>(01) Compras</v>
      </c>
      <c r="B256" s="12" t="s">
        <v>89</v>
      </c>
      <c r="C256" s="12" t="s">
        <v>22</v>
      </c>
      <c r="D256" s="13" t="s">
        <v>23</v>
      </c>
      <c r="E256" s="18">
        <v>110.0</v>
      </c>
      <c r="F256" s="19">
        <v>110.0</v>
      </c>
      <c r="G256" s="19">
        <v>110.0</v>
      </c>
      <c r="H256" s="19">
        <v>110.0</v>
      </c>
      <c r="I256" s="19">
        <v>110.0</v>
      </c>
      <c r="J256" s="19">
        <v>110.0</v>
      </c>
      <c r="K256" s="19">
        <v>110.0</v>
      </c>
      <c r="L256" s="19">
        <v>110.0</v>
      </c>
      <c r="M256" s="19">
        <v>110.0</v>
      </c>
      <c r="N256" s="19">
        <v>110.0</v>
      </c>
      <c r="O256" s="19">
        <v>210.0</v>
      </c>
      <c r="P256" s="21"/>
      <c r="Q256" s="17">
        <f t="shared" si="3"/>
        <v>1310</v>
      </c>
    </row>
    <row r="257">
      <c r="A257" s="12" t="str">
        <f t="shared" si="2"/>
        <v>(01) Compras</v>
      </c>
      <c r="B257" s="12" t="s">
        <v>89</v>
      </c>
      <c r="C257" s="12" t="s">
        <v>25</v>
      </c>
      <c r="D257" s="13" t="s">
        <v>26</v>
      </c>
      <c r="E257" s="22"/>
      <c r="F257" s="19">
        <v>740.0</v>
      </c>
      <c r="G257" s="19">
        <v>740.0</v>
      </c>
      <c r="H257" s="20"/>
      <c r="I257" s="20"/>
      <c r="J257" s="20"/>
      <c r="K257" s="20"/>
      <c r="L257" s="19">
        <v>740.0</v>
      </c>
      <c r="M257" s="19">
        <v>740.0</v>
      </c>
      <c r="N257" s="20"/>
      <c r="O257" s="20"/>
      <c r="P257" s="23"/>
      <c r="Q257" s="17">
        <f t="shared" si="3"/>
        <v>2960</v>
      </c>
    </row>
    <row r="258">
      <c r="A258" s="12" t="str">
        <f t="shared" si="2"/>
        <v>(01) Compras</v>
      </c>
      <c r="B258" s="12" t="s">
        <v>89</v>
      </c>
      <c r="C258" s="12" t="s">
        <v>25</v>
      </c>
      <c r="D258" s="13" t="s">
        <v>28</v>
      </c>
      <c r="E258" s="18"/>
      <c r="F258" s="20"/>
      <c r="G258" s="19"/>
      <c r="H258" s="20"/>
      <c r="I258" s="20"/>
      <c r="J258" s="19"/>
      <c r="K258" s="20"/>
      <c r="L258" s="20"/>
      <c r="M258" s="19"/>
      <c r="N258" s="19">
        <v>455.0</v>
      </c>
      <c r="O258" s="19">
        <v>455.0</v>
      </c>
      <c r="P258" s="21"/>
      <c r="Q258" s="17">
        <f t="shared" si="3"/>
        <v>910</v>
      </c>
    </row>
    <row r="259">
      <c r="A259" s="12" t="str">
        <f t="shared" si="2"/>
        <v>(01) Compras</v>
      </c>
      <c r="B259" s="12" t="s">
        <v>89</v>
      </c>
      <c r="C259" s="12" t="s">
        <v>25</v>
      </c>
      <c r="D259" s="13" t="s">
        <v>29</v>
      </c>
      <c r="E259" s="22"/>
      <c r="F259" s="20"/>
      <c r="G259" s="19"/>
      <c r="H259" s="20"/>
      <c r="I259" s="20"/>
      <c r="J259" s="20"/>
      <c r="K259" s="20"/>
      <c r="L259" s="20"/>
      <c r="M259" s="20"/>
      <c r="N259" s="20"/>
      <c r="O259" s="19">
        <v>90.0</v>
      </c>
      <c r="P259" s="21"/>
      <c r="Q259" s="17">
        <f t="shared" si="3"/>
        <v>90</v>
      </c>
    </row>
    <row r="260">
      <c r="A260" s="12" t="str">
        <f t="shared" si="2"/>
        <v>(01) Compras</v>
      </c>
      <c r="B260" s="12" t="s">
        <v>89</v>
      </c>
      <c r="C260" s="12" t="s">
        <v>45</v>
      </c>
      <c r="D260" s="13" t="s">
        <v>49</v>
      </c>
      <c r="E260" s="2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3">
        <v>400.0</v>
      </c>
      <c r="Q260" s="17">
        <f t="shared" si="3"/>
        <v>400</v>
      </c>
    </row>
    <row r="261">
      <c r="A261" s="12" t="str">
        <f t="shared" si="2"/>
        <v>(01) Compras</v>
      </c>
      <c r="B261" s="12" t="s">
        <v>90</v>
      </c>
      <c r="C261" s="12" t="s">
        <v>25</v>
      </c>
      <c r="D261" s="13" t="s">
        <v>27</v>
      </c>
      <c r="E261" s="22"/>
      <c r="F261" s="19">
        <v>1640.0</v>
      </c>
      <c r="G261" s="19">
        <v>1640.0</v>
      </c>
      <c r="H261" s="20"/>
      <c r="I261" s="20"/>
      <c r="J261" s="20"/>
      <c r="K261" s="20"/>
      <c r="L261" s="19">
        <v>1640.0</v>
      </c>
      <c r="M261" s="19">
        <v>1640.0</v>
      </c>
      <c r="N261" s="20"/>
      <c r="O261" s="20"/>
      <c r="P261" s="21"/>
      <c r="Q261" s="17">
        <f t="shared" si="3"/>
        <v>6560</v>
      </c>
    </row>
    <row r="262">
      <c r="A262" s="12" t="str">
        <f t="shared" si="2"/>
        <v>(01) Compras</v>
      </c>
      <c r="B262" s="12" t="s">
        <v>90</v>
      </c>
      <c r="C262" s="12" t="s">
        <v>25</v>
      </c>
      <c r="D262" s="13" t="s">
        <v>29</v>
      </c>
      <c r="E262" s="22"/>
      <c r="F262" s="20"/>
      <c r="G262" s="20"/>
      <c r="H262" s="20"/>
      <c r="I262" s="20"/>
      <c r="J262" s="20"/>
      <c r="K262" s="20"/>
      <c r="L262" s="20"/>
      <c r="M262" s="20"/>
      <c r="N262" s="20"/>
      <c r="O262" s="19">
        <v>180.0</v>
      </c>
      <c r="P262" s="21"/>
      <c r="Q262" s="17">
        <f t="shared" si="3"/>
        <v>180</v>
      </c>
    </row>
    <row r="263">
      <c r="A263" s="12" t="str">
        <f t="shared" si="2"/>
        <v>(01) Compras</v>
      </c>
      <c r="B263" s="12" t="s">
        <v>90</v>
      </c>
      <c r="C263" s="12" t="s">
        <v>20</v>
      </c>
      <c r="D263" s="13" t="s">
        <v>21</v>
      </c>
      <c r="E263" s="18">
        <v>200.0</v>
      </c>
      <c r="F263" s="19">
        <v>200.0</v>
      </c>
      <c r="G263" s="19">
        <v>200.0</v>
      </c>
      <c r="H263" s="19">
        <v>200.0</v>
      </c>
      <c r="I263" s="19">
        <v>200.0</v>
      </c>
      <c r="J263" s="19">
        <v>200.0</v>
      </c>
      <c r="K263" s="19">
        <v>200.0</v>
      </c>
      <c r="L263" s="19">
        <v>200.0</v>
      </c>
      <c r="M263" s="19">
        <v>200.0</v>
      </c>
      <c r="N263" s="19">
        <v>200.0</v>
      </c>
      <c r="O263" s="19">
        <v>380.0</v>
      </c>
      <c r="P263" s="21"/>
      <c r="Q263" s="17">
        <f t="shared" si="3"/>
        <v>2380</v>
      </c>
    </row>
    <row r="264">
      <c r="A264" s="12" t="str">
        <f t="shared" si="2"/>
        <v>(01) Compras</v>
      </c>
      <c r="B264" s="12" t="s">
        <v>90</v>
      </c>
      <c r="C264" s="12" t="s">
        <v>22</v>
      </c>
      <c r="D264" s="13" t="s">
        <v>23</v>
      </c>
      <c r="E264" s="18">
        <v>180.0</v>
      </c>
      <c r="F264" s="19">
        <v>180.0</v>
      </c>
      <c r="G264" s="19">
        <v>180.0</v>
      </c>
      <c r="H264" s="19">
        <v>180.0</v>
      </c>
      <c r="I264" s="19">
        <v>180.0</v>
      </c>
      <c r="J264" s="19">
        <v>180.0</v>
      </c>
      <c r="K264" s="19">
        <v>180.0</v>
      </c>
      <c r="L264" s="19">
        <v>180.0</v>
      </c>
      <c r="M264" s="19">
        <v>180.0</v>
      </c>
      <c r="N264" s="19">
        <v>180.0</v>
      </c>
      <c r="O264" s="19">
        <v>280.0</v>
      </c>
      <c r="P264" s="21"/>
      <c r="Q264" s="17">
        <f t="shared" si="3"/>
        <v>2080</v>
      </c>
    </row>
    <row r="265">
      <c r="A265" s="12" t="str">
        <f t="shared" si="2"/>
        <v>(01) Compras</v>
      </c>
      <c r="B265" s="12" t="s">
        <v>90</v>
      </c>
      <c r="C265" s="12" t="s">
        <v>45</v>
      </c>
      <c r="D265" s="13" t="s">
        <v>49</v>
      </c>
      <c r="E265" s="2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3">
        <v>800.0</v>
      </c>
      <c r="Q265" s="17">
        <f t="shared" si="3"/>
        <v>800</v>
      </c>
    </row>
    <row r="266">
      <c r="A266" s="12" t="str">
        <f t="shared" si="2"/>
        <v>(01) Compras</v>
      </c>
      <c r="B266" s="12" t="s">
        <v>90</v>
      </c>
      <c r="C266" s="12" t="s">
        <v>25</v>
      </c>
      <c r="D266" s="13" t="s">
        <v>30</v>
      </c>
      <c r="E266" s="22"/>
      <c r="F266" s="20"/>
      <c r="G266" s="19">
        <v>285.0</v>
      </c>
      <c r="H266" s="20"/>
      <c r="I266" s="20"/>
      <c r="J266" s="20"/>
      <c r="K266" s="20"/>
      <c r="L266" s="20"/>
      <c r="M266" s="20"/>
      <c r="N266" s="20"/>
      <c r="O266" s="20"/>
      <c r="P266" s="21"/>
      <c r="Q266" s="17">
        <f t="shared" si="3"/>
        <v>285</v>
      </c>
    </row>
    <row r="267">
      <c r="A267" s="12" t="str">
        <f t="shared" si="2"/>
        <v>(01) Compras</v>
      </c>
      <c r="B267" s="12" t="s">
        <v>91</v>
      </c>
      <c r="C267" s="12" t="s">
        <v>20</v>
      </c>
      <c r="D267" s="24" t="s">
        <v>21</v>
      </c>
      <c r="E267" s="18">
        <v>160.0</v>
      </c>
      <c r="F267" s="19">
        <v>160.0</v>
      </c>
      <c r="G267" s="19">
        <v>160.0</v>
      </c>
      <c r="H267" s="19">
        <v>160.0</v>
      </c>
      <c r="I267" s="19">
        <v>160.0</v>
      </c>
      <c r="J267" s="19">
        <v>160.0</v>
      </c>
      <c r="K267" s="19">
        <v>160.0</v>
      </c>
      <c r="L267" s="19">
        <v>160.0</v>
      </c>
      <c r="M267" s="19">
        <v>160.0</v>
      </c>
      <c r="N267" s="19">
        <v>160.0</v>
      </c>
      <c r="O267" s="19">
        <v>280.0</v>
      </c>
      <c r="P267" s="21"/>
      <c r="Q267" s="17">
        <f t="shared" si="3"/>
        <v>1880</v>
      </c>
    </row>
    <row r="268">
      <c r="A268" s="12" t="str">
        <f t="shared" si="2"/>
        <v>(01) Compras</v>
      </c>
      <c r="B268" s="12" t="s">
        <v>91</v>
      </c>
      <c r="C268" s="12" t="s">
        <v>25</v>
      </c>
      <c r="D268" s="25" t="s">
        <v>26</v>
      </c>
      <c r="E268" s="22"/>
      <c r="F268" s="19">
        <v>740.0</v>
      </c>
      <c r="G268" s="19">
        <v>740.0</v>
      </c>
      <c r="H268" s="20"/>
      <c r="I268" s="20"/>
      <c r="J268" s="20"/>
      <c r="K268" s="20"/>
      <c r="L268" s="19">
        <v>740.0</v>
      </c>
      <c r="M268" s="19">
        <v>740.0</v>
      </c>
      <c r="N268" s="20"/>
      <c r="O268" s="20"/>
      <c r="P268" s="21"/>
      <c r="Q268" s="17">
        <f t="shared" si="3"/>
        <v>2960</v>
      </c>
    </row>
    <row r="269">
      <c r="A269" s="12" t="str">
        <f t="shared" si="2"/>
        <v>(01) Compras</v>
      </c>
      <c r="B269" s="12" t="s">
        <v>91</v>
      </c>
      <c r="C269" s="12" t="s">
        <v>25</v>
      </c>
      <c r="D269" s="25" t="s">
        <v>28</v>
      </c>
      <c r="E269" s="22"/>
      <c r="F269" s="20"/>
      <c r="G269" s="20"/>
      <c r="H269" s="20"/>
      <c r="I269" s="20"/>
      <c r="J269" s="20"/>
      <c r="K269" s="20"/>
      <c r="L269" s="20"/>
      <c r="M269" s="20"/>
      <c r="N269" s="19">
        <v>455.0</v>
      </c>
      <c r="O269" s="19">
        <v>455.0</v>
      </c>
      <c r="P269" s="21"/>
      <c r="Q269" s="17">
        <f t="shared" si="3"/>
        <v>910</v>
      </c>
    </row>
    <row r="270">
      <c r="A270" s="12" t="str">
        <f t="shared" si="2"/>
        <v>(01) Compras</v>
      </c>
      <c r="B270" s="12" t="s">
        <v>91</v>
      </c>
      <c r="C270" s="12" t="s">
        <v>25</v>
      </c>
      <c r="D270" s="25" t="s">
        <v>29</v>
      </c>
      <c r="E270" s="22"/>
      <c r="F270" s="20"/>
      <c r="G270" s="20"/>
      <c r="H270" s="20"/>
      <c r="I270" s="20"/>
      <c r="J270" s="20"/>
      <c r="K270" s="20"/>
      <c r="L270" s="20"/>
      <c r="M270" s="20"/>
      <c r="N270" s="20"/>
      <c r="O270" s="19">
        <v>90.0</v>
      </c>
      <c r="P270" s="21"/>
      <c r="Q270" s="17">
        <f t="shared" si="3"/>
        <v>90</v>
      </c>
    </row>
    <row r="271">
      <c r="A271" s="12" t="str">
        <f t="shared" si="2"/>
        <v>(01) Compras</v>
      </c>
      <c r="B271" s="12" t="s">
        <v>91</v>
      </c>
      <c r="C271" s="12" t="s">
        <v>45</v>
      </c>
      <c r="D271" s="25" t="s">
        <v>49</v>
      </c>
      <c r="E271" s="2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3">
        <v>400.0</v>
      </c>
      <c r="Q271" s="17">
        <f t="shared" si="3"/>
        <v>400</v>
      </c>
    </row>
    <row r="272">
      <c r="A272" s="12" t="str">
        <f t="shared" si="2"/>
        <v>(01) Compras</v>
      </c>
      <c r="B272" s="26"/>
      <c r="C272" s="26"/>
      <c r="D272" s="27"/>
      <c r="E272" s="2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1"/>
      <c r="Q272" s="17">
        <f t="shared" si="3"/>
        <v>0</v>
      </c>
    </row>
    <row r="273">
      <c r="A273" s="12" t="str">
        <f t="shared" si="2"/>
        <v>(01) Compras</v>
      </c>
      <c r="B273" s="26"/>
      <c r="C273" s="26"/>
      <c r="D273" s="27"/>
      <c r="E273" s="2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1"/>
      <c r="Q273" s="17">
        <f t="shared" si="3"/>
        <v>0</v>
      </c>
    </row>
    <row r="274">
      <c r="A274" s="12" t="str">
        <f t="shared" si="2"/>
        <v>(01) Compras</v>
      </c>
      <c r="B274" s="26"/>
      <c r="C274" s="26"/>
      <c r="D274" s="27"/>
      <c r="E274" s="2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1"/>
      <c r="Q274" s="17">
        <f t="shared" si="3"/>
        <v>0</v>
      </c>
    </row>
    <row r="275">
      <c r="A275" s="12" t="str">
        <f t="shared" si="2"/>
        <v>(01) Compras</v>
      </c>
      <c r="B275" s="26"/>
      <c r="C275" s="26"/>
      <c r="D275" s="27"/>
      <c r="E275" s="2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1"/>
      <c r="Q275" s="17">
        <f t="shared" si="3"/>
        <v>0</v>
      </c>
    </row>
    <row r="276">
      <c r="A276" s="12" t="str">
        <f t="shared" si="2"/>
        <v>(01) Compras</v>
      </c>
      <c r="B276" s="26"/>
      <c r="C276" s="26"/>
      <c r="D276" s="27"/>
      <c r="E276" s="2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1"/>
      <c r="Q276" s="17">
        <f t="shared" si="3"/>
        <v>0</v>
      </c>
    </row>
    <row r="277">
      <c r="A277" s="12" t="str">
        <f t="shared" si="2"/>
        <v>(01) Compras</v>
      </c>
      <c r="B277" s="26"/>
      <c r="C277" s="26"/>
      <c r="D277" s="27"/>
      <c r="E277" s="2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1"/>
      <c r="Q277" s="17">
        <f t="shared" si="3"/>
        <v>0</v>
      </c>
    </row>
    <row r="278">
      <c r="A278" s="12" t="str">
        <f t="shared" si="2"/>
        <v>(01) Compras</v>
      </c>
      <c r="B278" s="26"/>
      <c r="C278" s="26"/>
      <c r="D278" s="27"/>
      <c r="E278" s="2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1"/>
      <c r="Q278" s="17">
        <f t="shared" si="3"/>
        <v>0</v>
      </c>
    </row>
    <row r="279">
      <c r="A279" s="12" t="str">
        <f t="shared" si="2"/>
        <v>(01) Compras</v>
      </c>
      <c r="B279" s="26"/>
      <c r="C279" s="26"/>
      <c r="D279" s="27"/>
      <c r="E279" s="2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1"/>
      <c r="Q279" s="17">
        <f t="shared" si="3"/>
        <v>0</v>
      </c>
    </row>
    <row r="280">
      <c r="A280" s="12" t="str">
        <f t="shared" si="2"/>
        <v>(01) Compras</v>
      </c>
      <c r="B280" s="26"/>
      <c r="C280" s="26"/>
      <c r="D280" s="27"/>
      <c r="E280" s="2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1"/>
      <c r="Q280" s="17">
        <f t="shared" si="3"/>
        <v>0</v>
      </c>
    </row>
    <row r="281">
      <c r="A281" s="12" t="str">
        <f t="shared" si="2"/>
        <v>(01) Compras</v>
      </c>
      <c r="B281" s="26"/>
      <c r="C281" s="26"/>
      <c r="D281" s="27"/>
      <c r="E281" s="2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1"/>
      <c r="Q281" s="17">
        <f t="shared" si="3"/>
        <v>0</v>
      </c>
    </row>
    <row r="282">
      <c r="A282" s="12" t="str">
        <f t="shared" si="2"/>
        <v>(01) Compras</v>
      </c>
      <c r="B282" s="26"/>
      <c r="C282" s="26"/>
      <c r="D282" s="27"/>
      <c r="E282" s="2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1"/>
      <c r="Q282" s="17">
        <f t="shared" si="3"/>
        <v>0</v>
      </c>
    </row>
    <row r="283">
      <c r="A283" s="12" t="str">
        <f t="shared" si="2"/>
        <v>(01) Compras</v>
      </c>
      <c r="B283" s="26"/>
      <c r="C283" s="26"/>
      <c r="D283" s="27"/>
      <c r="E283" s="2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1"/>
      <c r="Q283" s="17">
        <f t="shared" si="3"/>
        <v>0</v>
      </c>
    </row>
    <row r="284">
      <c r="A284" s="12" t="str">
        <f t="shared" si="2"/>
        <v>(01) Compras</v>
      </c>
      <c r="B284" s="26"/>
      <c r="C284" s="26"/>
      <c r="D284" s="27"/>
      <c r="E284" s="2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1"/>
      <c r="Q284" s="17">
        <f t="shared" si="3"/>
        <v>0</v>
      </c>
    </row>
    <row r="285">
      <c r="A285" s="12" t="str">
        <f t="shared" si="2"/>
        <v>(01) Compras</v>
      </c>
      <c r="B285" s="26"/>
      <c r="C285" s="26"/>
      <c r="D285" s="27"/>
      <c r="E285" s="2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1"/>
      <c r="Q285" s="17">
        <f t="shared" si="3"/>
        <v>0</v>
      </c>
    </row>
    <row r="286">
      <c r="A286" s="12" t="str">
        <f t="shared" si="2"/>
        <v>(01) Compras</v>
      </c>
      <c r="B286" s="26"/>
      <c r="C286" s="26"/>
      <c r="D286" s="27"/>
      <c r="E286" s="2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1"/>
      <c r="Q286" s="17">
        <f t="shared" si="3"/>
        <v>0</v>
      </c>
    </row>
    <row r="287">
      <c r="A287" s="12" t="str">
        <f t="shared" si="2"/>
        <v>(01) Compras</v>
      </c>
      <c r="B287" s="26"/>
      <c r="C287" s="26"/>
      <c r="D287" s="27"/>
      <c r="E287" s="2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1"/>
      <c r="Q287" s="17">
        <f t="shared" si="3"/>
        <v>0</v>
      </c>
    </row>
    <row r="288">
      <c r="A288" s="12" t="str">
        <f t="shared" si="2"/>
        <v>(01) Compras</v>
      </c>
      <c r="B288" s="26"/>
      <c r="C288" s="26"/>
      <c r="D288" s="27"/>
      <c r="E288" s="2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1"/>
      <c r="Q288" s="17">
        <f t="shared" si="3"/>
        <v>0</v>
      </c>
    </row>
    <row r="289">
      <c r="A289" s="12" t="str">
        <f t="shared" si="2"/>
        <v>(01) Compras</v>
      </c>
      <c r="B289" s="26"/>
      <c r="C289" s="26"/>
      <c r="D289" s="27"/>
      <c r="E289" s="2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1"/>
      <c r="Q289" s="17">
        <f t="shared" si="3"/>
        <v>0</v>
      </c>
    </row>
    <row r="290">
      <c r="A290" s="12" t="str">
        <f t="shared" si="2"/>
        <v>(01) Compras</v>
      </c>
      <c r="B290" s="26"/>
      <c r="C290" s="26"/>
      <c r="D290" s="27"/>
      <c r="E290" s="2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1"/>
      <c r="Q290" s="17">
        <f t="shared" si="3"/>
        <v>0</v>
      </c>
    </row>
    <row r="291">
      <c r="A291" s="12" t="str">
        <f t="shared" si="2"/>
        <v>(01) Compras</v>
      </c>
      <c r="B291" s="26"/>
      <c r="C291" s="26"/>
      <c r="D291" s="27"/>
      <c r="E291" s="2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1"/>
      <c r="Q291" s="17">
        <f t="shared" si="3"/>
        <v>0</v>
      </c>
    </row>
    <row r="292">
      <c r="A292" s="12" t="str">
        <f t="shared" si="2"/>
        <v>(01) Compras</v>
      </c>
      <c r="B292" s="26"/>
      <c r="C292" s="26"/>
      <c r="D292" s="27"/>
      <c r="E292" s="2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1"/>
      <c r="Q292" s="17">
        <f t="shared" si="3"/>
        <v>0</v>
      </c>
    </row>
    <row r="293">
      <c r="A293" s="12" t="str">
        <f t="shared" si="2"/>
        <v>(01) Compras</v>
      </c>
      <c r="B293" s="26"/>
      <c r="C293" s="26"/>
      <c r="D293" s="27"/>
      <c r="E293" s="2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1"/>
      <c r="Q293" s="17">
        <f t="shared" si="3"/>
        <v>0</v>
      </c>
    </row>
    <row r="294">
      <c r="A294" s="12" t="str">
        <f t="shared" si="2"/>
        <v>(01) Compras</v>
      </c>
      <c r="B294" s="26"/>
      <c r="C294" s="26"/>
      <c r="D294" s="27"/>
      <c r="E294" s="2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1"/>
      <c r="Q294" s="17">
        <f t="shared" si="3"/>
        <v>0</v>
      </c>
    </row>
    <row r="295">
      <c r="A295" s="12" t="str">
        <f t="shared" si="2"/>
        <v>(01) Compras</v>
      </c>
      <c r="B295" s="26"/>
      <c r="C295" s="26"/>
      <c r="D295" s="27"/>
      <c r="E295" s="2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1"/>
      <c r="Q295" s="17">
        <f t="shared" si="3"/>
        <v>0</v>
      </c>
    </row>
    <row r="296">
      <c r="A296" s="12" t="str">
        <f t="shared" si="2"/>
        <v>(01) Compras</v>
      </c>
      <c r="B296" s="26"/>
      <c r="C296" s="26"/>
      <c r="D296" s="27"/>
      <c r="E296" s="2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1"/>
      <c r="Q296" s="17">
        <f t="shared" si="3"/>
        <v>0</v>
      </c>
    </row>
    <row r="297">
      <c r="A297" s="12" t="str">
        <f t="shared" si="2"/>
        <v>(01) Compras</v>
      </c>
      <c r="B297" s="26"/>
      <c r="C297" s="26"/>
      <c r="D297" s="27"/>
      <c r="E297" s="2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1"/>
      <c r="Q297" s="17">
        <f t="shared" si="3"/>
        <v>0</v>
      </c>
    </row>
    <row r="298">
      <c r="A298" s="12" t="str">
        <f t="shared" si="2"/>
        <v>(01) Compras</v>
      </c>
      <c r="B298" s="26"/>
      <c r="C298" s="26"/>
      <c r="D298" s="27"/>
      <c r="E298" s="2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1"/>
      <c r="Q298" s="17">
        <f t="shared" si="3"/>
        <v>0</v>
      </c>
    </row>
    <row r="299">
      <c r="A299" s="12" t="str">
        <f t="shared" si="2"/>
        <v>(01) Compras</v>
      </c>
      <c r="B299" s="26"/>
      <c r="C299" s="26"/>
      <c r="D299" s="27"/>
      <c r="E299" s="2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1"/>
      <c r="Q299" s="17">
        <f t="shared" si="3"/>
        <v>0</v>
      </c>
    </row>
    <row r="300">
      <c r="A300" s="12" t="str">
        <f t="shared" si="2"/>
        <v>(01) Compras</v>
      </c>
      <c r="B300" s="26"/>
      <c r="C300" s="26"/>
      <c r="D300" s="27"/>
      <c r="E300" s="2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1"/>
      <c r="Q300" s="17">
        <f t="shared" si="3"/>
        <v>0</v>
      </c>
    </row>
    <row r="301">
      <c r="A301" s="12" t="str">
        <f t="shared" si="2"/>
        <v>(01) Compras</v>
      </c>
      <c r="B301" s="26"/>
      <c r="C301" s="26"/>
      <c r="D301" s="27"/>
      <c r="E301" s="2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1"/>
      <c r="Q301" s="17">
        <f t="shared" si="3"/>
        <v>0</v>
      </c>
    </row>
    <row r="302">
      <c r="A302" s="12" t="str">
        <f t="shared" si="2"/>
        <v>(01) Compras</v>
      </c>
      <c r="B302" s="26"/>
      <c r="C302" s="26"/>
      <c r="D302" s="27"/>
      <c r="E302" s="2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1"/>
      <c r="Q302" s="17">
        <f t="shared" si="3"/>
        <v>0</v>
      </c>
    </row>
    <row r="303">
      <c r="A303" s="12" t="str">
        <f t="shared" si="2"/>
        <v>(01) Compras</v>
      </c>
      <c r="B303" s="26"/>
      <c r="C303" s="26"/>
      <c r="D303" s="27"/>
      <c r="E303" s="2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1"/>
      <c r="Q303" s="17">
        <f t="shared" si="3"/>
        <v>0</v>
      </c>
    </row>
    <row r="304">
      <c r="A304" s="12" t="str">
        <f t="shared" si="2"/>
        <v>(01) Compras</v>
      </c>
      <c r="B304" s="26"/>
      <c r="C304" s="26"/>
      <c r="D304" s="27"/>
      <c r="E304" s="2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1"/>
      <c r="Q304" s="17">
        <f t="shared" si="3"/>
        <v>0</v>
      </c>
    </row>
    <row r="305">
      <c r="A305" s="12" t="str">
        <f t="shared" si="2"/>
        <v>(01) Compras</v>
      </c>
      <c r="B305" s="26"/>
      <c r="C305" s="26"/>
      <c r="D305" s="27"/>
      <c r="E305" s="2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1"/>
      <c r="Q305" s="17">
        <f t="shared" si="3"/>
        <v>0</v>
      </c>
    </row>
    <row r="306">
      <c r="A306" s="12" t="str">
        <f t="shared" si="2"/>
        <v>(01) Compras</v>
      </c>
      <c r="B306" s="26"/>
      <c r="C306" s="26"/>
      <c r="D306" s="27"/>
      <c r="E306" s="2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1"/>
      <c r="Q306" s="17">
        <f t="shared" si="3"/>
        <v>0</v>
      </c>
    </row>
    <row r="307">
      <c r="A307" s="12" t="str">
        <f t="shared" si="2"/>
        <v>(01) Compras</v>
      </c>
      <c r="B307" s="26"/>
      <c r="C307" s="26"/>
      <c r="D307" s="27"/>
      <c r="E307" s="2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1"/>
      <c r="Q307" s="17">
        <f t="shared" si="3"/>
        <v>0</v>
      </c>
    </row>
    <row r="308">
      <c r="A308" s="12" t="str">
        <f t="shared" si="2"/>
        <v>(01) Compras</v>
      </c>
      <c r="B308" s="26"/>
      <c r="C308" s="26"/>
      <c r="D308" s="27"/>
      <c r="E308" s="2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1"/>
      <c r="Q308" s="17">
        <f t="shared" si="3"/>
        <v>0</v>
      </c>
    </row>
    <row r="309">
      <c r="A309" s="12" t="str">
        <f t="shared" si="2"/>
        <v>(01) Compras</v>
      </c>
      <c r="B309" s="26"/>
      <c r="C309" s="26"/>
      <c r="D309" s="27"/>
      <c r="E309" s="2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1"/>
      <c r="Q309" s="17">
        <f t="shared" si="3"/>
        <v>0</v>
      </c>
    </row>
    <row r="310">
      <c r="A310" s="12" t="str">
        <f t="shared" si="2"/>
        <v>(01) Compras</v>
      </c>
      <c r="B310" s="26"/>
      <c r="C310" s="26"/>
      <c r="D310" s="27"/>
      <c r="E310" s="2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1"/>
      <c r="Q310" s="17">
        <f t="shared" si="3"/>
        <v>0</v>
      </c>
    </row>
    <row r="311">
      <c r="A311" s="12" t="str">
        <f t="shared" si="2"/>
        <v>(01) Compras</v>
      </c>
      <c r="B311" s="26"/>
      <c r="C311" s="26"/>
      <c r="D311" s="27"/>
      <c r="E311" s="2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1"/>
      <c r="Q311" s="17">
        <f t="shared" si="3"/>
        <v>0</v>
      </c>
    </row>
    <row r="312">
      <c r="A312" s="12" t="str">
        <f t="shared" si="2"/>
        <v>(01) Compras</v>
      </c>
      <c r="B312" s="26"/>
      <c r="C312" s="26"/>
      <c r="D312" s="27"/>
      <c r="E312" s="2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1"/>
      <c r="Q312" s="17">
        <f t="shared" si="3"/>
        <v>0</v>
      </c>
    </row>
    <row r="313">
      <c r="A313" s="12" t="str">
        <f t="shared" si="2"/>
        <v>(01) Compras</v>
      </c>
      <c r="B313" s="26"/>
      <c r="C313" s="26"/>
      <c r="D313" s="27"/>
      <c r="E313" s="2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1"/>
      <c r="Q313" s="17">
        <f t="shared" si="3"/>
        <v>0</v>
      </c>
    </row>
    <row r="314">
      <c r="A314" s="12" t="str">
        <f t="shared" si="2"/>
        <v>(01) Compras</v>
      </c>
      <c r="B314" s="26"/>
      <c r="C314" s="26"/>
      <c r="D314" s="27"/>
      <c r="E314" s="2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1"/>
      <c r="Q314" s="17">
        <f t="shared" si="3"/>
        <v>0</v>
      </c>
    </row>
    <row r="315">
      <c r="A315" s="12" t="str">
        <f t="shared" si="2"/>
        <v>(01) Compras</v>
      </c>
      <c r="B315" s="26"/>
      <c r="C315" s="26"/>
      <c r="D315" s="27"/>
      <c r="E315" s="2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1"/>
      <c r="Q315" s="17">
        <f t="shared" si="3"/>
        <v>0</v>
      </c>
    </row>
    <row r="316">
      <c r="A316" s="12" t="str">
        <f t="shared" si="2"/>
        <v>(01) Compras</v>
      </c>
      <c r="B316" s="26"/>
      <c r="C316" s="26"/>
      <c r="D316" s="27"/>
      <c r="E316" s="2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1"/>
      <c r="Q316" s="17">
        <f t="shared" si="3"/>
        <v>0</v>
      </c>
    </row>
    <row r="317">
      <c r="A317" s="12" t="str">
        <f t="shared" si="2"/>
        <v>(01) Compras</v>
      </c>
      <c r="B317" s="26"/>
      <c r="C317" s="26"/>
      <c r="D317" s="27"/>
      <c r="E317" s="2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1"/>
      <c r="Q317" s="17">
        <f t="shared" si="3"/>
        <v>0</v>
      </c>
    </row>
    <row r="318">
      <c r="A318" s="12" t="str">
        <f t="shared" si="2"/>
        <v>(01) Compras</v>
      </c>
      <c r="B318" s="26"/>
      <c r="C318" s="26"/>
      <c r="D318" s="27"/>
      <c r="E318" s="2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1"/>
      <c r="Q318" s="17">
        <f t="shared" si="3"/>
        <v>0</v>
      </c>
    </row>
    <row r="319">
      <c r="A319" s="12" t="str">
        <f t="shared" si="2"/>
        <v>(01) Compras</v>
      </c>
      <c r="B319" s="26"/>
      <c r="C319" s="26"/>
      <c r="D319" s="27"/>
      <c r="E319" s="2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1"/>
      <c r="Q319" s="17">
        <f t="shared" si="3"/>
        <v>0</v>
      </c>
    </row>
    <row r="320">
      <c r="A320" s="12" t="str">
        <f t="shared" si="2"/>
        <v>(01) Compras</v>
      </c>
      <c r="B320" s="26"/>
      <c r="C320" s="26"/>
      <c r="D320" s="27"/>
      <c r="E320" s="2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1"/>
      <c r="Q320" s="17">
        <f t="shared" si="3"/>
        <v>0</v>
      </c>
    </row>
    <row r="321">
      <c r="A321" s="12" t="str">
        <f t="shared" si="2"/>
        <v>(01) Compras</v>
      </c>
      <c r="B321" s="26"/>
      <c r="C321" s="26"/>
      <c r="D321" s="27"/>
      <c r="E321" s="2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1"/>
      <c r="Q321" s="17">
        <f t="shared" si="3"/>
        <v>0</v>
      </c>
    </row>
    <row r="322">
      <c r="A322" s="12" t="str">
        <f t="shared" si="2"/>
        <v>(01) Compras</v>
      </c>
      <c r="B322" s="26"/>
      <c r="C322" s="26"/>
      <c r="D322" s="27"/>
      <c r="E322" s="2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1"/>
      <c r="Q322" s="17">
        <f t="shared" si="3"/>
        <v>0</v>
      </c>
    </row>
    <row r="323">
      <c r="A323" s="12" t="str">
        <f t="shared" si="2"/>
        <v>(01) Compras</v>
      </c>
      <c r="B323" s="26"/>
      <c r="C323" s="26"/>
      <c r="D323" s="27"/>
      <c r="E323" s="2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1"/>
      <c r="Q323" s="17">
        <f t="shared" si="3"/>
        <v>0</v>
      </c>
    </row>
    <row r="324">
      <c r="A324" s="12" t="str">
        <f t="shared" si="2"/>
        <v>(01) Compras</v>
      </c>
      <c r="B324" s="26"/>
      <c r="C324" s="26"/>
      <c r="D324" s="27"/>
      <c r="E324" s="2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1"/>
      <c r="Q324" s="17">
        <f t="shared" si="3"/>
        <v>0</v>
      </c>
    </row>
    <row r="325">
      <c r="A325" s="12" t="str">
        <f t="shared" si="2"/>
        <v>(01) Compras</v>
      </c>
      <c r="B325" s="26"/>
      <c r="C325" s="26"/>
      <c r="D325" s="27"/>
      <c r="E325" s="2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1"/>
      <c r="Q325" s="17">
        <f t="shared" si="3"/>
        <v>0</v>
      </c>
    </row>
    <row r="326">
      <c r="A326" s="12" t="str">
        <f t="shared" si="2"/>
        <v>(01) Compras</v>
      </c>
      <c r="B326" s="26"/>
      <c r="C326" s="26"/>
      <c r="D326" s="27"/>
      <c r="E326" s="2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1"/>
      <c r="Q326" s="17">
        <f t="shared" si="3"/>
        <v>0</v>
      </c>
    </row>
    <row r="327">
      <c r="A327" s="12" t="str">
        <f t="shared" si="2"/>
        <v>(01) Compras</v>
      </c>
      <c r="B327" s="26"/>
      <c r="C327" s="26"/>
      <c r="D327" s="27"/>
      <c r="E327" s="2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1"/>
      <c r="Q327" s="17">
        <f t="shared" si="3"/>
        <v>0</v>
      </c>
    </row>
    <row r="328">
      <c r="A328" s="12" t="str">
        <f t="shared" si="2"/>
        <v>(01) Compras</v>
      </c>
      <c r="B328" s="26"/>
      <c r="C328" s="26"/>
      <c r="D328" s="27"/>
      <c r="E328" s="2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1"/>
      <c r="Q328" s="17">
        <f t="shared" si="3"/>
        <v>0</v>
      </c>
    </row>
  </sheetData>
  <autoFilter ref="$A$2:$Q$328"/>
  <dataValidations>
    <dataValidation type="list" allowBlank="1" showErrorMessage="1" sqref="C3:C328">
      <formula1>Menus!$B$2:$B328</formula1>
    </dataValidation>
    <dataValidation type="list" allowBlank="1" showErrorMessage="1" sqref="B3:B328">
      <formula1>Menus!$A$2:$A328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</cols>
  <sheetData>
    <row r="1">
      <c r="A1" s="28" t="str">
        <f>IFERROR(__xludf.DUMMYFUNCTION("IMPORTRANGE(""10O_SXdz0dJt2tdyDkVj7WBPL_30nKHj5oXXQ8LjzZA8"",""Menus!A1:Z"")"),"Proyecto")</f>
        <v>Proyecto</v>
      </c>
      <c r="B1" s="28" t="str">
        <f>IFERROR(__xludf.DUMMYFUNCTION("""COMPUTED_VALUE"""),"Cuenta")</f>
        <v>Cuenta</v>
      </c>
      <c r="C1" s="26" t="str">
        <f>IFERROR(__xludf.DUMMYFUNCTION("""COMPUTED_VALUE"""),"Area")</f>
        <v>Area</v>
      </c>
      <c r="D1" s="26"/>
      <c r="E1" s="26" t="str">
        <f>IFERROR(__xludf.DUMMYFUNCTION("""COMPUTED_VALUE"""),"Mes")</f>
        <v>Mes</v>
      </c>
      <c r="F1" s="26"/>
      <c r="G1" s="26"/>
      <c r="H1" s="26"/>
      <c r="I1" s="26"/>
      <c r="J1" s="26" t="str">
        <f>IFERROR(__xludf.DUMMYFUNCTION("""COMPUTED_VALUE"""),"AbrR!A:AT")</f>
        <v>AbrR!A:AT</v>
      </c>
      <c r="K1" s="26" t="str">
        <f>IFERROR(__xludf.DUMMYFUNCTION("""COMPUTED_VALUE"""),"AbrR!$A$1:$A")</f>
        <v>AbrR!$A$1:$A</v>
      </c>
      <c r="L1" s="26" t="str">
        <f>IFERROR(__xludf.DUMMYFUNCTION("""COMPUTED_VALUE"""),"AbrR!$A$6:$6")</f>
        <v>AbrR!$A$6:$6</v>
      </c>
      <c r="M1" s="26"/>
      <c r="N1" s="26"/>
      <c r="O1" s="26" t="str">
        <f>IFERROR(__xludf.DUMMYFUNCTION("""COMPUTED_VALUE"""),"Proveedores")</f>
        <v>Proveedores</v>
      </c>
      <c r="P1" s="26" t="str">
        <f>IFERROR(__xludf.DUMMYFUNCTION("""COMPUTED_VALUE"""),"Forma de Pago")</f>
        <v>Forma de Pago</v>
      </c>
      <c r="Q1" s="26" t="str">
        <f>IFERROR(__xludf.DUMMYFUNCTION("""COMPUTED_VALUE"""),"Cuenta O")</f>
        <v>Cuenta O</v>
      </c>
      <c r="R1" s="26"/>
      <c r="S1" s="26"/>
      <c r="T1" s="26"/>
      <c r="U1" s="26"/>
      <c r="V1" s="26"/>
      <c r="W1" s="26"/>
      <c r="X1" s="26"/>
      <c r="Y1" s="26"/>
    </row>
    <row r="2">
      <c r="A2" s="26" t="str">
        <f>IFERROR(__xludf.DUMMYFUNCTION("""COMPUTED_VALUE"""),"(00) Administración")</f>
        <v>(00) Administración</v>
      </c>
      <c r="B2" s="26" t="str">
        <f>IFERROR(__xludf.DUMMYFUNCTION("""COMPUTED_VALUE"""),"A01 Seguridad")</f>
        <v>A01 Seguridad</v>
      </c>
      <c r="C2" s="26" t="str">
        <f>IFERROR(__xludf.DUMMYFUNCTION("""COMPUTED_VALUE"""),"(01) Compras")</f>
        <v>(01) Compras</v>
      </c>
      <c r="D2" s="26"/>
      <c r="E2" s="26" t="str">
        <f>IFERROR(__xludf.DUMMYFUNCTION("""COMPUTED_VALUE"""),"(01) Enero")</f>
        <v>(01) Enero</v>
      </c>
      <c r="F2" s="26" t="str">
        <f>IFERROR(__xludf.DUMMYFUNCTION("""COMPUTED_VALUE"""),"Ene P")</f>
        <v>Ene P</v>
      </c>
      <c r="G2" s="26" t="str">
        <f>IFERROR(__xludf.DUMMYFUNCTION("""COMPUTED_VALUE"""),"Ene R")</f>
        <v>Ene R</v>
      </c>
      <c r="H2" s="26" t="str">
        <f>IFERROR(__xludf.DUMMYFUNCTION("""COMPUTED_VALUE"""),"Ene D")</f>
        <v>Ene D</v>
      </c>
      <c r="I2" s="26" t="str">
        <f>IFERROR(__xludf.DUMMYFUNCTION("""COMPUTED_VALUE"""),"Consolidado!$E$3:$E")</f>
        <v>Consolidado!$E$3:$E</v>
      </c>
      <c r="J2" s="26" t="str">
        <f>IFERROR(__xludf.DUMMYFUNCTION("""COMPUTED_VALUE"""),"EneR!A:AT")</f>
        <v>EneR!A:AT</v>
      </c>
      <c r="K2" s="26" t="str">
        <f>IFERROR(__xludf.DUMMYFUNCTION("""COMPUTED_VALUE"""),"EneR!$A$1:$A")</f>
        <v>EneR!$A$1:$A</v>
      </c>
      <c r="L2" s="26" t="str">
        <f>IFERROR(__xludf.DUMMYFUNCTION("""COMPUTED_VALUE"""),"EneR!$A$6:$6")</f>
        <v>EneR!$A$6:$6</v>
      </c>
      <c r="M2" s="26" t="str">
        <f>IFERROR(__xludf.DUMMYFUNCTION("""COMPUTED_VALUE"""),"EneR")</f>
        <v>EneR</v>
      </c>
      <c r="N2" s="26"/>
      <c r="O2" s="26" t="str">
        <f>IFERROR(__xludf.DUMMYFUNCTION("""COMPUTED_VALUE"""),"(000) Traspaso de Cta 901")</f>
        <v>(000) Traspaso de Cta 901</v>
      </c>
      <c r="P2" s="26" t="str">
        <f>IFERROR(__xludf.DUMMYFUNCTION("""COMPUTED_VALUE"""),"(01) Cheque")</f>
        <v>(01) Cheque</v>
      </c>
      <c r="Q2" s="26" t="str">
        <f>IFERROR(__xludf.DUMMYFUNCTION("""COMPUTED_VALUE"""),"C01 Otros ingresos")</f>
        <v>C01 Otros ingresos</v>
      </c>
      <c r="R2" s="26"/>
      <c r="S2" s="26"/>
      <c r="T2" s="26"/>
      <c r="U2" s="26"/>
      <c r="V2" s="26"/>
      <c r="W2" s="26"/>
      <c r="X2" s="26"/>
      <c r="Y2" s="26"/>
    </row>
    <row r="3">
      <c r="A3" s="26" t="str">
        <f>IFERROR(__xludf.DUMMYFUNCTION("""COMPUTED_VALUE"""),"(01) C. Polanco")</f>
        <v>(01) C. Polanco</v>
      </c>
      <c r="B3" s="26" t="str">
        <f>IFERROR(__xludf.DUMMYFUNCTION("""COMPUTED_VALUE"""),"A02 Monitoreo")</f>
        <v>A02 Monitoreo</v>
      </c>
      <c r="C3" s="26" t="str">
        <f>IFERROR(__xludf.DUMMYFUNCTION("""COMPUTED_VALUE"""),"(02) Comercial")</f>
        <v>(02) Comercial</v>
      </c>
      <c r="D3" s="26"/>
      <c r="E3" s="26" t="str">
        <f>IFERROR(__xludf.DUMMYFUNCTION("""COMPUTED_VALUE"""),"(02) Febrero")</f>
        <v>(02) Febrero</v>
      </c>
      <c r="F3" s="26" t="str">
        <f>IFERROR(__xludf.DUMMYFUNCTION("""COMPUTED_VALUE"""),"Feb P")</f>
        <v>Feb P</v>
      </c>
      <c r="G3" s="26" t="str">
        <f>IFERROR(__xludf.DUMMYFUNCTION("""COMPUTED_VALUE"""),"Feb R")</f>
        <v>Feb R</v>
      </c>
      <c r="H3" s="26" t="str">
        <f>IFERROR(__xludf.DUMMYFUNCTION("""COMPUTED_VALUE"""),"Feb D")</f>
        <v>Feb D</v>
      </c>
      <c r="I3" s="26" t="str">
        <f>IFERROR(__xludf.DUMMYFUNCTION("""COMPUTED_VALUE"""),"Consolidado!$F$3:$F")</f>
        <v>Consolidado!$F$3:$F</v>
      </c>
      <c r="J3" s="26" t="str">
        <f>IFERROR(__xludf.DUMMYFUNCTION("""COMPUTED_VALUE"""),"FebR!A:AT")</f>
        <v>FebR!A:AT</v>
      </c>
      <c r="K3" s="26" t="str">
        <f>IFERROR(__xludf.DUMMYFUNCTION("""COMPUTED_VALUE"""),"FebR!$A$1:$A")</f>
        <v>FebR!$A$1:$A</v>
      </c>
      <c r="L3" s="26" t="str">
        <f>IFERROR(__xludf.DUMMYFUNCTION("""COMPUTED_VALUE"""),"FebR!$A$6:$6")</f>
        <v>FebR!$A$6:$6</v>
      </c>
      <c r="M3" s="26" t="str">
        <f>IFERROR(__xludf.DUMMYFUNCTION("""COMPUTED_VALUE"""),"FebR")</f>
        <v>FebR</v>
      </c>
      <c r="N3" s="26"/>
      <c r="O3" s="26" t="str">
        <f>IFERROR(__xludf.DUMMYFUNCTION("""COMPUTED_VALUE"""),"(001) Wepark Sa De Cv")</f>
        <v>(001) Wepark Sa De Cv</v>
      </c>
      <c r="P3" s="26" t="str">
        <f>IFERROR(__xludf.DUMMYFUNCTION("""COMPUTED_VALUE"""),"(02) Efectivo")</f>
        <v>(02) Efectivo</v>
      </c>
      <c r="Q3" s="26" t="str">
        <f>IFERROR(__xludf.DUMMYFUNCTION("""COMPUTED_VALUE"""),"D01 Otros gastos")</f>
        <v>D01 Otros gastos</v>
      </c>
      <c r="R3" s="26"/>
      <c r="S3" s="26"/>
      <c r="T3" s="26"/>
      <c r="U3" s="26"/>
      <c r="V3" s="26"/>
      <c r="W3" s="26"/>
      <c r="X3" s="26"/>
      <c r="Y3" s="26"/>
    </row>
    <row r="4">
      <c r="A4" s="26" t="str">
        <f>IFERROR(__xludf.DUMMYFUNCTION("""COMPUTED_VALUE"""),"(02) Wepark")</f>
        <v>(02) Wepark</v>
      </c>
      <c r="B4" s="26" t="str">
        <f>IFERROR(__xludf.DUMMYFUNCTION("""COMPUTED_VALUE"""),"B01 Nomina")</f>
        <v>B01 Nomina</v>
      </c>
      <c r="C4" s="26" t="str">
        <f>IFERROR(__xludf.DUMMYFUNCTION("""COMPUTED_VALUE"""),"(03) RH")</f>
        <v>(03) RH</v>
      </c>
      <c r="D4" s="26"/>
      <c r="E4" s="26" t="str">
        <f>IFERROR(__xludf.DUMMYFUNCTION("""COMPUTED_VALUE"""),"(03) Marzo")</f>
        <v>(03) Marzo</v>
      </c>
      <c r="F4" s="26" t="str">
        <f>IFERROR(__xludf.DUMMYFUNCTION("""COMPUTED_VALUE"""),"Mar P")</f>
        <v>Mar P</v>
      </c>
      <c r="G4" s="26" t="str">
        <f>IFERROR(__xludf.DUMMYFUNCTION("""COMPUTED_VALUE"""),"Mar R")</f>
        <v>Mar R</v>
      </c>
      <c r="H4" s="26" t="str">
        <f>IFERROR(__xludf.DUMMYFUNCTION("""COMPUTED_VALUE"""),"Mar D")</f>
        <v>Mar D</v>
      </c>
      <c r="I4" s="26" t="str">
        <f>IFERROR(__xludf.DUMMYFUNCTION("""COMPUTED_VALUE"""),"Consolidado!$G$3:$G")</f>
        <v>Consolidado!$G$3:$G</v>
      </c>
      <c r="J4" s="26" t="str">
        <f>IFERROR(__xludf.DUMMYFUNCTION("""COMPUTED_VALUE"""),"MarR!A:AT")</f>
        <v>MarR!A:AT</v>
      </c>
      <c r="K4" s="26" t="str">
        <f>IFERROR(__xludf.DUMMYFUNCTION("""COMPUTED_VALUE"""),"MarR!$A$1:$A")</f>
        <v>MarR!$A$1:$A</v>
      </c>
      <c r="L4" s="26" t="str">
        <f>IFERROR(__xludf.DUMMYFUNCTION("""COMPUTED_VALUE"""),"MarR!$A$6:$6")</f>
        <v>MarR!$A$6:$6</v>
      </c>
      <c r="M4" s="26" t="str">
        <f>IFERROR(__xludf.DUMMYFUNCTION("""COMPUTED_VALUE"""),"MarR")</f>
        <v>MarR</v>
      </c>
      <c r="N4" s="26"/>
      <c r="O4" s="26" t="str">
        <f>IFERROR(__xludf.DUMMYFUNCTION("""COMPUTED_VALUE"""),"(002) Artes Graficas En Periodico")</f>
        <v>(002) Artes Graficas En Periodico</v>
      </c>
      <c r="P4" s="26" t="str">
        <f>IFERROR(__xludf.DUMMYFUNCTION("""COMPUTED_VALUE"""),"(03) Transferencia")</f>
        <v>(03) Transferencia</v>
      </c>
      <c r="Q4" s="26" t="str">
        <f>IFERROR(__xludf.DUMMYFUNCTION("""COMPUTED_VALUE"""),"D02 Comisiones")</f>
        <v>D02 Comisiones</v>
      </c>
      <c r="R4" s="26"/>
      <c r="S4" s="26"/>
      <c r="T4" s="26"/>
      <c r="U4" s="26"/>
      <c r="V4" s="26"/>
      <c r="W4" s="26"/>
      <c r="X4" s="26"/>
      <c r="Y4" s="26"/>
    </row>
    <row r="5">
      <c r="A5" s="26" t="str">
        <f>IFERROR(__xludf.DUMMYFUNCTION("""COMPUTED_VALUE"""),"(03) Lagrange")</f>
        <v>(03) Lagrange</v>
      </c>
      <c r="B5" s="26" t="str">
        <f>IFERROR(__xludf.DUMMYFUNCTION("""COMPUTED_VALUE"""),"B02 Cuotas IMSS")</f>
        <v>B02 Cuotas IMSS</v>
      </c>
      <c r="C5" s="26" t="str">
        <f>IFERROR(__xludf.DUMMYFUNCTION("""COMPUTED_VALUE"""),"(04) Operacion")</f>
        <v>(04) Operacion</v>
      </c>
      <c r="D5" s="26"/>
      <c r="E5" s="26" t="str">
        <f>IFERROR(__xludf.DUMMYFUNCTION("""COMPUTED_VALUE"""),"(04) Abril")</f>
        <v>(04) Abril</v>
      </c>
      <c r="F5" s="26" t="str">
        <f>IFERROR(__xludf.DUMMYFUNCTION("""COMPUTED_VALUE"""),"Abr P")</f>
        <v>Abr P</v>
      </c>
      <c r="G5" s="26" t="str">
        <f>IFERROR(__xludf.DUMMYFUNCTION("""COMPUTED_VALUE"""),"Abr R")</f>
        <v>Abr R</v>
      </c>
      <c r="H5" s="26" t="str">
        <f>IFERROR(__xludf.DUMMYFUNCTION("""COMPUTED_VALUE"""),"Abr D")</f>
        <v>Abr D</v>
      </c>
      <c r="I5" s="26" t="str">
        <f>IFERROR(__xludf.DUMMYFUNCTION("""COMPUTED_VALUE"""),"Consolidado!$H$3:$H")</f>
        <v>Consolidado!$H$3:$H</v>
      </c>
      <c r="J5" s="26" t="str">
        <f>IFERROR(__xludf.DUMMYFUNCTION("""COMPUTED_VALUE"""),"AbrR!A:AT")</f>
        <v>AbrR!A:AT</v>
      </c>
      <c r="K5" s="26" t="str">
        <f>IFERROR(__xludf.DUMMYFUNCTION("""COMPUTED_VALUE"""),"AbrR!$A$1:$A")</f>
        <v>AbrR!$A$1:$A</v>
      </c>
      <c r="L5" s="26" t="str">
        <f>IFERROR(__xludf.DUMMYFUNCTION("""COMPUTED_VALUE"""),"AbrR!$A$6:$6")</f>
        <v>AbrR!$A$6:$6</v>
      </c>
      <c r="M5" s="26" t="str">
        <f>IFERROR(__xludf.DUMMYFUNCTION("""COMPUTED_VALUE"""),"AbrR")</f>
        <v>AbrR</v>
      </c>
      <c r="N5" s="26"/>
      <c r="O5" s="26" t="str">
        <f>IFERROR(__xludf.DUMMYFUNCTION("""COMPUTED_VALUE"""),"(003) Raul A Tapia Sanchez")</f>
        <v>(003) Raul A Tapia Sanchez</v>
      </c>
      <c r="P5" s="26" t="str">
        <f>IFERROR(__xludf.DUMMYFUNCTION("""COMPUTED_VALUE"""),"(04) Tarjeta de Credito")</f>
        <v>(04) Tarjeta de Credito</v>
      </c>
      <c r="Q5" s="26" t="str">
        <f>IFERROR(__xludf.DUMMYFUNCTION("""COMPUTED_VALUE"""),"D03 Compensaciones Efectivo")</f>
        <v>D03 Compensaciones Efectivo</v>
      </c>
      <c r="R5" s="26"/>
      <c r="S5" s="26"/>
      <c r="T5" s="26"/>
      <c r="U5" s="26"/>
      <c r="V5" s="26"/>
      <c r="W5" s="26"/>
      <c r="X5" s="26"/>
      <c r="Y5" s="26"/>
    </row>
    <row r="6">
      <c r="A6" s="26" t="str">
        <f>IFERROR(__xludf.DUMMYFUNCTION("""COMPUTED_VALUE"""),"(04) T. Prisma")</f>
        <v>(04) T. Prisma</v>
      </c>
      <c r="B6" s="26" t="str">
        <f>IFERROR(__xludf.DUMMYFUNCTION("""COMPUTED_VALUE"""),"B03 Cuotas AFORE")</f>
        <v>B03 Cuotas AFORE</v>
      </c>
      <c r="C6" s="26" t="str">
        <f>IFERROR(__xludf.DUMMYFUNCTION("""COMPUTED_VALUE"""),"(05) Licencias")</f>
        <v>(05) Licencias</v>
      </c>
      <c r="D6" s="26"/>
      <c r="E6" s="26" t="str">
        <f>IFERROR(__xludf.DUMMYFUNCTION("""COMPUTED_VALUE"""),"(05) Mayo")</f>
        <v>(05) Mayo</v>
      </c>
      <c r="F6" s="26" t="str">
        <f>IFERROR(__xludf.DUMMYFUNCTION("""COMPUTED_VALUE"""),"May P")</f>
        <v>May P</v>
      </c>
      <c r="G6" s="26" t="str">
        <f>IFERROR(__xludf.DUMMYFUNCTION("""COMPUTED_VALUE"""),"May R")</f>
        <v>May R</v>
      </c>
      <c r="H6" s="26" t="str">
        <f>IFERROR(__xludf.DUMMYFUNCTION("""COMPUTED_VALUE"""),"May D")</f>
        <v>May D</v>
      </c>
      <c r="I6" s="26" t="str">
        <f>IFERROR(__xludf.DUMMYFUNCTION("""COMPUTED_VALUE"""),"Consolidado!$I$3:$I")</f>
        <v>Consolidado!$I$3:$I</v>
      </c>
      <c r="J6" s="26" t="str">
        <f>IFERROR(__xludf.DUMMYFUNCTION("""COMPUTED_VALUE"""),"MayR!A:AT")</f>
        <v>MayR!A:AT</v>
      </c>
      <c r="K6" s="26" t="str">
        <f>IFERROR(__xludf.DUMMYFUNCTION("""COMPUTED_VALUE"""),"MayR!$A$1:$A")</f>
        <v>MayR!$A$1:$A</v>
      </c>
      <c r="L6" s="26" t="str">
        <f>IFERROR(__xludf.DUMMYFUNCTION("""COMPUTED_VALUE"""),"MayR!$A$6:$6")</f>
        <v>MayR!$A$6:$6</v>
      </c>
      <c r="M6" s="26" t="str">
        <f>IFERROR(__xludf.DUMMYFUNCTION("""COMPUTED_VALUE"""),"MayR")</f>
        <v>MayR</v>
      </c>
      <c r="N6" s="26"/>
      <c r="O6" s="26" t="str">
        <f>IFERROR(__xludf.DUMMYFUNCTION("""COMPUTED_VALUE"""),"(004) Jashmal Sa De Cv")</f>
        <v>(004) Jashmal Sa De Cv</v>
      </c>
      <c r="P6" s="26" t="str">
        <f>IFERROR(__xludf.DUMMYFUNCTION("""COMPUTED_VALUE"""),"(05) Anticipo")</f>
        <v>(05) Anticipo</v>
      </c>
      <c r="Q6" s="26" t="str">
        <f>IFERROR(__xludf.DUMMYFUNCTION("""COMPUTED_VALUE"""),"D04 Comisiones Rafa")</f>
        <v>D04 Comisiones Rafa</v>
      </c>
      <c r="R6" s="26"/>
      <c r="S6" s="26"/>
      <c r="T6" s="26"/>
      <c r="U6" s="26"/>
      <c r="V6" s="26"/>
      <c r="W6" s="26"/>
      <c r="X6" s="26"/>
      <c r="Y6" s="26"/>
    </row>
    <row r="7">
      <c r="A7" s="26" t="str">
        <f>IFERROR(__xludf.DUMMYFUNCTION("""COMPUTED_VALUE"""),"(07) Andes 120")</f>
        <v>(07) Andes 120</v>
      </c>
      <c r="B7" s="26" t="str">
        <f>IFERROR(__xludf.DUMMYFUNCTION("""COMPUTED_VALUE"""),"B04 Cuotas INFONAVIT")</f>
        <v>B04 Cuotas INFONAVIT</v>
      </c>
      <c r="C7" s="26" t="str">
        <f>IFERROR(__xludf.DUMMYFUNCTION("""COMPUTED_VALUE"""),"(06) Finanzas")</f>
        <v>(06) Finanzas</v>
      </c>
      <c r="D7" s="26"/>
      <c r="E7" s="26" t="str">
        <f>IFERROR(__xludf.DUMMYFUNCTION("""COMPUTED_VALUE"""),"(06) Junio")</f>
        <v>(06) Junio</v>
      </c>
      <c r="F7" s="26" t="str">
        <f>IFERROR(__xludf.DUMMYFUNCTION("""COMPUTED_VALUE"""),"Jun P")</f>
        <v>Jun P</v>
      </c>
      <c r="G7" s="26" t="str">
        <f>IFERROR(__xludf.DUMMYFUNCTION("""COMPUTED_VALUE"""),"Jun R")</f>
        <v>Jun R</v>
      </c>
      <c r="H7" s="26" t="str">
        <f>IFERROR(__xludf.DUMMYFUNCTION("""COMPUTED_VALUE"""),"Jun D")</f>
        <v>Jun D</v>
      </c>
      <c r="I7" s="26" t="str">
        <f>IFERROR(__xludf.DUMMYFUNCTION("""COMPUTED_VALUE"""),"Consolidado!$J$3:$J")</f>
        <v>Consolidado!$J$3:$J</v>
      </c>
      <c r="J7" s="26" t="str">
        <f>IFERROR(__xludf.DUMMYFUNCTION("""COMPUTED_VALUE"""),"JunR!A:AT")</f>
        <v>JunR!A:AT</v>
      </c>
      <c r="K7" s="26" t="str">
        <f>IFERROR(__xludf.DUMMYFUNCTION("""COMPUTED_VALUE"""),"JunR!$A$1:$A")</f>
        <v>JunR!$A$1:$A</v>
      </c>
      <c r="L7" s="26" t="str">
        <f>IFERROR(__xludf.DUMMYFUNCTION("""COMPUTED_VALUE"""),"JunR!$A$6:$6")</f>
        <v>JunR!$A$6:$6</v>
      </c>
      <c r="M7" s="26" t="str">
        <f>IFERROR(__xludf.DUMMYFUNCTION("""COMPUTED_VALUE"""),"JunR")</f>
        <v>JunR</v>
      </c>
      <c r="N7" s="26"/>
      <c r="O7" s="26" t="str">
        <f>IFERROR(__xludf.DUMMYFUNCTION("""COMPUTED_VALUE"""),"(005) Tecnosinergia S De Rl De Cv")</f>
        <v>(005) Tecnosinergia S De Rl De Cv</v>
      </c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26" t="str">
        <f>IFERROR(__xludf.DUMMYFUNCTION("""COMPUTED_VALUE"""),"(08) Xochimilco")</f>
        <v>(08) Xochimilco</v>
      </c>
      <c r="B8" s="29" t="str">
        <f>IFERROR(__xludf.DUMMYFUNCTION("""COMPUTED_VALUE"""),"B05 2.5% sobre nomina")</f>
        <v>B05 2.5% sobre nomina</v>
      </c>
      <c r="C8" s="26"/>
      <c r="D8" s="26"/>
      <c r="E8" s="26" t="str">
        <f>IFERROR(__xludf.DUMMYFUNCTION("""COMPUTED_VALUE"""),"(07) Julio")</f>
        <v>(07) Julio</v>
      </c>
      <c r="F8" s="26" t="str">
        <f>IFERROR(__xludf.DUMMYFUNCTION("""COMPUTED_VALUE"""),"Jul P")</f>
        <v>Jul P</v>
      </c>
      <c r="G8" s="26" t="str">
        <f>IFERROR(__xludf.DUMMYFUNCTION("""COMPUTED_VALUE"""),"Jul R")</f>
        <v>Jul R</v>
      </c>
      <c r="H8" s="26" t="str">
        <f>IFERROR(__xludf.DUMMYFUNCTION("""COMPUTED_VALUE"""),"Jul D")</f>
        <v>Jul D</v>
      </c>
      <c r="I8" s="26" t="str">
        <f>IFERROR(__xludf.DUMMYFUNCTION("""COMPUTED_VALUE"""),"Consolidado!$K$3:$K")</f>
        <v>Consolidado!$K$3:$K</v>
      </c>
      <c r="J8" s="26" t="str">
        <f>IFERROR(__xludf.DUMMYFUNCTION("""COMPUTED_VALUE"""),"JulR!A:AT")</f>
        <v>JulR!A:AT</v>
      </c>
      <c r="K8" s="26" t="str">
        <f>IFERROR(__xludf.DUMMYFUNCTION("""COMPUTED_VALUE"""),"JulR!$A$1:$A")</f>
        <v>JulR!$A$1:$A</v>
      </c>
      <c r="L8" s="26" t="str">
        <f>IFERROR(__xludf.DUMMYFUNCTION("""COMPUTED_VALUE"""),"JulR!$A$6:$6")</f>
        <v>JulR!$A$6:$6</v>
      </c>
      <c r="M8" s="26" t="str">
        <f>IFERROR(__xludf.DUMMYFUNCTION("""COMPUTED_VALUE"""),"JulR")</f>
        <v>JulR</v>
      </c>
      <c r="N8" s="26"/>
      <c r="O8" s="26" t="str">
        <f>IFERROR(__xludf.DUMMYFUNCTION("""COMPUTED_VALUE"""),"(006) Lp Comunicaciones Sa De Cv")</f>
        <v>(006) Lp Comunicaciones Sa De Cv</v>
      </c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26" t="str">
        <f>IFERROR(__xludf.DUMMYFUNCTION("""COMPUTED_VALUE"""),"(09) M. Pelvoux")</f>
        <v>(09) M. Pelvoux</v>
      </c>
      <c r="B9" s="26" t="str">
        <f>IFERROR(__xludf.DUMMYFUNCTION("""COMPUTED_VALUE"""),"B06 Aguinaldo")</f>
        <v>B06 Aguinaldo</v>
      </c>
      <c r="C9" s="26"/>
      <c r="D9" s="26"/>
      <c r="E9" s="26" t="str">
        <f>IFERROR(__xludf.DUMMYFUNCTION("""COMPUTED_VALUE"""),"(08) Agosto")</f>
        <v>(08) Agosto</v>
      </c>
      <c r="F9" s="26" t="str">
        <f>IFERROR(__xludf.DUMMYFUNCTION("""COMPUTED_VALUE"""),"Ago P")</f>
        <v>Ago P</v>
      </c>
      <c r="G9" s="26" t="str">
        <f>IFERROR(__xludf.DUMMYFUNCTION("""COMPUTED_VALUE"""),"Ago R")</f>
        <v>Ago R</v>
      </c>
      <c r="H9" s="26" t="str">
        <f>IFERROR(__xludf.DUMMYFUNCTION("""COMPUTED_VALUE"""),"Ago D")</f>
        <v>Ago D</v>
      </c>
      <c r="I9" s="26" t="str">
        <f>IFERROR(__xludf.DUMMYFUNCTION("""COMPUTED_VALUE"""),"Consolidado!$L$3:$L")</f>
        <v>Consolidado!$L$3:$L</v>
      </c>
      <c r="J9" s="26" t="str">
        <f>IFERROR(__xludf.DUMMYFUNCTION("""COMPUTED_VALUE"""),"AgoR!A:AT")</f>
        <v>AgoR!A:AT</v>
      </c>
      <c r="K9" s="26" t="str">
        <f>IFERROR(__xludf.DUMMYFUNCTION("""COMPUTED_VALUE"""),"AgoR!$A$1:$A")</f>
        <v>AgoR!$A$1:$A</v>
      </c>
      <c r="L9" s="26" t="str">
        <f>IFERROR(__xludf.DUMMYFUNCTION("""COMPUTED_VALUE"""),"AgoR!$A$6:$6")</f>
        <v>AgoR!$A$6:$6</v>
      </c>
      <c r="M9" s="26" t="str">
        <f>IFERROR(__xludf.DUMMYFUNCTION("""COMPUTED_VALUE"""),"AgoR")</f>
        <v>AgoR</v>
      </c>
      <c r="N9" s="26"/>
      <c r="O9" s="26" t="str">
        <f>IFERROR(__xludf.DUMMYFUNCTION("""COMPUTED_VALUE"""),"(007) Pruebas De Deteccion Sa De Cv")</f>
        <v>(007) Pruebas De Deteccion Sa De Cv</v>
      </c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6" t="str">
        <f>IFERROR(__xludf.DUMMYFUNCTION("""COMPUTED_VALUE"""),"(10) Quadrata")</f>
        <v>(10) Quadrata</v>
      </c>
      <c r="B10" s="26" t="str">
        <f>IFERROR(__xludf.DUMMYFUNCTION("""COMPUTED_VALUE"""),"B07 Comisiones Bancarias")</f>
        <v>B07 Comisiones Bancarias</v>
      </c>
      <c r="C10" s="26"/>
      <c r="D10" s="26"/>
      <c r="E10" s="26" t="str">
        <f>IFERROR(__xludf.DUMMYFUNCTION("""COMPUTED_VALUE"""),"(09) Septiembre")</f>
        <v>(09) Septiembre</v>
      </c>
      <c r="F10" s="26" t="str">
        <f>IFERROR(__xludf.DUMMYFUNCTION("""COMPUTED_VALUE"""),"Sep P")</f>
        <v>Sep P</v>
      </c>
      <c r="G10" s="26" t="str">
        <f>IFERROR(__xludf.DUMMYFUNCTION("""COMPUTED_VALUE"""),"Sep R")</f>
        <v>Sep R</v>
      </c>
      <c r="H10" s="26" t="str">
        <f>IFERROR(__xludf.DUMMYFUNCTION("""COMPUTED_VALUE"""),"Sep D")</f>
        <v>Sep D</v>
      </c>
      <c r="I10" s="26" t="str">
        <f>IFERROR(__xludf.DUMMYFUNCTION("""COMPUTED_VALUE"""),"Consolidado!$M$3:$M")</f>
        <v>Consolidado!$M$3:$M</v>
      </c>
      <c r="J10" s="26" t="str">
        <f>IFERROR(__xludf.DUMMYFUNCTION("""COMPUTED_VALUE"""),"SepR!A:AT")</f>
        <v>SepR!A:AT</v>
      </c>
      <c r="K10" s="26" t="str">
        <f>IFERROR(__xludf.DUMMYFUNCTION("""COMPUTED_VALUE"""),"SepR!$A$1:$A")</f>
        <v>SepR!$A$1:$A</v>
      </c>
      <c r="L10" s="26" t="str">
        <f>IFERROR(__xludf.DUMMYFUNCTION("""COMPUTED_VALUE"""),"SepR!$A$6:$6")</f>
        <v>SepR!$A$6:$6</v>
      </c>
      <c r="M10" s="26" t="str">
        <f>IFERROR(__xludf.DUMMYFUNCTION("""COMPUTED_VALUE"""),"SepR")</f>
        <v>SepR</v>
      </c>
      <c r="N10" s="26"/>
      <c r="O10" s="26" t="str">
        <f>IFERROR(__xludf.DUMMYFUNCTION("""COMPUTED_VALUE"""),"(008) Ruizgu Sa De Cv")</f>
        <v>(008) Ruizgu Sa De Cv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 t="str">
        <f>IFERROR(__xludf.DUMMYFUNCTION("""COMPUTED_VALUE"""),"(11) Panorama")</f>
        <v>(11) Panorama</v>
      </c>
      <c r="B11" s="26" t="str">
        <f>IFERROR(__xludf.DUMMYFUNCTION("""COMPUTED_VALUE"""),"B08 Licencias y permisos")</f>
        <v>B08 Licencias y permisos</v>
      </c>
      <c r="C11" s="26"/>
      <c r="D11" s="26"/>
      <c r="E11" s="26" t="str">
        <f>IFERROR(__xludf.DUMMYFUNCTION("""COMPUTED_VALUE"""),"(10) Octubre")</f>
        <v>(10) Octubre</v>
      </c>
      <c r="F11" s="26" t="str">
        <f>IFERROR(__xludf.DUMMYFUNCTION("""COMPUTED_VALUE"""),"Oct P")</f>
        <v>Oct P</v>
      </c>
      <c r="G11" s="26" t="str">
        <f>IFERROR(__xludf.DUMMYFUNCTION("""COMPUTED_VALUE"""),"Oct R")</f>
        <v>Oct R</v>
      </c>
      <c r="H11" s="26" t="str">
        <f>IFERROR(__xludf.DUMMYFUNCTION("""COMPUTED_VALUE"""),"Oct D")</f>
        <v>Oct D</v>
      </c>
      <c r="I11" s="26" t="str">
        <f>IFERROR(__xludf.DUMMYFUNCTION("""COMPUTED_VALUE"""),"Consolidado!$N$3:$N")</f>
        <v>Consolidado!$N$3:$N</v>
      </c>
      <c r="J11" s="26" t="str">
        <f>IFERROR(__xludf.DUMMYFUNCTION("""COMPUTED_VALUE"""),"OctR!A:AT")</f>
        <v>OctR!A:AT</v>
      </c>
      <c r="K11" s="26" t="str">
        <f>IFERROR(__xludf.DUMMYFUNCTION("""COMPUTED_VALUE"""),"OctR!$A$1:$A")</f>
        <v>OctR!$A$1:$A</v>
      </c>
      <c r="L11" s="26" t="str">
        <f>IFERROR(__xludf.DUMMYFUNCTION("""COMPUTED_VALUE"""),"OctR!$A$6:$6")</f>
        <v>OctR!$A$6:$6</v>
      </c>
      <c r="M11" s="26" t="str">
        <f>IFERROR(__xludf.DUMMYFUNCTION("""COMPUTED_VALUE"""),"OctR")</f>
        <v>OctR</v>
      </c>
      <c r="N11" s="26"/>
      <c r="O11" s="26" t="str">
        <f>IFERROR(__xludf.DUMMYFUNCTION("""COMPUTED_VALUE"""),"(009) Juan Armando Sosa Lezama")</f>
        <v>(009) Juan Armando Sosa Lezama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 t="str">
        <f>IFERROR(__xludf.DUMMYFUNCTION("""COMPUTED_VALUE"""),"(12) Andes 105")</f>
        <v>(12) Andes 105</v>
      </c>
      <c r="B12" s="26" t="str">
        <f>IFERROR(__xludf.DUMMYFUNCTION("""COMPUTED_VALUE"""),"B09 Uniformes")</f>
        <v>B09 Uniformes</v>
      </c>
      <c r="C12" s="26"/>
      <c r="D12" s="26"/>
      <c r="E12" s="26" t="str">
        <f>IFERROR(__xludf.DUMMYFUNCTION("""COMPUTED_VALUE"""),"(11) Noviembre")</f>
        <v>(11) Noviembre</v>
      </c>
      <c r="F12" s="26" t="str">
        <f>IFERROR(__xludf.DUMMYFUNCTION("""COMPUTED_VALUE"""),"Nov P")</f>
        <v>Nov P</v>
      </c>
      <c r="G12" s="26" t="str">
        <f>IFERROR(__xludf.DUMMYFUNCTION("""COMPUTED_VALUE"""),"Nov R")</f>
        <v>Nov R</v>
      </c>
      <c r="H12" s="26" t="str">
        <f>IFERROR(__xludf.DUMMYFUNCTION("""COMPUTED_VALUE"""),"Nov D")</f>
        <v>Nov D</v>
      </c>
      <c r="I12" s="26" t="str">
        <f>IFERROR(__xludf.DUMMYFUNCTION("""COMPUTED_VALUE"""),"Consolidado!$O$3:$O")</f>
        <v>Consolidado!$O$3:$O</v>
      </c>
      <c r="J12" s="26" t="str">
        <f>IFERROR(__xludf.DUMMYFUNCTION("""COMPUTED_VALUE"""),"NovR!A:AT")</f>
        <v>NovR!A:AT</v>
      </c>
      <c r="K12" s="26" t="str">
        <f>IFERROR(__xludf.DUMMYFUNCTION("""COMPUTED_VALUE"""),"NovR!$A$1:$A")</f>
        <v>NovR!$A$1:$A</v>
      </c>
      <c r="L12" s="26" t="str">
        <f>IFERROR(__xludf.DUMMYFUNCTION("""COMPUTED_VALUE"""),"NovR!$A$6:$6")</f>
        <v>NovR!$A$6:$6</v>
      </c>
      <c r="M12" s="26" t="str">
        <f>IFERROR(__xludf.DUMMYFUNCTION("""COMPUTED_VALUE"""),"NovR")</f>
        <v>NovR</v>
      </c>
      <c r="N12" s="26"/>
      <c r="O12" s="26" t="str">
        <f>IFERROR(__xludf.DUMMYFUNCTION("""COMPUTED_VALUE"""),"(010) Asesoria En Copisistemas Y Com")</f>
        <v>(010) Asesoria En Copisistemas Y Com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 t="str">
        <f>IFERROR(__xludf.DUMMYFUNCTION("""COMPUTED_VALUE"""),"(13) E. Especiales")</f>
        <v>(13) E. Especiales</v>
      </c>
      <c r="B13" s="26" t="str">
        <f>IFERROR(__xludf.DUMMYFUNCTION("""COMPUTED_VALUE"""),"B10 Anuncios periódico")</f>
        <v>B10 Anuncios periódico</v>
      </c>
      <c r="C13" s="26"/>
      <c r="D13" s="26"/>
      <c r="E13" s="26" t="str">
        <f>IFERROR(__xludf.DUMMYFUNCTION("""COMPUTED_VALUE"""),"(12) Diciembre")</f>
        <v>(12) Diciembre</v>
      </c>
      <c r="F13" s="26" t="str">
        <f>IFERROR(__xludf.DUMMYFUNCTION("""COMPUTED_VALUE"""),"Dic P")</f>
        <v>Dic P</v>
      </c>
      <c r="G13" s="26" t="str">
        <f>IFERROR(__xludf.DUMMYFUNCTION("""COMPUTED_VALUE"""),"Dic R")</f>
        <v>Dic R</v>
      </c>
      <c r="H13" s="26" t="str">
        <f>IFERROR(__xludf.DUMMYFUNCTION("""COMPUTED_VALUE"""),"Dic D")</f>
        <v>Dic D</v>
      </c>
      <c r="I13" s="26" t="str">
        <f>IFERROR(__xludf.DUMMYFUNCTION("""COMPUTED_VALUE"""),"Consolidado!$P$3:$P")</f>
        <v>Consolidado!$P$3:$P</v>
      </c>
      <c r="J13" s="26" t="str">
        <f>IFERROR(__xludf.DUMMYFUNCTION("""COMPUTED_VALUE"""),"DicR!A:AT")</f>
        <v>DicR!A:AT</v>
      </c>
      <c r="K13" s="26" t="str">
        <f>IFERROR(__xludf.DUMMYFUNCTION("""COMPUTED_VALUE"""),"DicR!$A$1:$A")</f>
        <v>DicR!$A$1:$A</v>
      </c>
      <c r="L13" s="26" t="str">
        <f>IFERROR(__xludf.DUMMYFUNCTION("""COMPUTED_VALUE"""),"DicR!$A$6:$6")</f>
        <v>DicR!$A$6:$6</v>
      </c>
      <c r="M13" s="26" t="str">
        <f>IFERROR(__xludf.DUMMYFUNCTION("""COMPUTED_VALUE"""),"DicR")</f>
        <v>DicR</v>
      </c>
      <c r="N13" s="26"/>
      <c r="O13" s="26" t="str">
        <f>IFERROR(__xludf.DUMMYFUNCTION("""COMPUTED_VALUE"""),"(011) Avisetecnologias Sa De Cv")</f>
        <v>(011) Avisetecnologias Sa De Cv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 t="str">
        <f>IFERROR(__xludf.DUMMYFUNCTION("""COMPUTED_VALUE"""),"(14) Bodega Sicario Chalco")</f>
        <v>(14) Bodega Sicario Chalco</v>
      </c>
      <c r="B14" s="26" t="str">
        <f>IFERROR(__xludf.DUMMYFUNCTION("""COMPUTED_VALUE"""),"B11 Telefonía")</f>
        <v>B11 Telefonía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 t="str">
        <f>IFERROR(__xludf.DUMMYFUNCTION("""COMPUTED_VALUE"""),"(012) Avendaño Y Asociados Sc")</f>
        <v>(012) Avendaño Y Asociados Sc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26" t="str">
        <f>IFERROR(__xludf.DUMMYFUNCTION("""COMPUTED_VALUE"""),"(15) Damas")</f>
        <v>(15) Damas</v>
      </c>
      <c r="B15" s="26" t="str">
        <f>IFERROR(__xludf.DUMMYFUNCTION("""COMPUTED_VALUE"""),"B12 Papelería")</f>
        <v>B12 Papelería</v>
      </c>
      <c r="C15" s="26"/>
      <c r="D15" s="26"/>
      <c r="E15" s="26" t="str">
        <f>IFERROR(__xludf.DUMMYFUNCTION("""COMPUTED_VALUE"""),"(01) Enero")</f>
        <v>(01) Enero</v>
      </c>
      <c r="F15" s="26" t="str">
        <f>IFERROR(__xludf.DUMMYFUNCTION("""COMPUTED_VALUE"""),"Enero")</f>
        <v>Enero</v>
      </c>
      <c r="G15" s="26" t="str">
        <f>IFERROR(__xludf.DUMMYFUNCTION("""COMPUTED_VALUE"""),"Ene R")</f>
        <v>Ene R</v>
      </c>
      <c r="H15" s="26" t="str">
        <f>IFERROR(__xludf.DUMMYFUNCTION("""COMPUTED_VALUE"""),"Ene D")</f>
        <v>Ene D</v>
      </c>
      <c r="I15" s="26" t="str">
        <f>IFERROR(__xludf.DUMMYFUNCTION("""COMPUTED_VALUE"""),"Otros!$E$3:$E")</f>
        <v>Otros!$E$3:$E</v>
      </c>
      <c r="J15" s="26" t="str">
        <f>IFERROR(__xludf.DUMMYFUNCTION("""COMPUTED_VALUE"""),"OtrosR!A:Q")</f>
        <v>OtrosR!A:Q</v>
      </c>
      <c r="K15" s="26" t="str">
        <f>IFERROR(__xludf.DUMMYFUNCTION("""COMPUTED_VALUE"""),"OtrosR!$C$1:$C")</f>
        <v>OtrosR!$C$1:$C</v>
      </c>
      <c r="L15" s="26" t="str">
        <f>IFERROR(__xludf.DUMMYFUNCTION("""COMPUTED_VALUE"""),"OtrosR!$B$1:$B")</f>
        <v>OtrosR!$B$1:$B</v>
      </c>
      <c r="M15" s="26" t="str">
        <f>IFERROR(__xludf.DUMMYFUNCTION("""COMPUTED_VALUE"""),"EneR")</f>
        <v>EneR</v>
      </c>
      <c r="N15" s="26"/>
      <c r="O15" s="26" t="str">
        <f>IFERROR(__xludf.DUMMYFUNCTION("""COMPUTED_VALUE"""),"(013) Gerardo Marcial Ramirez")</f>
        <v>(013) Gerardo Marcial Ramirez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 t="str">
        <f>IFERROR(__xludf.DUMMYFUNCTION("""COMPUTED_VALUE"""),"(16) Onix")</f>
        <v>(16) Onix</v>
      </c>
      <c r="B16" s="26" t="str">
        <f>IFERROR(__xludf.DUMMYFUNCTION("""COMPUTED_VALUE"""),"B13 Honorarios")</f>
        <v>B13 Honorarios</v>
      </c>
      <c r="C16" s="26"/>
      <c r="D16" s="26"/>
      <c r="E16" s="26" t="str">
        <f>IFERROR(__xludf.DUMMYFUNCTION("""COMPUTED_VALUE"""),"(02) Febrero")</f>
        <v>(02) Febrero</v>
      </c>
      <c r="F16" s="26" t="str">
        <f>IFERROR(__xludf.DUMMYFUNCTION("""COMPUTED_VALUE"""),"Febrero")</f>
        <v>Febrero</v>
      </c>
      <c r="G16" s="26" t="str">
        <f>IFERROR(__xludf.DUMMYFUNCTION("""COMPUTED_VALUE"""),"Feb R")</f>
        <v>Feb R</v>
      </c>
      <c r="H16" s="26" t="str">
        <f>IFERROR(__xludf.DUMMYFUNCTION("""COMPUTED_VALUE"""),"Feb D")</f>
        <v>Feb D</v>
      </c>
      <c r="I16" s="26" t="str">
        <f>IFERROR(__xludf.DUMMYFUNCTION("""COMPUTED_VALUE"""),"Otros!$F$3:$F")</f>
        <v>Otros!$F$3:$F</v>
      </c>
      <c r="J16" s="26" t="str">
        <f>IFERROR(__xludf.DUMMYFUNCTION("""COMPUTED_VALUE"""),"FebR!A:AT")</f>
        <v>FebR!A:AT</v>
      </c>
      <c r="K16" s="26" t="str">
        <f>IFERROR(__xludf.DUMMYFUNCTION("""COMPUTED_VALUE"""),"FebR!$A$1:$A")</f>
        <v>FebR!$A$1:$A</v>
      </c>
      <c r="L16" s="26" t="str">
        <f>IFERROR(__xludf.DUMMYFUNCTION("""COMPUTED_VALUE"""),"FebR!$A$6:$6")</f>
        <v>FebR!$A$6:$6</v>
      </c>
      <c r="M16" s="26" t="str">
        <f>IFERROR(__xludf.DUMMYFUNCTION("""COMPUTED_VALUE"""),"FebR")</f>
        <v>FebR</v>
      </c>
      <c r="N16" s="26"/>
      <c r="O16" s="26" t="str">
        <f>IFERROR(__xludf.DUMMYFUNCTION("""COMPUTED_VALUE"""),"(014) Jose Ventura Calvo Cruz")</f>
        <v>(014) Jose Ventura Calvo Cruz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6" t="str">
        <f>IFERROR(__xludf.DUMMYFUNCTION("""COMPUTED_VALUE"""),"(17) Alce Blanco")</f>
        <v>(17) Alce Blanco</v>
      </c>
      <c r="B17" s="26" t="str">
        <f>IFERROR(__xludf.DUMMYFUNCTION("""COMPUTED_VALUE"""),"B14 Arrendamiento de inmuebles")</f>
        <v>B14 Arrendamiento de inmuebles</v>
      </c>
      <c r="C17" s="26"/>
      <c r="D17" s="26"/>
      <c r="E17" s="26" t="str">
        <f>IFERROR(__xludf.DUMMYFUNCTION("""COMPUTED_VALUE"""),"(03) Marzo")</f>
        <v>(03) Marzo</v>
      </c>
      <c r="F17" s="26" t="str">
        <f>IFERROR(__xludf.DUMMYFUNCTION("""COMPUTED_VALUE"""),"Marzo")</f>
        <v>Marzo</v>
      </c>
      <c r="G17" s="26" t="str">
        <f>IFERROR(__xludf.DUMMYFUNCTION("""COMPUTED_VALUE"""),"Mar R")</f>
        <v>Mar R</v>
      </c>
      <c r="H17" s="26" t="str">
        <f>IFERROR(__xludf.DUMMYFUNCTION("""COMPUTED_VALUE"""),"Mar D")</f>
        <v>Mar D</v>
      </c>
      <c r="I17" s="26" t="str">
        <f>IFERROR(__xludf.DUMMYFUNCTION("""COMPUTED_VALUE"""),"Otros!$G$3:$G")</f>
        <v>Otros!$G$3:$G</v>
      </c>
      <c r="J17" s="26" t="str">
        <f>IFERROR(__xludf.DUMMYFUNCTION("""COMPUTED_VALUE"""),"MarR!A:AT")</f>
        <v>MarR!A:AT</v>
      </c>
      <c r="K17" s="26" t="str">
        <f>IFERROR(__xludf.DUMMYFUNCTION("""COMPUTED_VALUE"""),"MarR!$A$1:$A")</f>
        <v>MarR!$A$1:$A</v>
      </c>
      <c r="L17" s="26" t="str">
        <f>IFERROR(__xludf.DUMMYFUNCTION("""COMPUTED_VALUE"""),"MarR!$A$6:$6")</f>
        <v>MarR!$A$6:$6</v>
      </c>
      <c r="M17" s="26" t="str">
        <f>IFERROR(__xludf.DUMMYFUNCTION("""COMPUTED_VALUE"""),"MarR")</f>
        <v>MarR</v>
      </c>
      <c r="N17" s="26"/>
      <c r="O17" s="26" t="str">
        <f>IFERROR(__xludf.DUMMYFUNCTION("""COMPUTED_VALUE"""),"(015) Gobierno De La Ciudad De Mexic")</f>
        <v>(015) Gobierno De La Ciudad De Mexic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6" t="str">
        <f>IFERROR(__xludf.DUMMYFUNCTION("""COMPUTED_VALUE"""),"(18) Campos Eliseos")</f>
        <v>(18) Campos Eliseos</v>
      </c>
      <c r="B18" s="26" t="str">
        <f>IFERROR(__xludf.DUMMYFUNCTION("""COMPUTED_VALUE"""),"B15 Mobiliario y equipo de oficina")</f>
        <v>B15 Mobiliario y equipo de oficina</v>
      </c>
      <c r="C18" s="26"/>
      <c r="D18" s="26"/>
      <c r="E18" s="26" t="str">
        <f>IFERROR(__xludf.DUMMYFUNCTION("""COMPUTED_VALUE"""),"(04) Abril")</f>
        <v>(04) Abril</v>
      </c>
      <c r="F18" s="26" t="str">
        <f>IFERROR(__xludf.DUMMYFUNCTION("""COMPUTED_VALUE"""),"Abril")</f>
        <v>Abril</v>
      </c>
      <c r="G18" s="26" t="str">
        <f>IFERROR(__xludf.DUMMYFUNCTION("""COMPUTED_VALUE"""),"Abr R")</f>
        <v>Abr R</v>
      </c>
      <c r="H18" s="26" t="str">
        <f>IFERROR(__xludf.DUMMYFUNCTION("""COMPUTED_VALUE"""),"Abr D")</f>
        <v>Abr D</v>
      </c>
      <c r="I18" s="26" t="str">
        <f>IFERROR(__xludf.DUMMYFUNCTION("""COMPUTED_VALUE"""),"Otros!$H$3:$H")</f>
        <v>Otros!$H$3:$H</v>
      </c>
      <c r="J18" s="26" t="str">
        <f>IFERROR(__xludf.DUMMYFUNCTION("""COMPUTED_VALUE"""),"AbrR!A:AT")</f>
        <v>AbrR!A:AT</v>
      </c>
      <c r="K18" s="26" t="str">
        <f>IFERROR(__xludf.DUMMYFUNCTION("""COMPUTED_VALUE"""),"AbrR!$A$1:$A")</f>
        <v>AbrR!$A$1:$A</v>
      </c>
      <c r="L18" s="26" t="str">
        <f>IFERROR(__xludf.DUMMYFUNCTION("""COMPUTED_VALUE"""),"AbrR!$A$6:$6")</f>
        <v>AbrR!$A$6:$6</v>
      </c>
      <c r="M18" s="26" t="str">
        <f>IFERROR(__xludf.DUMMYFUNCTION("""COMPUTED_VALUE"""),"AbrR")</f>
        <v>AbrR</v>
      </c>
      <c r="N18" s="26"/>
      <c r="O18" s="26" t="str">
        <f>IFERROR(__xludf.DUMMYFUNCTION("""COMPUTED_VALUE"""),"(016) Orotoga Consultores Sc")</f>
        <v>(016) Orotoga Consultores Sc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6" t="str">
        <f>IFERROR(__xludf.DUMMYFUNCTION("""COMPUTED_VALUE"""),"(21) Sur Oxidado")</f>
        <v>(21) Sur Oxidado</v>
      </c>
      <c r="B19" s="26" t="str">
        <f>IFERROR(__xludf.DUMMYFUNCTION("""COMPUTED_VALUE"""),"B16 Fianzas y seguros")</f>
        <v>B16 Fianzas y seguros</v>
      </c>
      <c r="C19" s="26"/>
      <c r="D19" s="26"/>
      <c r="E19" s="26" t="str">
        <f>IFERROR(__xludf.DUMMYFUNCTION("""COMPUTED_VALUE"""),"(05) Mayo")</f>
        <v>(05) Mayo</v>
      </c>
      <c r="F19" s="26" t="str">
        <f>IFERROR(__xludf.DUMMYFUNCTION("""COMPUTED_VALUE"""),"Mayo")</f>
        <v>Mayo</v>
      </c>
      <c r="G19" s="26" t="str">
        <f>IFERROR(__xludf.DUMMYFUNCTION("""COMPUTED_VALUE"""),"May R")</f>
        <v>May R</v>
      </c>
      <c r="H19" s="26" t="str">
        <f>IFERROR(__xludf.DUMMYFUNCTION("""COMPUTED_VALUE"""),"May D")</f>
        <v>May D</v>
      </c>
      <c r="I19" s="26" t="str">
        <f>IFERROR(__xludf.DUMMYFUNCTION("""COMPUTED_VALUE"""),"Otros!$I$3:$I")</f>
        <v>Otros!$I$3:$I</v>
      </c>
      <c r="J19" s="26" t="str">
        <f>IFERROR(__xludf.DUMMYFUNCTION("""COMPUTED_VALUE"""),"MayR!A:AT")</f>
        <v>MayR!A:AT</v>
      </c>
      <c r="K19" s="26" t="str">
        <f>IFERROR(__xludf.DUMMYFUNCTION("""COMPUTED_VALUE"""),"MayR!$A$1:$A")</f>
        <v>MayR!$A$1:$A</v>
      </c>
      <c r="L19" s="26" t="str">
        <f>IFERROR(__xludf.DUMMYFUNCTION("""COMPUTED_VALUE"""),"MayR!$A$6:$6")</f>
        <v>MayR!$A$6:$6</v>
      </c>
      <c r="M19" s="26" t="str">
        <f>IFERROR(__xludf.DUMMYFUNCTION("""COMPUTED_VALUE"""),"MayR")</f>
        <v>MayR</v>
      </c>
      <c r="N19" s="26"/>
      <c r="O19" s="26" t="str">
        <f>IFERROR(__xludf.DUMMYFUNCTION("""COMPUTED_VALUE"""),"(017) Berenice Frias Vigueras")</f>
        <v>(017) Berenice Frias Vigueras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6" t="str">
        <f>IFERROR(__xludf.DUMMYFUNCTION("""COMPUTED_VALUE"""),"(22) Summit")</f>
        <v>(22) Summit</v>
      </c>
      <c r="B20" s="26" t="str">
        <f>IFERROR(__xludf.DUMMYFUNCTION("""COMPUTED_VALUE"""),"B17 Mantenimiento Plaza/Oficina")</f>
        <v>B17 Mantenimiento Plaza/Oficina</v>
      </c>
      <c r="C20" s="26"/>
      <c r="D20" s="26"/>
      <c r="E20" s="26" t="str">
        <f>IFERROR(__xludf.DUMMYFUNCTION("""COMPUTED_VALUE"""),"(06) Junio")</f>
        <v>(06) Junio</v>
      </c>
      <c r="F20" s="26" t="str">
        <f>IFERROR(__xludf.DUMMYFUNCTION("""COMPUTED_VALUE"""),"Junio")</f>
        <v>Junio</v>
      </c>
      <c r="G20" s="26" t="str">
        <f>IFERROR(__xludf.DUMMYFUNCTION("""COMPUTED_VALUE"""),"Jun R")</f>
        <v>Jun R</v>
      </c>
      <c r="H20" s="26" t="str">
        <f>IFERROR(__xludf.DUMMYFUNCTION("""COMPUTED_VALUE"""),"Jun D")</f>
        <v>Jun D</v>
      </c>
      <c r="I20" s="26" t="str">
        <f>IFERROR(__xludf.DUMMYFUNCTION("""COMPUTED_VALUE"""),"Otros!$J$3:$J")</f>
        <v>Otros!$J$3:$J</v>
      </c>
      <c r="J20" s="26" t="str">
        <f>IFERROR(__xludf.DUMMYFUNCTION("""COMPUTED_VALUE"""),"JunR!A:AT")</f>
        <v>JunR!A:AT</v>
      </c>
      <c r="K20" s="26" t="str">
        <f>IFERROR(__xludf.DUMMYFUNCTION("""COMPUTED_VALUE"""),"JunR!$A$1:$A")</f>
        <v>JunR!$A$1:$A</v>
      </c>
      <c r="L20" s="26" t="str">
        <f>IFERROR(__xludf.DUMMYFUNCTION("""COMPUTED_VALUE"""),"JunR!$A$6:$6")</f>
        <v>JunR!$A$6:$6</v>
      </c>
      <c r="M20" s="26" t="str">
        <f>IFERROR(__xludf.DUMMYFUNCTION("""COMPUTED_VALUE"""),"JunR")</f>
        <v>JunR</v>
      </c>
      <c r="N20" s="26"/>
      <c r="O20" s="26" t="str">
        <f>IFERROR(__xludf.DUMMYFUNCTION("""COMPUTED_VALUE"""),"(018) Israel Garcia Concha")</f>
        <v>(018) Israel Garcia Concha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6" t="str">
        <f>IFERROR(__xludf.DUMMYFUNCTION("""COMPUTED_VALUE"""),"(24) Las Armas")</f>
        <v>(24) Las Armas</v>
      </c>
      <c r="B21" s="26" t="str">
        <f>IFERROR(__xludf.DUMMYFUNCTION("""COMPUTED_VALUE"""),"B18 Depreciación")</f>
        <v>B18 Depreciación</v>
      </c>
      <c r="C21" s="26"/>
      <c r="D21" s="26"/>
      <c r="E21" s="26" t="str">
        <f>IFERROR(__xludf.DUMMYFUNCTION("""COMPUTED_VALUE"""),"(07) Julio")</f>
        <v>(07) Julio</v>
      </c>
      <c r="F21" s="26" t="str">
        <f>IFERROR(__xludf.DUMMYFUNCTION("""COMPUTED_VALUE"""),"Julio")</f>
        <v>Julio</v>
      </c>
      <c r="G21" s="26" t="str">
        <f>IFERROR(__xludf.DUMMYFUNCTION("""COMPUTED_VALUE"""),"Jul R")</f>
        <v>Jul R</v>
      </c>
      <c r="H21" s="26" t="str">
        <f>IFERROR(__xludf.DUMMYFUNCTION("""COMPUTED_VALUE"""),"Jul D")</f>
        <v>Jul D</v>
      </c>
      <c r="I21" s="26" t="str">
        <f>IFERROR(__xludf.DUMMYFUNCTION("""COMPUTED_VALUE"""),"Otros!$K$3:$K")</f>
        <v>Otros!$K$3:$K</v>
      </c>
      <c r="J21" s="26" t="str">
        <f>IFERROR(__xludf.DUMMYFUNCTION("""COMPUTED_VALUE"""),"JulR!A:AT")</f>
        <v>JulR!A:AT</v>
      </c>
      <c r="K21" s="26" t="str">
        <f>IFERROR(__xludf.DUMMYFUNCTION("""COMPUTED_VALUE"""),"JulR!$A$1:$A")</f>
        <v>JulR!$A$1:$A</v>
      </c>
      <c r="L21" s="26" t="str">
        <f>IFERROR(__xludf.DUMMYFUNCTION("""COMPUTED_VALUE"""),"JulR!$A$6:$6")</f>
        <v>JulR!$A$6:$6</v>
      </c>
      <c r="M21" s="26" t="str">
        <f>IFERROR(__xludf.DUMMYFUNCTION("""COMPUTED_VALUE"""),"JulR")</f>
        <v>JulR</v>
      </c>
      <c r="N21" s="26"/>
      <c r="O21" s="26" t="str">
        <f>IFERROR(__xludf.DUMMYFUNCTION("""COMPUTED_VALUE"""),"(019) Rosa Gabriela Ortiz Galeana")</f>
        <v>(019) Rosa Gabriela Ortiz Galeana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 t="str">
        <f>IFERROR(__xludf.DUMMYFUNCTION("""COMPUTED_VALUE"""),"(26) For Promocional")</f>
        <v>(26) For Promocional</v>
      </c>
      <c r="B22" s="26" t="str">
        <f>IFERROR(__xludf.DUMMYFUNCTION("""COMPUTED_VALUE"""),"B19 Comidas empleados")</f>
        <v>B19 Comidas empleados</v>
      </c>
      <c r="C22" s="26"/>
      <c r="D22" s="26"/>
      <c r="E22" s="26" t="str">
        <f>IFERROR(__xludf.DUMMYFUNCTION("""COMPUTED_VALUE"""),"(08) Agosto")</f>
        <v>(08) Agosto</v>
      </c>
      <c r="F22" s="26" t="str">
        <f>IFERROR(__xludf.DUMMYFUNCTION("""COMPUTED_VALUE"""),"Agosto")</f>
        <v>Agosto</v>
      </c>
      <c r="G22" s="26" t="str">
        <f>IFERROR(__xludf.DUMMYFUNCTION("""COMPUTED_VALUE"""),"Ago R")</f>
        <v>Ago R</v>
      </c>
      <c r="H22" s="26" t="str">
        <f>IFERROR(__xludf.DUMMYFUNCTION("""COMPUTED_VALUE"""),"Ago D")</f>
        <v>Ago D</v>
      </c>
      <c r="I22" s="26" t="str">
        <f>IFERROR(__xludf.DUMMYFUNCTION("""COMPUTED_VALUE"""),"Otros!$L$3:$L")</f>
        <v>Otros!$L$3:$L</v>
      </c>
      <c r="J22" s="26" t="str">
        <f>IFERROR(__xludf.DUMMYFUNCTION("""COMPUTED_VALUE"""),"AgoR!A:AT")</f>
        <v>AgoR!A:AT</v>
      </c>
      <c r="K22" s="26" t="str">
        <f>IFERROR(__xludf.DUMMYFUNCTION("""COMPUTED_VALUE"""),"AgoR!$A$1:$A")</f>
        <v>AgoR!$A$1:$A</v>
      </c>
      <c r="L22" s="26" t="str">
        <f>IFERROR(__xludf.DUMMYFUNCTION("""COMPUTED_VALUE"""),"AgoR!$A$6:$6")</f>
        <v>AgoR!$A$6:$6</v>
      </c>
      <c r="M22" s="26" t="str">
        <f>IFERROR(__xludf.DUMMYFUNCTION("""COMPUTED_VALUE"""),"AgoR")</f>
        <v>AgoR</v>
      </c>
      <c r="N22" s="26"/>
      <c r="O22" s="26" t="str">
        <f>IFERROR(__xludf.DUMMYFUNCTION("""COMPUTED_VALUE"""),"(020) Sanirent De Mexico Sa De Cv")</f>
        <v>(020) Sanirent De Mexico Sa De Cv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 t="str">
        <f>IFERROR(__xludf.DUMMYFUNCTION("""COMPUTED_VALUE"""),"(28) Embajada de Canadá")</f>
        <v>(28) Embajada de Canadá</v>
      </c>
      <c r="B23" s="26" t="str">
        <f>IFERROR(__xludf.DUMMYFUNCTION("""COMPUTED_VALUE"""),"B20 Asesoría y gestoría")</f>
        <v>B20 Asesoría y gestoría</v>
      </c>
      <c r="C23" s="26"/>
      <c r="D23" s="26"/>
      <c r="E23" s="26" t="str">
        <f>IFERROR(__xludf.DUMMYFUNCTION("""COMPUTED_VALUE"""),"(09) Septiembre")</f>
        <v>(09) Septiembre</v>
      </c>
      <c r="F23" s="26" t="str">
        <f>IFERROR(__xludf.DUMMYFUNCTION("""COMPUTED_VALUE"""),"Septiembre")</f>
        <v>Septiembre</v>
      </c>
      <c r="G23" s="26" t="str">
        <f>IFERROR(__xludf.DUMMYFUNCTION("""COMPUTED_VALUE"""),"Sep R")</f>
        <v>Sep R</v>
      </c>
      <c r="H23" s="26" t="str">
        <f>IFERROR(__xludf.DUMMYFUNCTION("""COMPUTED_VALUE"""),"Sep D")</f>
        <v>Sep D</v>
      </c>
      <c r="I23" s="26" t="str">
        <f>IFERROR(__xludf.DUMMYFUNCTION("""COMPUTED_VALUE"""),"Otros!$M$3:$M")</f>
        <v>Otros!$M$3:$M</v>
      </c>
      <c r="J23" s="26" t="str">
        <f>IFERROR(__xludf.DUMMYFUNCTION("""COMPUTED_VALUE"""),"SepR!A:AT")</f>
        <v>SepR!A:AT</v>
      </c>
      <c r="K23" s="26" t="str">
        <f>IFERROR(__xludf.DUMMYFUNCTION("""COMPUTED_VALUE"""),"SepR!$A$1:$A")</f>
        <v>SepR!$A$1:$A</v>
      </c>
      <c r="L23" s="26" t="str">
        <f>IFERROR(__xludf.DUMMYFUNCTION("""COMPUTED_VALUE"""),"SepR!$A$6:$6")</f>
        <v>SepR!$A$6:$6</v>
      </c>
      <c r="M23" s="26" t="str">
        <f>IFERROR(__xludf.DUMMYFUNCTION("""COMPUTED_VALUE"""),"SepR")</f>
        <v>SepR</v>
      </c>
      <c r="N23" s="26"/>
      <c r="O23" s="26" t="str">
        <f>IFERROR(__xludf.DUMMYFUNCTION("""COMPUTED_VALUE"""),"(021) Consejo Nacional De Seguridad")</f>
        <v>(021) Consejo Nacional De Seguridad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 t="str">
        <f>IFERROR(__xludf.DUMMYFUNCTION("""COMPUTED_VALUE"""),"(29) VFS Arquimedes ")</f>
        <v>(29) VFS Arquimedes </v>
      </c>
      <c r="B24" s="26" t="str">
        <f>IFERROR(__xludf.DUMMYFUNCTION("""COMPUTED_VALUE"""),"B21 Equipo de operación")</f>
        <v>B21 Equipo de operación</v>
      </c>
      <c r="C24" s="26"/>
      <c r="D24" s="26"/>
      <c r="E24" s="26" t="str">
        <f>IFERROR(__xludf.DUMMYFUNCTION("""COMPUTED_VALUE"""),"(10) Octubre")</f>
        <v>(10) Octubre</v>
      </c>
      <c r="F24" s="26" t="str">
        <f>IFERROR(__xludf.DUMMYFUNCTION("""COMPUTED_VALUE"""),"Octubre")</f>
        <v>Octubre</v>
      </c>
      <c r="G24" s="26" t="str">
        <f>IFERROR(__xludf.DUMMYFUNCTION("""COMPUTED_VALUE"""),"Oct R")</f>
        <v>Oct R</v>
      </c>
      <c r="H24" s="26" t="str">
        <f>IFERROR(__xludf.DUMMYFUNCTION("""COMPUTED_VALUE"""),"Oct D")</f>
        <v>Oct D</v>
      </c>
      <c r="I24" s="26" t="str">
        <f>IFERROR(__xludf.DUMMYFUNCTION("""COMPUTED_VALUE"""),"Otros!$N$3:$N")</f>
        <v>Otros!$N$3:$N</v>
      </c>
      <c r="J24" s="26" t="str">
        <f>IFERROR(__xludf.DUMMYFUNCTION("""COMPUTED_VALUE"""),"OctR!A:AT")</f>
        <v>OctR!A:AT</v>
      </c>
      <c r="K24" s="26" t="str">
        <f>IFERROR(__xludf.DUMMYFUNCTION("""COMPUTED_VALUE"""),"OctR!$A$1:$A")</f>
        <v>OctR!$A$1:$A</v>
      </c>
      <c r="L24" s="26" t="str">
        <f>IFERROR(__xludf.DUMMYFUNCTION("""COMPUTED_VALUE"""),"OctR!$A$6:$6")</f>
        <v>OctR!$A$6:$6</v>
      </c>
      <c r="M24" s="26" t="str">
        <f>IFERROR(__xludf.DUMMYFUNCTION("""COMPUTED_VALUE"""),"OctR")</f>
        <v>OctR</v>
      </c>
      <c r="N24" s="26"/>
      <c r="O24" s="26" t="str">
        <f>IFERROR(__xludf.DUMMYFUNCTION("""COMPUTED_VALUE"""),"(022) Ernesto Resendiz Hernandez")</f>
        <v>(022) Ernesto Resendiz Hernandez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 t="str">
        <f>IFERROR(__xludf.DUMMYFUNCTION("""COMPUTED_VALUE"""),"(35) Plaza Polanco")</f>
        <v>(35) Plaza Polanco</v>
      </c>
      <c r="B25" s="26" t="str">
        <f>IFERROR(__xludf.DUMMYFUNCTION("""COMPUTED_VALUE"""),"B22 Equipo de capacitación")</f>
        <v>B22 Equipo de capacitación</v>
      </c>
      <c r="C25" s="26"/>
      <c r="D25" s="26"/>
      <c r="E25" s="26" t="str">
        <f>IFERROR(__xludf.DUMMYFUNCTION("""COMPUTED_VALUE"""),"(11) Noviembre")</f>
        <v>(11) Noviembre</v>
      </c>
      <c r="F25" s="26" t="str">
        <f>IFERROR(__xludf.DUMMYFUNCTION("""COMPUTED_VALUE"""),"Noviembre")</f>
        <v>Noviembre</v>
      </c>
      <c r="G25" s="26" t="str">
        <f>IFERROR(__xludf.DUMMYFUNCTION("""COMPUTED_VALUE"""),"Nov R")</f>
        <v>Nov R</v>
      </c>
      <c r="H25" s="26" t="str">
        <f>IFERROR(__xludf.DUMMYFUNCTION("""COMPUTED_VALUE"""),"Nov D")</f>
        <v>Nov D</v>
      </c>
      <c r="I25" s="26" t="str">
        <f>IFERROR(__xludf.DUMMYFUNCTION("""COMPUTED_VALUE"""),"Otros!$O$3:$O")</f>
        <v>Otros!$O$3:$O</v>
      </c>
      <c r="J25" s="26" t="str">
        <f>IFERROR(__xludf.DUMMYFUNCTION("""COMPUTED_VALUE"""),"NovR!A:AT")</f>
        <v>NovR!A:AT</v>
      </c>
      <c r="K25" s="26" t="str">
        <f>IFERROR(__xludf.DUMMYFUNCTION("""COMPUTED_VALUE"""),"NovR!$A$1:$A")</f>
        <v>NovR!$A$1:$A</v>
      </c>
      <c r="L25" s="26" t="str">
        <f>IFERROR(__xludf.DUMMYFUNCTION("""COMPUTED_VALUE"""),"NovR!$A$6:$6")</f>
        <v>NovR!$A$6:$6</v>
      </c>
      <c r="M25" s="26" t="str">
        <f>IFERROR(__xludf.DUMMYFUNCTION("""COMPUTED_VALUE"""),"NovR")</f>
        <v>NovR</v>
      </c>
      <c r="N25" s="26"/>
      <c r="O25" s="26" t="str">
        <f>IFERROR(__xludf.DUMMYFUNCTION("""COMPUTED_VALUE"""),"(023) Juan Guillermo Hernandez Diaz")</f>
        <v>(023) Juan Guillermo Hernandez Diaz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 t="str">
        <f>IFERROR(__xludf.DUMMYFUNCTION("""COMPUTED_VALUE"""),"(36) Embajada de Australia")</f>
        <v>(36) Embajada de Australia</v>
      </c>
      <c r="B26" s="26" t="str">
        <f>IFERROR(__xludf.DUMMYFUNCTION("""COMPUTED_VALUE"""),"B23 Equipo Rondinero")</f>
        <v>B23 Equipo Rondinero</v>
      </c>
      <c r="C26" s="26"/>
      <c r="D26" s="26"/>
      <c r="E26" s="26" t="str">
        <f>IFERROR(__xludf.DUMMYFUNCTION("""COMPUTED_VALUE"""),"(12) Diciembre")</f>
        <v>(12) Diciembre</v>
      </c>
      <c r="F26" s="26" t="str">
        <f>IFERROR(__xludf.DUMMYFUNCTION("""COMPUTED_VALUE"""),"Diciembre")</f>
        <v>Diciembre</v>
      </c>
      <c r="G26" s="26" t="str">
        <f>IFERROR(__xludf.DUMMYFUNCTION("""COMPUTED_VALUE"""),"Dic R")</f>
        <v>Dic R</v>
      </c>
      <c r="H26" s="26" t="str">
        <f>IFERROR(__xludf.DUMMYFUNCTION("""COMPUTED_VALUE"""),"Dic D")</f>
        <v>Dic D</v>
      </c>
      <c r="I26" s="26" t="str">
        <f>IFERROR(__xludf.DUMMYFUNCTION("""COMPUTED_VALUE"""),"Otros!$P$3:$P")</f>
        <v>Otros!$P$3:$P</v>
      </c>
      <c r="J26" s="26" t="str">
        <f>IFERROR(__xludf.DUMMYFUNCTION("""COMPUTED_VALUE"""),"DicR!A:AT")</f>
        <v>DicR!A:AT</v>
      </c>
      <c r="K26" s="26" t="str">
        <f>IFERROR(__xludf.DUMMYFUNCTION("""COMPUTED_VALUE"""),"DicR!$A$1:$A")</f>
        <v>DicR!$A$1:$A</v>
      </c>
      <c r="L26" s="26" t="str">
        <f>IFERROR(__xludf.DUMMYFUNCTION("""COMPUTED_VALUE"""),"DicR!$A$6:$6")</f>
        <v>DicR!$A$6:$6</v>
      </c>
      <c r="M26" s="26" t="str">
        <f>IFERROR(__xludf.DUMMYFUNCTION("""COMPUTED_VALUE"""),"DicR")</f>
        <v>DicR</v>
      </c>
      <c r="N26" s="26"/>
      <c r="O26" s="26" t="str">
        <f>IFERROR(__xludf.DUMMYFUNCTION("""COMPUTED_VALUE"""),"(024) Efectivale S De Rl De Cv")</f>
        <v>(024) Efectivale S De Rl De Cv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 t="str">
        <f>IFERROR(__xludf.DUMMYFUNCTION("""COMPUTED_VALUE"""),"(40) Aliah")</f>
        <v>(40) Aliah</v>
      </c>
      <c r="B27" s="26" t="str">
        <f>IFERROR(__xludf.DUMMYFUNCTION("""COMPUTED_VALUE"""),"B24 Equipo de seguridad")</f>
        <v>B24 Equipo de seguridad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 t="str">
        <f>IFERROR(__xludf.DUMMYFUNCTION("""COMPUTED_VALUE"""),"(025) Editorial Dmx Sa De Cv")</f>
        <v>(025) Editorial Dmx Sa De Cv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 t="str">
        <f>IFERROR(__xludf.DUMMYFUNCTION("""COMPUTED_VALUE"""),"(42) Palmas")</f>
        <v>(42) Palmas</v>
      </c>
      <c r="B28" s="26" t="str">
        <f>IFERROR(__xludf.DUMMYFUNCTION("""COMPUTED_VALUE"""),"B25 Reparación equipo de operación")</f>
        <v>B25 Reparación equipo de operación</v>
      </c>
      <c r="C28" s="26"/>
      <c r="D28" s="26"/>
      <c r="E28" s="26" t="str">
        <f>IFERROR(__xludf.DUMMYFUNCTION("""COMPUTED_VALUE"""),"(01) Enero")</f>
        <v>(01) Enero</v>
      </c>
      <c r="F28" s="26" t="str">
        <f>IFERROR(__xludf.DUMMYFUNCTION("""COMPUTED_VALUE"""),"OtrosR!$E$3:$E")</f>
        <v>OtrosR!$E$3:$E</v>
      </c>
      <c r="G28" s="26" t="str">
        <f>IFERROR(__xludf.DUMMYFUNCTION("""COMPUTED_VALUE"""),"Gastos Admon Import!B7:B150")</f>
        <v>Gastos Admon Import!B7:B150</v>
      </c>
      <c r="H28" s="26" t="str">
        <f>IFERROR(__xludf.DUMMYFUNCTION("""COMPUTED_VALUE"""),"Enero")</f>
        <v>Enero</v>
      </c>
      <c r="I28" s="26" t="str">
        <f>IFERROR(__xludf.DUMMYFUNCTION("""COMPUTED_VALUE"""),"EneR")</f>
        <v>EneR</v>
      </c>
      <c r="J28" s="26"/>
      <c r="K28" s="26"/>
      <c r="L28" s="26"/>
      <c r="M28" s="26"/>
      <c r="N28" s="26"/>
      <c r="O28" s="26" t="str">
        <f>IFERROR(__xludf.DUMMYFUNCTION("""COMPUTED_VALUE"""),"(026) Patricia Ruvalcaba Salazar")</f>
        <v>(026) Patricia Ruvalcaba Salazar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 t="str">
        <f>IFERROR(__xludf.DUMMYFUNCTION("""COMPUTED_VALUE"""),"(43) Negra Modelo")</f>
        <v>(43) Negra Modelo</v>
      </c>
      <c r="B29" s="26" t="str">
        <f>IFERROR(__xludf.DUMMYFUNCTION("""COMPUTED_VALUE"""),"B26 Mantenimiento equipo de operación")</f>
        <v>B26 Mantenimiento equipo de operación</v>
      </c>
      <c r="C29" s="26"/>
      <c r="D29" s="26"/>
      <c r="E29" s="26" t="str">
        <f>IFERROR(__xludf.DUMMYFUNCTION("""COMPUTED_VALUE"""),"(02) Febrero")</f>
        <v>(02) Febrero</v>
      </c>
      <c r="F29" s="26" t="str">
        <f>IFERROR(__xludf.DUMMYFUNCTION("""COMPUTED_VALUE"""),"OtrosR!$F$3:$F")</f>
        <v>OtrosR!$F$3:$F</v>
      </c>
      <c r="G29" s="26" t="str">
        <f>IFERROR(__xludf.DUMMYFUNCTION("""COMPUTED_VALUE"""),"Gastos Admon Import!C7:C150")</f>
        <v>Gastos Admon Import!C7:C150</v>
      </c>
      <c r="H29" s="26" t="str">
        <f>IFERROR(__xludf.DUMMYFUNCTION("""COMPUTED_VALUE"""),"Febrero")</f>
        <v>Febrero</v>
      </c>
      <c r="I29" s="26" t="str">
        <f>IFERROR(__xludf.DUMMYFUNCTION("""COMPUTED_VALUE"""),"FebR")</f>
        <v>FebR</v>
      </c>
      <c r="J29" s="26"/>
      <c r="K29" s="26"/>
      <c r="L29" s="26"/>
      <c r="M29" s="26"/>
      <c r="N29" s="26"/>
      <c r="O29" s="26" t="str">
        <f>IFERROR(__xludf.DUMMYFUNCTION("""COMPUTED_VALUE"""),"(027) Jose Juan Rosales Velarde")</f>
        <v>(027) Jose Juan Rosales Velarde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 t="str">
        <f>IFERROR(__xludf.DUMMYFUNCTION("""COMPUTED_VALUE"""),"(46) Green Tower")</f>
        <v>(46) Green Tower</v>
      </c>
      <c r="B30" s="26" t="str">
        <f>IFERROR(__xludf.DUMMYFUNCTION("""COMPUTED_VALUE"""),"B27 Publicidad")</f>
        <v>B27 Publicidad</v>
      </c>
      <c r="C30" s="26"/>
      <c r="D30" s="26"/>
      <c r="E30" s="26" t="str">
        <f>IFERROR(__xludf.DUMMYFUNCTION("""COMPUTED_VALUE"""),"(03) Marzo")</f>
        <v>(03) Marzo</v>
      </c>
      <c r="F30" s="26" t="str">
        <f>IFERROR(__xludf.DUMMYFUNCTION("""COMPUTED_VALUE"""),"OtrosR!$G$3:$G")</f>
        <v>OtrosR!$G$3:$G</v>
      </c>
      <c r="G30" s="26" t="str">
        <f>IFERROR(__xludf.DUMMYFUNCTION("""COMPUTED_VALUE"""),"Gastos Admon Import!D7:D150")</f>
        <v>Gastos Admon Import!D7:D150</v>
      </c>
      <c r="H30" s="26" t="str">
        <f>IFERROR(__xludf.DUMMYFUNCTION("""COMPUTED_VALUE"""),"Marzo")</f>
        <v>Marzo</v>
      </c>
      <c r="I30" s="26" t="str">
        <f>IFERROR(__xludf.DUMMYFUNCTION("""COMPUTED_VALUE"""),"MarR")</f>
        <v>MarR</v>
      </c>
      <c r="J30" s="26"/>
      <c r="K30" s="26"/>
      <c r="L30" s="26"/>
      <c r="M30" s="26"/>
      <c r="N30" s="26"/>
      <c r="O30" s="26" t="str">
        <f>IFERROR(__xludf.DUMMYFUNCTION("""COMPUTED_VALUE"""),"(028) Camara Nacional De Comercio De")</f>
        <v>(028) Camara Nacional De Comercio De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 t="str">
        <f>IFERROR(__xludf.DUMMYFUNCTION("""COMPUTED_VALUE"""),"(47) IB-Group")</f>
        <v>(47) IB-Group</v>
      </c>
      <c r="B31" s="26" t="str">
        <f>IFERROR(__xludf.DUMMYFUNCTION("""COMPUTED_VALUE"""),"B28 Suministros de oficina")</f>
        <v>B28 Suministros de oficina</v>
      </c>
      <c r="C31" s="26"/>
      <c r="D31" s="26"/>
      <c r="E31" s="26" t="str">
        <f>IFERROR(__xludf.DUMMYFUNCTION("""COMPUTED_VALUE"""),"(04) Abril")</f>
        <v>(04) Abril</v>
      </c>
      <c r="F31" s="26" t="str">
        <f>IFERROR(__xludf.DUMMYFUNCTION("""COMPUTED_VALUE"""),"OtrosR!$H$3:$H")</f>
        <v>OtrosR!$H$3:$H</v>
      </c>
      <c r="G31" s="26" t="str">
        <f>IFERROR(__xludf.DUMMYFUNCTION("""COMPUTED_VALUE"""),"Gastos Admon Import!E7:E150")</f>
        <v>Gastos Admon Import!E7:E150</v>
      </c>
      <c r="H31" s="26" t="str">
        <f>IFERROR(__xludf.DUMMYFUNCTION("""COMPUTED_VALUE"""),"Abril")</f>
        <v>Abril</v>
      </c>
      <c r="I31" s="26" t="str">
        <f>IFERROR(__xludf.DUMMYFUNCTION("""COMPUTED_VALUE"""),"AbrR")</f>
        <v>AbrR</v>
      </c>
      <c r="J31" s="26"/>
      <c r="K31" s="26"/>
      <c r="L31" s="26"/>
      <c r="M31" s="26"/>
      <c r="N31" s="26"/>
      <c r="O31" s="26" t="str">
        <f>IFERROR(__xludf.DUMMYFUNCTION("""COMPUTED_VALUE"""),"(029) Paraguas Iberia Int Sa De Cv")</f>
        <v>(029) Paraguas Iberia Int Sa De Cv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 t="str">
        <f>IFERROR(__xludf.DUMMYFUNCTION("""COMPUTED_VALUE"""),"(48) Sonda-Nuevo León")</f>
        <v>(48) Sonda-Nuevo León</v>
      </c>
      <c r="B32" s="26" t="str">
        <f>IFERROR(__xludf.DUMMYFUNCTION("""COMPUTED_VALUE"""),"B29 Varios")</f>
        <v>B29 Varios</v>
      </c>
      <c r="C32" s="26"/>
      <c r="D32" s="26"/>
      <c r="E32" s="26" t="str">
        <f>IFERROR(__xludf.DUMMYFUNCTION("""COMPUTED_VALUE"""),"(05) Mayo")</f>
        <v>(05) Mayo</v>
      </c>
      <c r="F32" s="26" t="str">
        <f>IFERROR(__xludf.DUMMYFUNCTION("""COMPUTED_VALUE"""),"OtrosR!$I$3:$I")</f>
        <v>OtrosR!$I$3:$I</v>
      </c>
      <c r="G32" s="26" t="str">
        <f>IFERROR(__xludf.DUMMYFUNCTION("""COMPUTED_VALUE"""),"Gastos Admon Import!F7:F150")</f>
        <v>Gastos Admon Import!F7:F150</v>
      </c>
      <c r="H32" s="26" t="str">
        <f>IFERROR(__xludf.DUMMYFUNCTION("""COMPUTED_VALUE"""),"Mayo")</f>
        <v>Mayo</v>
      </c>
      <c r="I32" s="26" t="str">
        <f>IFERROR(__xludf.DUMMYFUNCTION("""COMPUTED_VALUE"""),"MayR")</f>
        <v>MayR</v>
      </c>
      <c r="J32" s="26"/>
      <c r="K32" s="26"/>
      <c r="L32" s="26"/>
      <c r="M32" s="26"/>
      <c r="N32" s="26"/>
      <c r="O32" s="26" t="str">
        <f>IFERROR(__xludf.DUMMYFUNCTION("""COMPUTED_VALUE"""),"(030) Alejandro Monroy Sanchez")</f>
        <v>(030) Alejandro Monroy Sanchez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 t="str">
        <f>IFERROR(__xludf.DUMMYFUNCTION("""COMPUTED_VALUE"""),"(49) DeUna")</f>
        <v>(49) DeUna</v>
      </c>
      <c r="B33" s="26" t="str">
        <f>IFERROR(__xludf.DUMMYFUNCTION("""COMPUTED_VALUE"""),"B30 Artículos de Limpieza")</f>
        <v>B30 Artículos de Limpieza</v>
      </c>
      <c r="C33" s="26"/>
      <c r="D33" s="26"/>
      <c r="E33" s="26" t="str">
        <f>IFERROR(__xludf.DUMMYFUNCTION("""COMPUTED_VALUE"""),"(06) Junio")</f>
        <v>(06) Junio</v>
      </c>
      <c r="F33" s="26" t="str">
        <f>IFERROR(__xludf.DUMMYFUNCTION("""COMPUTED_VALUE"""),"OtrosR!$J$3:$J")</f>
        <v>OtrosR!$J$3:$J</v>
      </c>
      <c r="G33" s="26" t="str">
        <f>IFERROR(__xludf.DUMMYFUNCTION("""COMPUTED_VALUE"""),"Gastos Admon Import!G7:G150")</f>
        <v>Gastos Admon Import!G7:G150</v>
      </c>
      <c r="H33" s="26" t="str">
        <f>IFERROR(__xludf.DUMMYFUNCTION("""COMPUTED_VALUE"""),"Junio")</f>
        <v>Junio</v>
      </c>
      <c r="I33" s="26" t="str">
        <f>IFERROR(__xludf.DUMMYFUNCTION("""COMPUTED_VALUE"""),"JunR")</f>
        <v>JunR</v>
      </c>
      <c r="J33" s="26"/>
      <c r="K33" s="26"/>
      <c r="L33" s="26"/>
      <c r="M33" s="26"/>
      <c r="N33" s="26"/>
      <c r="O33" s="26" t="str">
        <f>IFERROR(__xludf.DUMMYFUNCTION("""COMPUTED_VALUE"""),"(031) Maria De Los Angeles Salas Gau")</f>
        <v>(031) Maria De Los Angeles Salas Gau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 t="str">
        <f>IFERROR(__xludf.DUMMYFUNCTION("""COMPUTED_VALUE"""),"(50) Ampliequipos")</f>
        <v>(50) Ampliequipos</v>
      </c>
      <c r="B34" s="26" t="str">
        <f>IFERROR(__xludf.DUMMYFUNCTION("""COMPUTED_VALUE"""),"B31 No deducibles")</f>
        <v>B31 No deducibles</v>
      </c>
      <c r="C34" s="26"/>
      <c r="D34" s="26"/>
      <c r="E34" s="26" t="str">
        <f>IFERROR(__xludf.DUMMYFUNCTION("""COMPUTED_VALUE"""),"(07) Julio")</f>
        <v>(07) Julio</v>
      </c>
      <c r="F34" s="26" t="str">
        <f>IFERROR(__xludf.DUMMYFUNCTION("""COMPUTED_VALUE"""),"OtrosR!$K$3:$K")</f>
        <v>OtrosR!$K$3:$K</v>
      </c>
      <c r="G34" s="26" t="str">
        <f>IFERROR(__xludf.DUMMYFUNCTION("""COMPUTED_VALUE"""),"Gastos Admon Import!H7:H150")</f>
        <v>Gastos Admon Import!H7:H150</v>
      </c>
      <c r="H34" s="26" t="str">
        <f>IFERROR(__xludf.DUMMYFUNCTION("""COMPUTED_VALUE"""),"julio")</f>
        <v>julio</v>
      </c>
      <c r="I34" s="26" t="str">
        <f>IFERROR(__xludf.DUMMYFUNCTION("""COMPUTED_VALUE"""),"JulR")</f>
        <v>JulR</v>
      </c>
      <c r="J34" s="26"/>
      <c r="K34" s="26"/>
      <c r="L34" s="26"/>
      <c r="M34" s="26"/>
      <c r="N34" s="26"/>
      <c r="O34" s="26" t="str">
        <f>IFERROR(__xludf.DUMMYFUNCTION("""COMPUTED_VALUE"""),"(032) Notarios Caceres Sc")</f>
        <v>(032) Notarios Caceres Sc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 t="str">
        <f>IFERROR(__xludf.DUMMYFUNCTION("""COMPUTED_VALUE"""),"(51) Revlon")</f>
        <v>(51) Revlon</v>
      </c>
      <c r="B35" s="26"/>
      <c r="C35" s="26"/>
      <c r="D35" s="26"/>
      <c r="E35" s="26" t="str">
        <f>IFERROR(__xludf.DUMMYFUNCTION("""COMPUTED_VALUE"""),"(08) Agosto")</f>
        <v>(08) Agosto</v>
      </c>
      <c r="F35" s="26" t="str">
        <f>IFERROR(__xludf.DUMMYFUNCTION("""COMPUTED_VALUE"""),"OtrosR!$L$3:$L")</f>
        <v>OtrosR!$L$3:$L</v>
      </c>
      <c r="G35" s="26" t="str">
        <f>IFERROR(__xludf.DUMMYFUNCTION("""COMPUTED_VALUE"""),"Gastos Admon Import!I7:I150")</f>
        <v>Gastos Admon Import!I7:I150</v>
      </c>
      <c r="H35" s="26" t="str">
        <f>IFERROR(__xludf.DUMMYFUNCTION("""COMPUTED_VALUE"""),"Agosto")</f>
        <v>Agosto</v>
      </c>
      <c r="I35" s="26" t="str">
        <f>IFERROR(__xludf.DUMMYFUNCTION("""COMPUTED_VALUE"""),"AgoR")</f>
        <v>AgoR</v>
      </c>
      <c r="J35" s="26"/>
      <c r="K35" s="26"/>
      <c r="L35" s="26"/>
      <c r="M35" s="26"/>
      <c r="N35" s="26"/>
      <c r="O35" s="26" t="str">
        <f>IFERROR(__xludf.DUMMYFUNCTION("""COMPUTED_VALUE"""),"(033) Delfina Aguilar Sandoval")</f>
        <v>(033) Delfina Aguilar Sandoval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 t="str">
        <f>IFERROR(__xludf.DUMMYFUNCTION("""COMPUTED_VALUE"""),"(53) Aliah-Chapultepec")</f>
        <v>(53) Aliah-Chapultepec</v>
      </c>
      <c r="B36" s="26"/>
      <c r="C36" s="26"/>
      <c r="D36" s="26"/>
      <c r="E36" s="26" t="str">
        <f>IFERROR(__xludf.DUMMYFUNCTION("""COMPUTED_VALUE"""),"(09) Septiembre")</f>
        <v>(09) Septiembre</v>
      </c>
      <c r="F36" s="26" t="str">
        <f>IFERROR(__xludf.DUMMYFUNCTION("""COMPUTED_VALUE"""),"OtrosR!$M$3:$M")</f>
        <v>OtrosR!$M$3:$M</v>
      </c>
      <c r="G36" s="26" t="str">
        <f>IFERROR(__xludf.DUMMYFUNCTION("""COMPUTED_VALUE"""),"Gastos Admon Import!J7:J150")</f>
        <v>Gastos Admon Import!J7:J150</v>
      </c>
      <c r="H36" s="26" t="str">
        <f>IFERROR(__xludf.DUMMYFUNCTION("""COMPUTED_VALUE"""),"Septiembre")</f>
        <v>Septiembre</v>
      </c>
      <c r="I36" s="26" t="str">
        <f>IFERROR(__xludf.DUMMYFUNCTION("""COMPUTED_VALUE"""),"SepR")</f>
        <v>SepR</v>
      </c>
      <c r="J36" s="26"/>
      <c r="K36" s="26"/>
      <c r="L36" s="26"/>
      <c r="M36" s="26"/>
      <c r="N36" s="26"/>
      <c r="O36" s="26" t="str">
        <f>IFERROR(__xludf.DUMMYFUNCTION("""COMPUTED_VALUE"""),"(044) R3J3 Sa De Cv")</f>
        <v>(044) R3J3 Sa De Cv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 t="str">
        <f>IFERROR(__xludf.DUMMYFUNCTION("""COMPUTED_VALUE"""),"(34) Radiatas")</f>
        <v>(34) Radiatas</v>
      </c>
      <c r="B37" s="26"/>
      <c r="C37" s="26"/>
      <c r="D37" s="26"/>
      <c r="E37" s="26" t="str">
        <f>IFERROR(__xludf.DUMMYFUNCTION("""COMPUTED_VALUE"""),"(10) Octubre")</f>
        <v>(10) Octubre</v>
      </c>
      <c r="F37" s="26" t="str">
        <f>IFERROR(__xludf.DUMMYFUNCTION("""COMPUTED_VALUE"""),"OtrosR!$N$3:$N")</f>
        <v>OtrosR!$N$3:$N</v>
      </c>
      <c r="G37" s="26" t="str">
        <f>IFERROR(__xludf.DUMMYFUNCTION("""COMPUTED_VALUE"""),"Gastos Admon Import!K7:K150")</f>
        <v>Gastos Admon Import!K7:K150</v>
      </c>
      <c r="H37" s="26" t="str">
        <f>IFERROR(__xludf.DUMMYFUNCTION("""COMPUTED_VALUE"""),"Octubre")</f>
        <v>Octubre</v>
      </c>
      <c r="I37" s="26" t="str">
        <f>IFERROR(__xludf.DUMMYFUNCTION("""COMPUTED_VALUE"""),"OctR")</f>
        <v>OctR</v>
      </c>
      <c r="J37" s="26"/>
      <c r="K37" s="26"/>
      <c r="L37" s="26"/>
      <c r="M37" s="26"/>
      <c r="N37" s="26"/>
      <c r="O37" s="26" t="str">
        <f>IFERROR(__xludf.DUMMYFUNCTION("""COMPUTED_VALUE"""),"(045) Proxiguard Mexico Sa De Cv")</f>
        <v>(045) Proxiguard Mexico Sa De Cv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 t="str">
        <f>IFERROR(__xludf.DUMMYFUNCTION("""COMPUTED_VALUE"""),"(25) Urbano Town")</f>
        <v>(25) Urbano Town</v>
      </c>
      <c r="B38" s="26"/>
      <c r="C38" s="26"/>
      <c r="D38" s="26"/>
      <c r="E38" s="26" t="str">
        <f>IFERROR(__xludf.DUMMYFUNCTION("""COMPUTED_VALUE"""),"(11) Noviembre")</f>
        <v>(11) Noviembre</v>
      </c>
      <c r="F38" s="26" t="str">
        <f>IFERROR(__xludf.DUMMYFUNCTION("""COMPUTED_VALUE"""),"OtrosR!$O$3:$O")</f>
        <v>OtrosR!$O$3:$O</v>
      </c>
      <c r="G38" s="26" t="str">
        <f>IFERROR(__xludf.DUMMYFUNCTION("""COMPUTED_VALUE"""),"Gastos Admon Import!L7:L150")</f>
        <v>Gastos Admon Import!L7:L150</v>
      </c>
      <c r="H38" s="26" t="str">
        <f>IFERROR(__xludf.DUMMYFUNCTION("""COMPUTED_VALUE"""),"Noviembre")</f>
        <v>Noviembre</v>
      </c>
      <c r="I38" s="26" t="str">
        <f>IFERROR(__xludf.DUMMYFUNCTION("""COMPUTED_VALUE"""),"NovR")</f>
        <v>NovR</v>
      </c>
      <c r="J38" s="26"/>
      <c r="K38" s="26"/>
      <c r="L38" s="26"/>
      <c r="M38" s="26"/>
      <c r="N38" s="26"/>
      <c r="O38" s="26" t="str">
        <f>IFERROR(__xludf.DUMMYFUNCTION("""COMPUTED_VALUE"""),"(046) Joes Corp Interactive Sa De Cv")</f>
        <v>(046) Joes Corp Interactive Sa De Cv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 t="str">
        <f>IFERROR(__xludf.DUMMYFUNCTION("""COMPUTED_VALUE"""),"(56) Sonda Bodega AP")</f>
        <v>(56) Sonda Bodega AP</v>
      </c>
      <c r="B39" s="26"/>
      <c r="C39" s="26"/>
      <c r="D39" s="26"/>
      <c r="E39" s="26" t="str">
        <f>IFERROR(__xludf.DUMMYFUNCTION("""COMPUTED_VALUE"""),"(12) Diciembre")</f>
        <v>(12) Diciembre</v>
      </c>
      <c r="F39" s="26" t="str">
        <f>IFERROR(__xludf.DUMMYFUNCTION("""COMPUTED_VALUE"""),"OtrosR!$P$3:$P")</f>
        <v>OtrosR!$P$3:$P</v>
      </c>
      <c r="G39" s="26" t="str">
        <f>IFERROR(__xludf.DUMMYFUNCTION("""COMPUTED_VALUE"""),"Gastos Admon Import!M7:M150")</f>
        <v>Gastos Admon Import!M7:M150</v>
      </c>
      <c r="H39" s="26" t="str">
        <f>IFERROR(__xludf.DUMMYFUNCTION("""COMPUTED_VALUE"""),"Diciembre")</f>
        <v>Diciembre</v>
      </c>
      <c r="I39" s="26" t="str">
        <f>IFERROR(__xludf.DUMMYFUNCTION("""COMPUTED_VALUE"""),"DicR")</f>
        <v>DicR</v>
      </c>
      <c r="J39" s="26"/>
      <c r="K39" s="26"/>
      <c r="L39" s="26"/>
      <c r="M39" s="26"/>
      <c r="N39" s="26"/>
      <c r="O39" s="26" t="str">
        <f>IFERROR(__xludf.DUMMYFUNCTION("""COMPUTED_VALUE"""),"(047) Marcas Y Patentes En Linea Sc")</f>
        <v>(047) Marcas Y Patentes En Linea Sc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 t="str">
        <f>IFERROR(__xludf.DUMMYFUNCTION("""COMPUTED_VALUE"""),"(57) Nuevo 4")</f>
        <v>(57) Nuevo 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 t="str">
        <f>IFERROR(__xludf.DUMMYFUNCTION("""COMPUTED_VALUE"""),"(048) Javier Benitez Vega")</f>
        <v>(048) Javier Benitez Vega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 t="str">
        <f>IFERROR(__xludf.DUMMYFUNCTION("""COMPUTED_VALUE"""),"(58) Nuevo 5")</f>
        <v>(58) Nuevo 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 t="str">
        <f>IFERROR(__xludf.DUMMYFUNCTION("""COMPUTED_VALUE"""),"(049) Estrategia En Sistemas Adminis")</f>
        <v>(049) Estrategia En Sistemas Adminis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 t="str">
        <f>IFERROR(__xludf.DUMMYFUNCTION("""COMPUTED_VALUE"""),"(44) Zendere")</f>
        <v>(44) Zendere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 t="str">
        <f>IFERROR(__xludf.DUMMYFUNCTION("""COMPUTED_VALUE"""),"(050) Afianzadora Sofimex Sa")</f>
        <v>(050) Afianzadora Sofimex Sa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 t="str">
        <f>IFERROR(__xludf.DUMMYFUNCTION("""COMPUTED_VALUE"""),"(051) Qualitas Compañia De Seguros S")</f>
        <v>(051) Qualitas Compañia De Seguros S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 t="str">
        <f>IFERROR(__xludf.DUMMYFUNCTION("""COMPUTED_VALUE"""),"(052) Linda Yesenia Herrera Leyva")</f>
        <v>(052) Linda Yesenia Herrera Leyva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 t="str">
        <f>IFERROR(__xludf.DUMMYFUNCTION("""COMPUTED_VALUE"""),"(053) Ehs Asessment And Infraestruct")</f>
        <v>(053) Ehs Asessment And Infraestruct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 t="str">
        <f>IFERROR(__xludf.DUMMYFUNCTION("""COMPUTED_VALUE"""),"(054) Secretaria De Finanzas De La C")</f>
        <v>(054) Secretaria De Finanzas De La C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 t="str">
        <f>IFERROR(__xludf.DUMMYFUNCTION("""COMPUTED_VALUE"""),"(055) Axa Seguros Sa De Cv")</f>
        <v>(055) Axa Seguros Sa De Cv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 t="str">
        <f>IFERROR(__xludf.DUMMYFUNCTION("""COMPUTED_VALUE"""),"(056) Dahfsa De Mexico Sa De Cv")</f>
        <v>(056) Dahfsa De Mexico Sa De Cv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 t="str">
        <f>IFERROR(__xludf.DUMMYFUNCTION("""COMPUTED_VALUE"""),"(057) La Casa Del Guante Soledad Sa")</f>
        <v>(057) La Casa Del Guante Soledad Sa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 t="str">
        <f>IFERROR(__xludf.DUMMYFUNCTION("""COMPUTED_VALUE"""),"(058) Telefonos De Mexico Sa De Cv")</f>
        <v>(058) Telefonos De Mexico Sa De Cv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 t="str">
        <f>IFERROR(__xludf.DUMMYFUNCTION("""COMPUTED_VALUE"""),"(059) Cyberpuerta Sa De Cv")</f>
        <v>(059) Cyberpuerta Sa De Cv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 t="str">
        <f>IFERROR(__xludf.DUMMYFUNCTION("""COMPUTED_VALUE"""),"(060) Empacadora El Fresno Sa De Cv")</f>
        <v>(060) Empacadora El Fresno Sa De Cv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 t="str">
        <f>IFERROR(__xludf.DUMMYFUNCTION("""COMPUTED_VALUE"""),"(061) Ivan Diaz Garcia")</f>
        <v>(061) Ivan Diaz Garcia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 t="str">
        <f>IFERROR(__xludf.DUMMYFUNCTION("""COMPUTED_VALUE"""),"(062) Endomex Sa De Cv")</f>
        <v>(062) Endomex Sa De Cv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 t="str">
        <f>IFERROR(__xludf.DUMMYFUNCTION("""COMPUTED_VALUE"""),"(063) Marketing Followers Sa De Cv")</f>
        <v>(063) Marketing Followers Sa De Cv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 t="str">
        <f>IFERROR(__xludf.DUMMYFUNCTION("""COMPUTED_VALUE"""),"(064) Virginia Isabel Camacho Martin")</f>
        <v>(064) Virginia Isabel Camacho Martin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 t="str">
        <f>IFERROR(__xludf.DUMMYFUNCTION("""COMPUTED_VALUE"""),"(065) Mb Certification Mexico Sc")</f>
        <v>(065) Mb Certification Mexico Sc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 t="str">
        <f>IFERROR(__xludf.DUMMYFUNCTION("""COMPUTED_VALUE"""),"(066) Comunicacion Global Monytor Sa")</f>
        <v>(066) Comunicacion Global Monytor Sa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 t="str">
        <f>IFERROR(__xludf.DUMMYFUNCTION("""COMPUTED_VALUE"""),"(067) Sistemas Informacion Satelital")</f>
        <v>(067) Sistemas Informacion Satelital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 t="str">
        <f>IFERROR(__xludf.DUMMYFUNCTION("""COMPUTED_VALUE"""),"(068) Horacio Garcia Barron")</f>
        <v>(068) Horacio Garcia Barron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 t="str">
        <f>IFERROR(__xludf.DUMMYFUNCTION("""COMPUTED_VALUE"""),"(069) Nodo Final Sa De Cv")</f>
        <v>(069) Nodo Final Sa De Cv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 t="str">
        <f>IFERROR(__xludf.DUMMYFUNCTION("""COMPUTED_VALUE"""),"(070) Tesoreria De La Federacion")</f>
        <v>(070) Tesoreria De La Federacion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 t="str">
        <f>IFERROR(__xludf.DUMMYFUNCTION("""COMPUTED_VALUE"""),"(071) Secretaria De Finanzas Del Gob")</f>
        <v>(071) Secretaria De Finanzas Del Gob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 t="str">
        <f>IFERROR(__xludf.DUMMYFUNCTION("""COMPUTED_VALUE"""),"(072) Antelmo Zavala Vigueras")</f>
        <v>(072) Antelmo Zavala Vigueras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 t="str">
        <f>IFERROR(__xludf.DUMMYFUNCTION("""COMPUTED_VALUE"""),"(073) Sofimex, Institucion De Garant")</f>
        <v>(073) Sofimex, Institucion De Garant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 t="str">
        <f>IFERROR(__xludf.DUMMYFUNCTION("""COMPUTED_VALUE"""),"(074) Maria Teresa Alvarado Gonzalez")</f>
        <v>(074) Maria Teresa Alvarado Gonzalez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 t="str">
        <f>IFERROR(__xludf.DUMMYFUNCTION("""COMPUTED_VALUE"""),"(075) Comercializadora Ypsilon Sa De")</f>
        <v>(075) Comercializadora Ypsilon Sa De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 t="str">
        <f>IFERROR(__xludf.DUMMYFUNCTION("""COMPUTED_VALUE"""),"(076) Gpr Comunicaciones Sa De Cv")</f>
        <v>(076) Gpr Comunicaciones Sa De Cv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 t="str">
        <f>IFERROR(__xludf.DUMMYFUNCTION("""COMPUTED_VALUE"""),"(077) Tania Rubi Monroy Camacho")</f>
        <v>(077) Tania Rubi Monroy Camacho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 t="str">
        <f>IFERROR(__xludf.DUMMYFUNCTION("""COMPUTED_VALUE"""),"(078) Roanda Comercial Inc Sa De Cv")</f>
        <v>(078) Roanda Comercial Inc Sa De Cv</v>
      </c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 t="str">
        <f>IFERROR(__xludf.DUMMYFUNCTION("""COMPUTED_VALUE"""),"(079) Grupo Nacional Provincial Sab")</f>
        <v>(079) Grupo Nacional Provincial Sab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 t="str">
        <f>IFERROR(__xludf.DUMMYFUNCTION("""COMPUTED_VALUE"""),"(080) Real Power Systems Mexico")</f>
        <v>(080) Real Power Systems Mexico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 t="str">
        <f>IFERROR(__xludf.DUMMYFUNCTION("""COMPUTED_VALUE"""),"(081) Solis Camara Y Compañia Sc")</f>
        <v>(081) Solis Camara Y Compañia Sc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 t="str">
        <f>IFERROR(__xludf.DUMMYFUNCTION("""COMPUTED_VALUE"""),"(082) Carlos Valdes Garcia")</f>
        <v>(082) Carlos Valdes Garcia</v>
      </c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 t="str">
        <f>IFERROR(__xludf.DUMMYFUNCTION("""COMPUTED_VALUE"""),"(083) Formato Ergon Sa De Cv")</f>
        <v>(083) Formato Ergon Sa De Cv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 t="str">
        <f>IFERROR(__xludf.DUMMYFUNCTION("""COMPUTED_VALUE"""),"(084) Natera Consultores Sc")</f>
        <v>(084) Natera Consultores Sc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 t="str">
        <f>IFERROR(__xludf.DUMMYFUNCTION("""COMPUTED_VALUE"""),"(085) Raul Rojas Lugo")</f>
        <v>(085) Raul Rojas Lugo</v>
      </c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 t="str">
        <f>IFERROR(__xludf.DUMMYFUNCTION("""COMPUTED_VALUE"""),"(086) Comercializadora Guibor Sa De")</f>
        <v>(086) Comercializadora Guibor Sa De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 t="str">
        <f>IFERROR(__xludf.DUMMYFUNCTION("""COMPUTED_VALUE"""),"(087) 360 Sistemas Y Comunicaciones")</f>
        <v>(087) 360 Sistemas Y Comunicaciones</v>
      </c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 t="str">
        <f>IFERROR(__xludf.DUMMYFUNCTION("""COMPUTED_VALUE"""),"(088) Miguel Angel Olguin Ortega")</f>
        <v>(088) Miguel Angel Olguin Ortega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 t="str">
        <f>IFERROR(__xludf.DUMMYFUNCTION("""COMPUTED_VALUE"""),"(089) Gleeson Ruiz Sc")</f>
        <v>(089) Gleeson Ruiz Sc</v>
      </c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 t="str">
        <f>IFERROR(__xludf.DUMMYFUNCTION("""COMPUTED_VALUE"""),"(090) Francisco De La Barrera Espino")</f>
        <v>(090) Francisco De La Barrera Espino</v>
      </c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 t="str">
        <f>IFERROR(__xludf.DUMMYFUNCTION("""COMPUTED_VALUE"""),"(091) Aaron Hamui Heifetz")</f>
        <v>(091) Aaron Hamui Heifetz</v>
      </c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 t="str">
        <f>IFERROR(__xludf.DUMMYFUNCTION("""COMPUTED_VALUE"""),"(092) Hugo Enrique Sanchez Segura")</f>
        <v>(092) Hugo Enrique Sanchez Segura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 t="str">
        <f>IFERROR(__xludf.DUMMYFUNCTION("""COMPUTED_VALUE"""),"(093) Servillantas Siete Leguas Sa D")</f>
        <v>(093) Servillantas Siete Leguas Sa D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 t="str">
        <f>IFERROR(__xludf.DUMMYFUNCTION("""COMPUTED_VALUE"""),"(094) Imakeba Capital Intelectual Sc")</f>
        <v>(094) Imakeba Capital Intelectual Sc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 t="str">
        <f>IFERROR(__xludf.DUMMYFUNCTION("""COMPUTED_VALUE"""),"(095) Jose Manuel Campos Monroy")</f>
        <v>(095) Jose Manuel Campos Monroy</v>
      </c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 t="str">
        <f>IFERROR(__xludf.DUMMYFUNCTION("""COMPUTED_VALUE"""),"(096) Rafael Sanchez Guzman")</f>
        <v>(096) Rafael Sanchez Guzman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 t="str">
        <f>IFERROR(__xludf.DUMMYFUNCTION("""COMPUTED_VALUE"""),"(097) Sobre Todo Soluciones Y Result")</f>
        <v>(097) Sobre Todo Soluciones Y Result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 t="str">
        <f>IFERROR(__xludf.DUMMYFUNCTION("""COMPUTED_VALUE"""),"(098) Efren Armando Rodriguez Gonzal")</f>
        <v>(098) Efren Armando Rodriguez Gonzal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 t="str">
        <f>IFERROR(__xludf.DUMMYFUNCTION("""COMPUTED_VALUE"""),"(099) Chrisalim Abastecedora De Prod")</f>
        <v>(099) Chrisalim Abastecedora De Prod</v>
      </c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 t="str">
        <f>IFERROR(__xludf.DUMMYFUNCTION("""COMPUTED_VALUE"""),"(100) Tarjeta De Credito")</f>
        <v>(100) Tarjeta De Credito</v>
      </c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 t="str">
        <f>IFERROR(__xludf.DUMMYFUNCTION("""COMPUTED_VALUE"""),"(101) Cuidado Con El Editor Sa De Cv")</f>
        <v>(101) Cuidado Con El Editor Sa De Cv</v>
      </c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 t="str">
        <f>IFERROR(__xludf.DUMMYFUNCTION("""COMPUTED_VALUE"""),"(102) Luis Armando Guerena Barrera")</f>
        <v>(102) Luis Armando Guerena Barrera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 t="str">
        <f>IFERROR(__xludf.DUMMYFUNCTION("""COMPUTED_VALUE"""),"(103) Hugo Casasanero Orduña")</f>
        <v>(103) Hugo Casasanero Orduña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 t="str">
        <f>IFERROR(__xludf.DUMMYFUNCTION("""COMPUTED_VALUE"""),"(104) Radio Xefr S De Rl De Cv")</f>
        <v>(104) Radio Xefr S De Rl De Cv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 t="str">
        <f>IFERROR(__xludf.DUMMYFUNCTION("""COMPUTED_VALUE"""),"(105) Radio Frecuencia Modulada S De")</f>
        <v>(105) Radio Frecuencia Modulada S De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 t="str">
        <f>IFERROR(__xludf.DUMMYFUNCTION("""COMPUTED_VALUE"""),"(106) Radio Xhsh S De Rl De Cv")</f>
        <v>(106) Radio Xhsh S De Rl De Cv</v>
      </c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 t="str">
        <f>IFERROR(__xludf.DUMMYFUNCTION("""COMPUTED_VALUE"""),"(107) Radio 888 S De Rl De Cv")</f>
        <v>(107) Radio 888 S De Rl De Cv</v>
      </c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 t="str">
        <f>IFERROR(__xludf.DUMMYFUNCTION("""COMPUTED_VALUE"""),"(108) Griselda Marlen Escobedo Sanch")</f>
        <v>(108) Griselda Marlen Escobedo Sanch</v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 t="str">
        <f>IFERROR(__xludf.DUMMYFUNCTION("""COMPUTED_VALUE"""),"(109) Formula Melodica S De Rl De Cv")</f>
        <v>(109) Formula Melodica S De Rl De Cv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 t="str">
        <f>IFERROR(__xludf.DUMMYFUNCTION("""COMPUTED_VALUE"""),"(110) Roberto Felix Berumen")</f>
        <v>(110) Roberto Felix Berumen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 t="str">
        <f>IFERROR(__xludf.DUMMYFUNCTION("""COMPUTED_VALUE"""),"(111) Chubb Seguros Mexico Sa")</f>
        <v>(111) Chubb Seguros Mexico Sa</v>
      </c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 t="str">
        <f>IFERROR(__xludf.DUMMYFUNCTION("""COMPUTED_VALUE"""),"(112) Aline Gadeh Liniado")</f>
        <v>(112) Aline Gadeh Liniado</v>
      </c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 t="str">
        <f>IFERROR(__xludf.DUMMYFUNCTION("""COMPUTED_VALUE"""),"(113) Etiquetas Rams")</f>
        <v>(113) Etiquetas Rams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 t="str">
        <f>IFERROR(__xludf.DUMMYFUNCTION("""COMPUTED_VALUE"""),"(114) Hitch Technology Sa De Cv")</f>
        <v>(114) Hitch Technology Sa De Cv</v>
      </c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 t="str">
        <f>IFERROR(__xludf.DUMMYFUNCTION("""COMPUTED_VALUE"""),"(115) Secretaria De Finanzas Y Admin")</f>
        <v>(115) Secretaria De Finanzas Y Admin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 t="str">
        <f>IFERROR(__xludf.DUMMYFUNCTION("""COMPUTED_VALUE"""),"(116) Elite Network Lobbying")</f>
        <v>(116) Elite Network Lobbying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 t="str">
        <f>IFERROR(__xludf.DUMMYFUNCTION("""COMPUTED_VALUE"""),"(117) Ac-Fin Sapi De Cv")</f>
        <v>(117) Ac-Fin Sapi De Cv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 t="str">
        <f>IFERROR(__xludf.DUMMYFUNCTION("""COMPUTED_VALUE"""),"(118) Carlos Tovar Rodriguez")</f>
        <v>(118) Carlos Tovar Rodriguez</v>
      </c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 t="str">
        <f>IFERROR(__xludf.DUMMYFUNCTION("""COMPUTED_VALUE"""),"(119) Samuel Cruz Perez")</f>
        <v>(119) Samuel Cruz Perez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 t="str">
        <f>IFERROR(__xludf.DUMMYFUNCTION("""COMPUTED_VALUE"""),"(120) Tesoreria De La Ciudad De Mexi")</f>
        <v>(120) Tesoreria De La Ciudad De Mexi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 t="str">
        <f>IFERROR(__xludf.DUMMYFUNCTION("""COMPUTED_VALUE"""),"(121) Loyalty Corp Ms Sapi De Cv")</f>
        <v>(121) Loyalty Corp Ms Sapi De Cv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 t="str">
        <f>IFERROR(__xludf.DUMMYFUNCTION("""COMPUTED_VALUE"""),"(122) Juan Pablo Sandez Lizardi")</f>
        <v>(122) Juan Pablo Sandez Lizardi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 t="str">
        <f>IFERROR(__xludf.DUMMYFUNCTION("""COMPUTED_VALUE"""),"(123) Jesus Javier Vazquez Alvarado")</f>
        <v>(123) Jesus Javier Vazquez Alvarado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 t="str">
        <f>IFERROR(__xludf.DUMMYFUNCTION("""COMPUTED_VALUE"""),"(124) Allan De Jesus Romero Celis")</f>
        <v>(124) Allan De Jesus Romero Celis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 t="str">
        <f>IFERROR(__xludf.DUMMYFUNCTION("""COMPUTED_VALUE"""),"(125) Condominio Plaza Polanco Ac")</f>
        <v>(125) Condominio Plaza Polanco Ac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 t="str">
        <f>IFERROR(__xludf.DUMMYFUNCTION("""COMPUTED_VALUE"""),"(126) Ll-C Certification Mexico")</f>
        <v>(126) Ll-C Certification Mexico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 t="str">
        <f>IFERROR(__xludf.DUMMYFUNCTION("""COMPUTED_VALUE"""),"(127) Alejandra Carlos Gudiño")</f>
        <v>(127) Alejandra Carlos Gudiño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drawing r:id="rId1"/>
</worksheet>
</file>